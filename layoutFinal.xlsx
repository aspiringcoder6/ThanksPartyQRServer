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ayout" sheetId="1" r:id="rId5"/>
    <sheet state="visible" name="Chia bàn" sheetId="2" r:id="rId6"/>
    <sheet state="visible" name="Tổng hợp thông tin sinh viên" sheetId="3" r:id="rId7"/>
    <sheet state="visible" name="Early Birds" sheetId="4" r:id="rId8"/>
    <sheet state="visible" name="Late Owls" sheetId="5" r:id="rId9"/>
    <sheet state="visible" name="Check" sheetId="6" r:id="rId10"/>
  </sheets>
  <definedNames>
    <definedName hidden="1" localSheetId="2" name="_xlnm._FilterDatabase">'Tổng hợp thông tin sinh viên'!$A$1:$P$2055</definedName>
    <definedName hidden="1" localSheetId="3" name="_xlnm._FilterDatabase">'Early Birds'!$A$1:$Z$107</definedName>
    <definedName hidden="1" localSheetId="4" name="_xlnm._FilterDatabase">'Late Owls'!$A$1:$AA$107</definedName>
  </definedNames>
  <calcPr/>
</workbook>
</file>

<file path=xl/sharedStrings.xml><?xml version="1.0" encoding="utf-8"?>
<sst xmlns="http://schemas.openxmlformats.org/spreadsheetml/2006/main" count="9431" uniqueCount="4052">
  <si>
    <t>Kỹ Thuật</t>
  </si>
  <si>
    <t>LED</t>
  </si>
  <si>
    <t>Cửa</t>
  </si>
  <si>
    <t>Sân khấu</t>
  </si>
  <si>
    <t>Chú thích</t>
  </si>
  <si>
    <t>Bàn Ban Giám hiệu</t>
  </si>
  <si>
    <t>Bàn thầy cô, NTT</t>
  </si>
  <si>
    <t>Bàn Sinh viên</t>
  </si>
  <si>
    <t xml:space="preserve"> Điều phối viên</t>
  </si>
  <si>
    <t xml:space="preserve">Back </t>
  </si>
  <si>
    <t>Cửa chính</t>
  </si>
  <si>
    <t>CHECK - IN</t>
  </si>
  <si>
    <t>Cửa Kính</t>
  </si>
  <si>
    <t>Số bàn</t>
  </si>
  <si>
    <t>Họ và tên</t>
  </si>
  <si>
    <t>MSSV</t>
  </si>
  <si>
    <t>Email</t>
  </si>
  <si>
    <t>Lớp</t>
  </si>
  <si>
    <t>Trạng thái bàn</t>
  </si>
  <si>
    <t>Chức vụ</t>
  </si>
  <si>
    <t>Trường/Doanh Nghiệp</t>
  </si>
  <si>
    <t>20225432</t>
  </si>
  <si>
    <t xml:space="preserve">Bà Phùng Nguyễn Hải Yến </t>
  </si>
  <si>
    <t xml:space="preserve">Phó TGĐ </t>
  </si>
  <si>
    <t>Vietcombank</t>
  </si>
  <si>
    <t>20220061</t>
  </si>
  <si>
    <t>Nhân sự VCB chi nhánh</t>
  </si>
  <si>
    <t>20225483</t>
  </si>
  <si>
    <t>Thầy Tạ Hải Tùng</t>
  </si>
  <si>
    <t>Hiệu trưởng</t>
  </si>
  <si>
    <t>SOICT</t>
  </si>
  <si>
    <t>20225261</t>
  </si>
  <si>
    <t>Cô Huỳnh Thị Thanh Bình</t>
  </si>
  <si>
    <t>Phó Hiệu trưởng</t>
  </si>
  <si>
    <t>20225256</t>
  </si>
  <si>
    <t xml:space="preserve">Ông Vũ Tuấn Mạnh </t>
  </si>
  <si>
    <t>Vice President</t>
  </si>
  <si>
    <t xml:space="preserve"> FPT SOFTWARE, CDO FPT Automotive</t>
  </si>
  <si>
    <t>20225284</t>
  </si>
  <si>
    <t>Bà Phạm Thị Huyền Nga</t>
  </si>
  <si>
    <t>Giám đốc chương trình</t>
  </si>
  <si>
    <t>Chương trình Hợp tác Đại học và phát triển tài năng, FPT Software.</t>
  </si>
  <si>
    <t>20225124</t>
  </si>
  <si>
    <t>Thầy Cao Tuấn Dũng</t>
  </si>
  <si>
    <t>20225199</t>
  </si>
  <si>
    <t>Ông Nguyễn Văn Tùng</t>
  </si>
  <si>
    <t>Delivery Group Manager</t>
  </si>
  <si>
    <t xml:space="preserve"> OpenWay Việt Nam</t>
  </si>
  <si>
    <t>20225305</t>
  </si>
  <si>
    <t>Ông Nguyễn Thế Cường</t>
  </si>
  <si>
    <t xml:space="preserve">Head of IT </t>
  </si>
  <si>
    <t>OpenWay Việt Nam</t>
  </si>
  <si>
    <t>20225252</t>
  </si>
  <si>
    <t>Ông Phạm Ngọc Thái</t>
  </si>
  <si>
    <t xml:space="preserve"> GĐ Bộ phận</t>
  </si>
  <si>
    <t xml:space="preserve"> Hệ thống phần mềm SRV</t>
  </si>
  <si>
    <t>20225817</t>
  </si>
  <si>
    <t>Thầy Đinh Viết Sang</t>
  </si>
  <si>
    <t>20225861</t>
  </si>
  <si>
    <t>Thầy Nguyễn Linh Giang</t>
  </si>
  <si>
    <t>20225647</t>
  </si>
  <si>
    <t>Ông Nguyễn Mạnh Quyết - Tổng Giám Đốc iKame Global, Chủ tịch Hiệp hội Game Việt Nam</t>
  </si>
  <si>
    <t>20225820</t>
  </si>
  <si>
    <t>Cô Lê Thanh Hương</t>
  </si>
  <si>
    <t>20225808</t>
  </si>
  <si>
    <t>Ông Trần Mạnh Hùng - CEO/Founder - 0982856926</t>
  </si>
  <si>
    <t>20225749</t>
  </si>
  <si>
    <t>Bùi Đức Chương, CEO, 0912350508</t>
  </si>
  <si>
    <t>20225761</t>
  </si>
  <si>
    <t>Trần Đỗ Khánh Linh, Brand Executive, 0332682105</t>
  </si>
  <si>
    <t>20225675</t>
  </si>
  <si>
    <t>Thầy Nguyễn Thanh Hùng</t>
  </si>
  <si>
    <t>20225615</t>
  </si>
  <si>
    <t>Nguyễn Phương Linh - CEO - 0906155107</t>
  </si>
  <si>
    <t>Nguyễn Thị Huyền Trang</t>
  </si>
  <si>
    <t>nthtrang2004@gmail.com</t>
  </si>
  <si>
    <t>Việt Nhật - K67</t>
  </si>
  <si>
    <t xml:space="preserve"> Đỗ Thị Dung - HR Manager - 0982758737</t>
  </si>
  <si>
    <t>20224887</t>
  </si>
  <si>
    <t>Anh. Nguyễn Hoàng Hiệp - Phó phòng tuyển dụng SRV</t>
  </si>
  <si>
    <t>20220032</t>
  </si>
  <si>
    <t>Thầy Phạm Đăng Hải</t>
  </si>
  <si>
    <t>20225140</t>
  </si>
  <si>
    <t>Anh Phạm Thanh Hà - Giám Đốc Công nghệ - VTI Group Giám Đốc Điều hành - VTI solution - SDT 0868394018</t>
  </si>
  <si>
    <t>20224850</t>
  </si>
  <si>
    <t xml:space="preserve"> Chị Nguyễn Thị Thu Hoài - Trưởng phòng Talent Acquistion - sdt 0868304018</t>
  </si>
  <si>
    <t>20220034</t>
  </si>
  <si>
    <t>Trần Thị Hằng Nga - Chuyên viên Talent Acquistion - sdt 0868394018</t>
  </si>
  <si>
    <t>20224868</t>
  </si>
  <si>
    <t>Thầy Lã Thế Vinh</t>
  </si>
  <si>
    <t>20220031</t>
  </si>
  <si>
    <t>Đinh Thị Lan Chi - Trưởng phòng Nhân sự - 0966839069</t>
  </si>
  <si>
    <t>20225964</t>
  </si>
  <si>
    <t xml:space="preserve"> Trần Thị Thu Hiền - Chuyên viên cao cấp nhân sự - 0369464700</t>
  </si>
  <si>
    <t>20225978</t>
  </si>
  <si>
    <t>Thầy Lê Tấn Hùng</t>
  </si>
  <si>
    <t>20225993</t>
  </si>
  <si>
    <t>Thầy Bùi Quốc Trung</t>
  </si>
  <si>
    <t>20220062</t>
  </si>
  <si>
    <t>Thầy Nguyễn Bình Minh</t>
  </si>
  <si>
    <t>20225475</t>
  </si>
  <si>
    <t>Ông Cao Thế Cường - CEO - 0968072568</t>
  </si>
  <si>
    <t>20225551</t>
  </si>
  <si>
    <t xml:space="preserve"> Nguyễn Thị Trà My - Talent Acquisition Specialist - 0969152716</t>
  </si>
  <si>
    <t>20225441</t>
  </si>
  <si>
    <t>Cô Vũ Thị Hương Giang</t>
  </si>
  <si>
    <t>20225437</t>
  </si>
  <si>
    <t>Thầy Trần Quang Đức</t>
  </si>
  <si>
    <t>20225464</t>
  </si>
  <si>
    <t xml:space="preserve">Lường Anh Tuấn - Giám đốc Khối GDX </t>
  </si>
  <si>
    <t>20225447</t>
  </si>
  <si>
    <t xml:space="preserve"> Phan Thị Hoa - Phó phòng Tuyển dụng - 0367416950</t>
  </si>
  <si>
    <t>20225462</t>
  </si>
  <si>
    <t>Thầy Trịnh Thành Trung</t>
  </si>
  <si>
    <t>20225035</t>
  </si>
  <si>
    <t>Trần Thành Trung - AI Research Manager, Pixta Việt Nam</t>
  </si>
  <si>
    <t>20224966</t>
  </si>
  <si>
    <t xml:space="preserve"> Nguyễn Văn Mạnh</t>
  </si>
  <si>
    <t>20226034</t>
  </si>
  <si>
    <t>Nguyễn Thị Phương Thảo - Trưởng phòng Nhân sự VNG ZingPlay Game Studios</t>
  </si>
  <si>
    <t>20226011</t>
  </si>
  <si>
    <t>Mr. Phùng Chí Hướng - Phó Tổng Giám đốc Kaopiz Holdings</t>
  </si>
  <si>
    <t>20220073</t>
  </si>
  <si>
    <t xml:space="preserve"> Nguyễn Thị Mơ - PR &amp; Communications Manager - 0963330563</t>
  </si>
  <si>
    <t>20226063</t>
  </si>
  <si>
    <t>Ông Trần Ngọc Diễn - Chủ tịch HĐQT- 098143159</t>
  </si>
  <si>
    <t>20226027</t>
  </si>
  <si>
    <t xml:space="preserve"> Ông Lê Văn Tùng - Phó giám đốc - 0969044169</t>
  </si>
  <si>
    <t>20226056</t>
  </si>
  <si>
    <t>Thầy Phạm Ngọc Hưng</t>
  </si>
  <si>
    <t>20226055</t>
  </si>
  <si>
    <t>Thầy Đỗ Bá Lâm</t>
  </si>
  <si>
    <t>20226052</t>
  </si>
  <si>
    <t>Thầy Hoàng Văn Hiệp</t>
  </si>
  <si>
    <t>20226025</t>
  </si>
  <si>
    <t xml:space="preserve">Phạm Văn Toàn - 0399966745 </t>
  </si>
  <si>
    <t xml:space="preserve"> Technical Expert, Bộ phận R&amp;D, Sun* Việt Nam</t>
  </si>
  <si>
    <t>20239904</t>
  </si>
  <si>
    <t>Thầy Nguyễn Đình Thuận</t>
  </si>
  <si>
    <t>20225442</t>
  </si>
  <si>
    <t>20225479</t>
  </si>
  <si>
    <t>20225481</t>
  </si>
  <si>
    <t>20225519</t>
  </si>
  <si>
    <t>20225478</t>
  </si>
  <si>
    <t>20225534</t>
  </si>
  <si>
    <t>20225504</t>
  </si>
  <si>
    <t>20225455</t>
  </si>
  <si>
    <t>20225521</t>
  </si>
  <si>
    <t>20225514</t>
  </si>
  <si>
    <t>20225918</t>
  </si>
  <si>
    <t>20225636</t>
  </si>
  <si>
    <t>20225112</t>
  </si>
  <si>
    <t>20225723</t>
  </si>
  <si>
    <t>20225643</t>
  </si>
  <si>
    <t>20225948</t>
  </si>
  <si>
    <t>20225751</t>
  </si>
  <si>
    <t>20225754</t>
  </si>
  <si>
    <t>20225786</t>
  </si>
  <si>
    <t>20225031</t>
  </si>
  <si>
    <t>20225308</t>
  </si>
  <si>
    <t>20225400</t>
  </si>
  <si>
    <t>20225420</t>
  </si>
  <si>
    <t>20225393</t>
  </si>
  <si>
    <t>20225285</t>
  </si>
  <si>
    <t>20225211</t>
  </si>
  <si>
    <t>20225137</t>
  </si>
  <si>
    <t>20225257</t>
  </si>
  <si>
    <t>20224919</t>
  </si>
  <si>
    <t>20225193</t>
  </si>
  <si>
    <t>20225238</t>
  </si>
  <si>
    <t>20225119</t>
  </si>
  <si>
    <t>20225399</t>
  </si>
  <si>
    <t>20225157</t>
  </si>
  <si>
    <t>20225290</t>
  </si>
  <si>
    <t>20225247</t>
  </si>
  <si>
    <t>20225295</t>
  </si>
  <si>
    <t>20225275</t>
  </si>
  <si>
    <t>20225404</t>
  </si>
  <si>
    <t>20225726</t>
  </si>
  <si>
    <t>20225957</t>
  </si>
  <si>
    <t>20225762</t>
  </si>
  <si>
    <t>20225635</t>
  </si>
  <si>
    <t>20225903</t>
  </si>
  <si>
    <t>20225659</t>
  </si>
  <si>
    <t>20225846</t>
  </si>
  <si>
    <t>20225931</t>
  </si>
  <si>
    <t>20225668</t>
  </si>
  <si>
    <t>20225766</t>
  </si>
  <si>
    <t>20225849</t>
  </si>
  <si>
    <t>20225682</t>
  </si>
  <si>
    <t>20225906</t>
  </si>
  <si>
    <t>20225913</t>
  </si>
  <si>
    <t>20225897</t>
  </si>
  <si>
    <t>20225694</t>
  </si>
  <si>
    <t>20225637</t>
  </si>
  <si>
    <t>20225902</t>
  </si>
  <si>
    <t>20225782</t>
  </si>
  <si>
    <t>20225136</t>
  </si>
  <si>
    <t>20225852</t>
  </si>
  <si>
    <t>20225593</t>
  </si>
  <si>
    <t>20225879</t>
  </si>
  <si>
    <t>20225657</t>
  </si>
  <si>
    <t>20225144</t>
  </si>
  <si>
    <t>20220055</t>
  </si>
  <si>
    <t>20225396</t>
  </si>
  <si>
    <t>20225344</t>
  </si>
  <si>
    <t>20225880</t>
  </si>
  <si>
    <t>20225939</t>
  </si>
  <si>
    <t>20225814</t>
  </si>
  <si>
    <t>20225702</t>
  </si>
  <si>
    <t>20225627</t>
  </si>
  <si>
    <t>20225831</t>
  </si>
  <si>
    <t>20225638</t>
  </si>
  <si>
    <t>20225743</t>
  </si>
  <si>
    <t>20225853</t>
  </si>
  <si>
    <t>20225737</t>
  </si>
  <si>
    <t>20225844</t>
  </si>
  <si>
    <t>20207988</t>
  </si>
  <si>
    <t>20225046</t>
  </si>
  <si>
    <t>20225069</t>
  </si>
  <si>
    <t>20224920</t>
  </si>
  <si>
    <t>20224921</t>
  </si>
  <si>
    <t>20220042</t>
  </si>
  <si>
    <t>20220043</t>
  </si>
  <si>
    <t>20225065</t>
  </si>
  <si>
    <t>20224930</t>
  </si>
  <si>
    <t>20220037</t>
  </si>
  <si>
    <t>20224964</t>
  </si>
  <si>
    <t>20225868</t>
  </si>
  <si>
    <t>20225664</t>
  </si>
  <si>
    <t>20225670</t>
  </si>
  <si>
    <t>20225818</t>
  </si>
  <si>
    <t>20225873</t>
  </si>
  <si>
    <t>20225760</t>
  </si>
  <si>
    <t>20225721</t>
  </si>
  <si>
    <t>20225753</t>
  </si>
  <si>
    <t>20225895</t>
  </si>
  <si>
    <t>20225945</t>
  </si>
  <si>
    <t>20225936</t>
  </si>
  <si>
    <t>20225732</t>
  </si>
  <si>
    <t>20225604</t>
  </si>
  <si>
    <t>20225856</t>
  </si>
  <si>
    <t>20225794</t>
  </si>
  <si>
    <t>20224945</t>
  </si>
  <si>
    <t>20224912</t>
  </si>
  <si>
    <t>20225089</t>
  </si>
  <si>
    <t>20225539</t>
  </si>
  <si>
    <t>20215262</t>
  </si>
  <si>
    <t>20225080</t>
  </si>
  <si>
    <t>20224989</t>
  </si>
  <si>
    <t>20225000</t>
  </si>
  <si>
    <t>20225094</t>
  </si>
  <si>
    <t>20224971</t>
  </si>
  <si>
    <t>20220029</t>
  </si>
  <si>
    <t>20225005</t>
  </si>
  <si>
    <t>20224994</t>
  </si>
  <si>
    <t>20225309</t>
  </si>
  <si>
    <t>20225379</t>
  </si>
  <si>
    <t>20225524</t>
  </si>
  <si>
    <t>20225488</t>
  </si>
  <si>
    <t>20225492</t>
  </si>
  <si>
    <t>20225491</t>
  </si>
  <si>
    <t>20225486</t>
  </si>
  <si>
    <t>20225529</t>
  </si>
  <si>
    <t>20225477</t>
  </si>
  <si>
    <t>20225531</t>
  </si>
  <si>
    <t>20225497</t>
  </si>
  <si>
    <t>20225508</t>
  </si>
  <si>
    <t>20226033</t>
  </si>
  <si>
    <t>20226039</t>
  </si>
  <si>
    <t>20226028</t>
  </si>
  <si>
    <t>20226041</t>
  </si>
  <si>
    <t>20226040</t>
  </si>
  <si>
    <t>20226012</t>
  </si>
  <si>
    <t>20226007</t>
  </si>
  <si>
    <t>20225976</t>
  </si>
  <si>
    <t>20224975</t>
  </si>
  <si>
    <t>20224981</t>
  </si>
  <si>
    <t>20220013</t>
  </si>
  <si>
    <t>20220025</t>
  </si>
  <si>
    <t>20220021</t>
  </si>
  <si>
    <t>20220016</t>
  </si>
  <si>
    <t>20220026</t>
  </si>
  <si>
    <t>20220044</t>
  </si>
  <si>
    <t>20224906</t>
  </si>
  <si>
    <t>20224936</t>
  </si>
  <si>
    <t>20225429</t>
  </si>
  <si>
    <t>20225198</t>
  </si>
  <si>
    <t>20220070</t>
  </si>
  <si>
    <t>20226008</t>
  </si>
  <si>
    <t>20226062</t>
  </si>
  <si>
    <t>20225969</t>
  </si>
  <si>
    <t>20225968</t>
  </si>
  <si>
    <t>20226046</t>
  </si>
  <si>
    <t>20225981</t>
  </si>
  <si>
    <t>20226043</t>
  </si>
  <si>
    <t>20226035</t>
  </si>
  <si>
    <t>20225901</t>
  </si>
  <si>
    <t>20225719</t>
  </si>
  <si>
    <t>20225651</t>
  </si>
  <si>
    <t>20225715</t>
  </si>
  <si>
    <t>20225892</t>
  </si>
  <si>
    <t>20225924</t>
  </si>
  <si>
    <t>20224844</t>
  </si>
  <si>
    <t>20225015</t>
  </si>
  <si>
    <t>20224836</t>
  </si>
  <si>
    <t>20220046</t>
  </si>
  <si>
    <t>20225485</t>
  </si>
  <si>
    <t>20225501</t>
  </si>
  <si>
    <t>20225473</t>
  </si>
  <si>
    <t>20225523</t>
  </si>
  <si>
    <t>20225533</t>
  </si>
  <si>
    <t>20225494</t>
  </si>
  <si>
    <t>20225465</t>
  </si>
  <si>
    <t>20220066</t>
  </si>
  <si>
    <t>20225335</t>
  </si>
  <si>
    <t>20225271</t>
  </si>
  <si>
    <t>20225830</t>
  </si>
  <si>
    <t>20225894</t>
  </si>
  <si>
    <t>20225748</t>
  </si>
  <si>
    <t>20225658</t>
  </si>
  <si>
    <t>20225789</t>
  </si>
  <si>
    <t>20225777</t>
  </si>
  <si>
    <t>20225898</t>
  </si>
  <si>
    <t>20225785</t>
  </si>
  <si>
    <t>20225733</t>
  </si>
  <si>
    <t>20225652</t>
  </si>
  <si>
    <t>20225610</t>
  </si>
  <si>
    <t>20225153</t>
  </si>
  <si>
    <t>20225274</t>
  </si>
  <si>
    <t>20225148</t>
  </si>
  <si>
    <t>20225231</t>
  </si>
  <si>
    <t>20225188</t>
  </si>
  <si>
    <t>20225323</t>
  </si>
  <si>
    <t>20225161</t>
  </si>
  <si>
    <t>20225385</t>
  </si>
  <si>
    <t>20225403</t>
  </si>
  <si>
    <t>20225460</t>
  </si>
  <si>
    <t>20225457</t>
  </si>
  <si>
    <t>20225525</t>
  </si>
  <si>
    <t>20225435</t>
  </si>
  <si>
    <t>20225213</t>
  </si>
  <si>
    <t>20225036</t>
  </si>
  <si>
    <t>20225366</t>
  </si>
  <si>
    <t>20225223</t>
  </si>
  <si>
    <t>20225134</t>
  </si>
  <si>
    <t>20225410</t>
  </si>
  <si>
    <t>20224897</t>
  </si>
  <si>
    <t>20224947</t>
  </si>
  <si>
    <t>20225034</t>
  </si>
  <si>
    <t>20224883</t>
  </si>
  <si>
    <t>20224961</t>
  </si>
  <si>
    <t>20225096</t>
  </si>
  <si>
    <t>20224829</t>
  </si>
  <si>
    <t>20225047</t>
  </si>
  <si>
    <t>20225986</t>
  </si>
  <si>
    <t>20225828</t>
  </si>
  <si>
    <t>20225885</t>
  </si>
  <si>
    <t>20225800</t>
  </si>
  <si>
    <t>20226026</t>
  </si>
  <si>
    <t>20226022</t>
  </si>
  <si>
    <t>20225971</t>
  </si>
  <si>
    <t>20226048</t>
  </si>
  <si>
    <t>20226038</t>
  </si>
  <si>
    <t>20226042</t>
  </si>
  <si>
    <t>20225453</t>
  </si>
  <si>
    <t>20224904</t>
  </si>
  <si>
    <t>20220039</t>
  </si>
  <si>
    <t>20224915</t>
  </si>
  <si>
    <t>20224863</t>
  </si>
  <si>
    <t>20224835</t>
  </si>
  <si>
    <t>20224875</t>
  </si>
  <si>
    <t>20225228</t>
  </si>
  <si>
    <t>20225151</t>
  </si>
  <si>
    <t>20225027</t>
  </si>
  <si>
    <t>20194268</t>
  </si>
  <si>
    <t>20226120</t>
  </si>
  <si>
    <t>20226118</t>
  </si>
  <si>
    <t>20226126</t>
  </si>
  <si>
    <t>20226115</t>
  </si>
  <si>
    <t>20226125</t>
  </si>
  <si>
    <t>20215060</t>
  </si>
  <si>
    <t>20225471</t>
  </si>
  <si>
    <t>20225470</t>
  </si>
  <si>
    <t>20220059</t>
  </si>
  <si>
    <t>20225512</t>
  </si>
  <si>
    <t>20226110</t>
  </si>
  <si>
    <t>20226085</t>
  </si>
  <si>
    <t>20226129</t>
  </si>
  <si>
    <t>20226117</t>
  </si>
  <si>
    <t>20226088</t>
  </si>
  <si>
    <t>20226083</t>
  </si>
  <si>
    <t>20226096</t>
  </si>
  <si>
    <t>20226092</t>
  </si>
  <si>
    <t>20226109</t>
  </si>
  <si>
    <t>20226098</t>
  </si>
  <si>
    <t>20226124</t>
  </si>
  <si>
    <t>20226081</t>
  </si>
  <si>
    <t>20226123</t>
  </si>
  <si>
    <t>20226099</t>
  </si>
  <si>
    <t>20226082</t>
  </si>
  <si>
    <t>20225776</t>
  </si>
  <si>
    <t>20225810</t>
  </si>
  <si>
    <t>20225854</t>
  </si>
  <si>
    <t>20225738</t>
  </si>
  <si>
    <t>20225815</t>
  </si>
  <si>
    <t>20225599</t>
  </si>
  <si>
    <t>20225613</t>
  </si>
  <si>
    <t>20225910</t>
  </si>
  <si>
    <t>20225641</t>
  </si>
  <si>
    <t>20225595</t>
  </si>
  <si>
    <t>20225807</t>
  </si>
  <si>
    <t>20225601</t>
  </si>
  <si>
    <t>20225629</t>
  </si>
  <si>
    <t>20225118</t>
  </si>
  <si>
    <t>20225669</t>
  </si>
  <si>
    <t>20225966</t>
  </si>
  <si>
    <t>20225991</t>
  </si>
  <si>
    <t>20225992</t>
  </si>
  <si>
    <t>20225987</t>
  </si>
  <si>
    <t>20225967</t>
  </si>
  <si>
    <t>20226003</t>
  </si>
  <si>
    <t>20225979</t>
  </si>
  <si>
    <t>20225990</t>
  </si>
  <si>
    <t>20226017</t>
  </si>
  <si>
    <t>20194246</t>
  </si>
  <si>
    <t>20225542</t>
  </si>
  <si>
    <t>20225566</t>
  </si>
  <si>
    <t>20225544</t>
  </si>
  <si>
    <t>20225543</t>
  </si>
  <si>
    <t>20225567</t>
  </si>
  <si>
    <t>20225575</t>
  </si>
  <si>
    <t>20225545</t>
  </si>
  <si>
    <t>20225546</t>
  </si>
  <si>
    <t>20225583</t>
  </si>
  <si>
    <t>20225578</t>
  </si>
  <si>
    <t>20225579</t>
  </si>
  <si>
    <t>20220067</t>
  </si>
  <si>
    <t>20225571</t>
  </si>
  <si>
    <t>20225547</t>
  </si>
  <si>
    <t>20225549</t>
  </si>
  <si>
    <t>20225584</t>
  </si>
  <si>
    <t>20225586</t>
  </si>
  <si>
    <t>20225559</t>
  </si>
  <si>
    <t>20225554</t>
  </si>
  <si>
    <t>20225558</t>
  </si>
  <si>
    <t>20225590</t>
  </si>
  <si>
    <t>20225557</t>
  </si>
  <si>
    <t>20225577</t>
  </si>
  <si>
    <t>20225576</t>
  </si>
  <si>
    <t>20220041</t>
  </si>
  <si>
    <t>20225081</t>
  </si>
  <si>
    <t>20225131</t>
  </si>
  <si>
    <t>20225139</t>
  </si>
  <si>
    <t>20225055</t>
  </si>
  <si>
    <t>20225201</t>
  </si>
  <si>
    <t>20225982</t>
  </si>
  <si>
    <t>20225984</t>
  </si>
  <si>
    <t>20226050</t>
  </si>
  <si>
    <t>20225962</t>
  </si>
  <si>
    <t>20225997</t>
  </si>
  <si>
    <t>20226054</t>
  </si>
  <si>
    <t>20225985</t>
  </si>
  <si>
    <t>20225977</t>
  </si>
  <si>
    <t>20225740</t>
  </si>
  <si>
    <t>20224866</t>
  </si>
  <si>
    <t>20225784</t>
  </si>
  <si>
    <t>20225591</t>
  </si>
  <si>
    <t>20225660</t>
  </si>
  <si>
    <t>20225755</t>
  </si>
  <si>
    <t>20225600</t>
  </si>
  <si>
    <t>20225787</t>
  </si>
  <si>
    <t>20225655</t>
  </si>
  <si>
    <t>20225673</t>
  </si>
  <si>
    <t>20225024</t>
  </si>
  <si>
    <t>20210098</t>
  </si>
  <si>
    <t>20224939</t>
  </si>
  <si>
    <t>20220024</t>
  </si>
  <si>
    <t>20224918</t>
  </si>
  <si>
    <t>20224938</t>
  </si>
  <si>
    <t>20220015</t>
  </si>
  <si>
    <t>20224905</t>
  </si>
  <si>
    <t>20224895</t>
  </si>
  <si>
    <t>20224898</t>
  </si>
  <si>
    <t>20224874</t>
  </si>
  <si>
    <t>20225019</t>
  </si>
  <si>
    <t>20225917</t>
  </si>
  <si>
    <t>20225816</t>
  </si>
  <si>
    <t>20225608</t>
  </si>
  <si>
    <t>20225911</t>
  </si>
  <si>
    <t>20225688</t>
  </si>
  <si>
    <t>20225677</t>
  </si>
  <si>
    <t>20225007</t>
  </si>
  <si>
    <t>20224983</t>
  </si>
  <si>
    <t>20225797</t>
  </si>
  <si>
    <t>20220038</t>
  </si>
  <si>
    <t>20225536</t>
  </si>
  <si>
    <t>20225535</t>
  </si>
  <si>
    <t>20225708</t>
  </si>
  <si>
    <t>20225450</t>
  </si>
  <si>
    <t>20225466</t>
  </si>
  <si>
    <t>20225530</t>
  </si>
  <si>
    <t>20225472</t>
  </si>
  <si>
    <t>20225004</t>
  </si>
  <si>
    <t>20224889</t>
  </si>
  <si>
    <t>20224996</t>
  </si>
  <si>
    <t>20225345</t>
  </si>
  <si>
    <t>20225278</t>
  </si>
  <si>
    <t>20225376</t>
  </si>
  <si>
    <t>20225237</t>
  </si>
  <si>
    <t>20225183</t>
  </si>
  <si>
    <t>20225166</t>
  </si>
  <si>
    <t>20225230</t>
  </si>
  <si>
    <t>20225425</t>
  </si>
  <si>
    <t>20225341</t>
  </si>
  <si>
    <t>20225383</t>
  </si>
  <si>
    <t>20225224</t>
  </si>
  <si>
    <t>20225057</t>
  </si>
  <si>
    <t>20225143</t>
  </si>
  <si>
    <t>20225415</t>
  </si>
  <si>
    <t>20225128</t>
  </si>
  <si>
    <t>20224891</t>
  </si>
  <si>
    <t>20225490</t>
  </si>
  <si>
    <t>20225489</t>
  </si>
  <si>
    <t>20207700</t>
  </si>
  <si>
    <t>20226065</t>
  </si>
  <si>
    <t>20225014</t>
  </si>
  <si>
    <t>20225051</t>
  </si>
  <si>
    <t>20224927</t>
  </si>
  <si>
    <t>20224916</t>
  </si>
  <si>
    <t>20225026</t>
  </si>
  <si>
    <t>20225716</t>
  </si>
  <si>
    <t>20224896</t>
  </si>
  <si>
    <t>20224860</t>
  </si>
  <si>
    <t>20225340</t>
  </si>
  <si>
    <t>20225250</t>
  </si>
  <si>
    <t>20224929</t>
  </si>
  <si>
    <t>20220120</t>
  </si>
  <si>
    <t>20224858</t>
  </si>
  <si>
    <t>20225037</t>
  </si>
  <si>
    <t>20225056</t>
  </si>
  <si>
    <t>20225105</t>
  </si>
  <si>
    <t>20224987</t>
  </si>
  <si>
    <t>20226064</t>
  </si>
  <si>
    <t>20224988</t>
  </si>
  <si>
    <t>20215504</t>
  </si>
  <si>
    <t>20224848</t>
  </si>
  <si>
    <t>20220051</t>
  </si>
  <si>
    <t>20220058</t>
  </si>
  <si>
    <t>20220048</t>
  </si>
  <si>
    <t>20220050</t>
  </si>
  <si>
    <t>20224903</t>
  </si>
  <si>
    <t>20224855</t>
  </si>
  <si>
    <t>20220030</t>
  </si>
  <si>
    <t>20220040</t>
  </si>
  <si>
    <t>20224857</t>
  </si>
  <si>
    <t>20224973</t>
  </si>
  <si>
    <t>20224901</t>
  </si>
  <si>
    <t>20225010</t>
  </si>
  <si>
    <t>20225074</t>
  </si>
  <si>
    <t>20225023</t>
  </si>
  <si>
    <t>20220122</t>
  </si>
  <si>
    <t>20224859</t>
  </si>
  <si>
    <t>20225012</t>
  </si>
  <si>
    <t>20224854</t>
  </si>
  <si>
    <t>20224995</t>
  </si>
  <si>
    <t>20224972</t>
  </si>
  <si>
    <t>20224873</t>
  </si>
  <si>
    <t>20215387</t>
  </si>
  <si>
    <t>20220047</t>
  </si>
  <si>
    <t>20225656</t>
  </si>
  <si>
    <t>20225412</t>
  </si>
  <si>
    <t>20224962</t>
  </si>
  <si>
    <t>20194269</t>
  </si>
  <si>
    <t>20224934</t>
  </si>
  <si>
    <t>20220072</t>
  </si>
  <si>
    <t>20225445</t>
  </si>
  <si>
    <t>20225493</t>
  </si>
  <si>
    <t>20210324</t>
  </si>
  <si>
    <t>20225605</t>
  </si>
  <si>
    <t>Nguyễn Trọng Thế Anh</t>
  </si>
  <si>
    <t>anh.ntt224922@sis.hust.edu.vn</t>
  </si>
  <si>
    <t>Khoa học máy tính 03-K67</t>
  </si>
  <si>
    <t>Hoàng Bá Bảo</t>
  </si>
  <si>
    <t>20226015</t>
  </si>
  <si>
    <t>bao.hb226015@sis.hust.edu.vn</t>
  </si>
  <si>
    <t>ICT 02-K67</t>
  </si>
  <si>
    <t>Đinh Ngọc Cầm</t>
  </si>
  <si>
    <t>20226016</t>
  </si>
  <si>
    <t>cam.dn226016@sis.hust.edu.vn</t>
  </si>
  <si>
    <t>ICT 01-K67</t>
  </si>
  <si>
    <t>Trần Quang Hưng</t>
  </si>
  <si>
    <t>20226045</t>
  </si>
  <si>
    <t>hung.tq226045@sis.hust.edu.vn</t>
  </si>
  <si>
    <t>Họ tên SV/HV</t>
  </si>
  <si>
    <t>GVHD</t>
  </si>
  <si>
    <t>Đăng ký Thanks Party?</t>
  </si>
  <si>
    <t>Đã gửi ticket</t>
  </si>
  <si>
    <t>Đã chia bàn</t>
  </si>
  <si>
    <t>Tổng số lượng đăng ký</t>
  </si>
  <si>
    <t>Giảng viên</t>
  </si>
  <si>
    <t>Số lượng Svien tgia</t>
  </si>
  <si>
    <t>Khoá</t>
  </si>
  <si>
    <t>20220108</t>
  </si>
  <si>
    <t>An Raksmey</t>
  </si>
  <si>
    <t>raksmey.a220108@sis.hust.edu.vn</t>
  </si>
  <si>
    <t>Nguyễn Đức Anh</t>
  </si>
  <si>
    <t>Khoa học máy tính 05-K67</t>
  </si>
  <si>
    <t>Âu Trung Phong</t>
  </si>
  <si>
    <t>phong.at225455@sis.hust.edu.vn</t>
  </si>
  <si>
    <t>Huỳnh Quyết Thắng</t>
  </si>
  <si>
    <t>CTTT Data Science &amp; AI 03-K67</t>
  </si>
  <si>
    <t>20225509</t>
  </si>
  <si>
    <t>Bạch Nhật Minh</t>
  </si>
  <si>
    <t>minh.bn225509@sis.hust.edu.vn</t>
  </si>
  <si>
    <t>Cao Tuấn Dũng</t>
  </si>
  <si>
    <t>CTTT Data Science &amp; AI 01-K67</t>
  </si>
  <si>
    <t>Bàng Tiến Thành</t>
  </si>
  <si>
    <t>thanh.bt225669@sis.hust.edu.vn</t>
  </si>
  <si>
    <t>Ngô Thành Trung</t>
  </si>
  <si>
    <t>Việt Nhật 06-K67</t>
  </si>
  <si>
    <t>20200354</t>
  </si>
  <si>
    <t>Bế Đình Hoàng Long</t>
  </si>
  <si>
    <t>long.bdh200354@sis.hust.edu.vn</t>
  </si>
  <si>
    <t>Trần Văn Đặng</t>
  </si>
  <si>
    <t>IT-VUW 01-K65</t>
  </si>
  <si>
    <t>20225388</t>
  </si>
  <si>
    <t>Bế Nguyễn Hà Sơn</t>
  </si>
  <si>
    <t>son.bnh225388@sis.hust.edu.vn</t>
  </si>
  <si>
    <t>Nguyễn Thị Thanh Nga</t>
  </si>
  <si>
    <t>Kỹ thuật máy tính 03-K67</t>
  </si>
  <si>
    <t>Bùi Ánh Dương</t>
  </si>
  <si>
    <t>duong.ba225489@sis.hust.edu.vn</t>
  </si>
  <si>
    <t>Phạm Quang Dũng</t>
  </si>
  <si>
    <t>Bùi Anh Đức</t>
  </si>
  <si>
    <t>duc.ba225285@sis.hust.edu.vn</t>
  </si>
  <si>
    <t>20210657</t>
  </si>
  <si>
    <t>Bùi Anh Nhật</t>
  </si>
  <si>
    <t>nhat.ba210657@sis.hust.edu.vn</t>
  </si>
  <si>
    <t>Bùi Quốc Trung</t>
  </si>
  <si>
    <t>CTTT Data Science &amp; AI 02-K66</t>
  </si>
  <si>
    <t>Bùi Chí Thức</t>
  </si>
  <si>
    <t>thuc.bc225230@sis.hust.edu.vn</t>
  </si>
  <si>
    <t>Ngô Lam Trung</t>
  </si>
  <si>
    <t>Kỹ thuật máy tính 04-K67</t>
  </si>
  <si>
    <t>20225563</t>
  </si>
  <si>
    <t>Bùi Duy Anh</t>
  </si>
  <si>
    <t>anh.bd225563@sis.hust.edu.vn</t>
  </si>
  <si>
    <t>Nguyễn Đức Toàn</t>
  </si>
  <si>
    <t>CTTT An toàn không gian số 01-K67</t>
  </si>
  <si>
    <t>Lê Hải Nam</t>
  </si>
  <si>
    <t>Kỹ thuật máy tính 02-K65</t>
  </si>
  <si>
    <t>20225995</t>
  </si>
  <si>
    <t>Bùi Đăng Quý</t>
  </si>
  <si>
    <t>quy.bd225995@sis.hust.edu.vn</t>
  </si>
  <si>
    <t>Phạm Đăng Hải</t>
  </si>
  <si>
    <t>Bùi Đình Phẩm</t>
  </si>
  <si>
    <t>pham.bd220039@sis.hust.edu.vn</t>
  </si>
  <si>
    <t>Huỳnh Thị Thanh Bình</t>
  </si>
  <si>
    <t>Khoa học máy tính 04-K67</t>
  </si>
  <si>
    <t>Bùi Đức Hùng</t>
  </si>
  <si>
    <t>hung.bd225193@sis.hust.edu.vn</t>
  </si>
  <si>
    <t>Nguyễn Bình Minh</t>
  </si>
  <si>
    <t>Kỹ thuật máy tính 07-K67</t>
  </si>
  <si>
    <t>20224935</t>
  </si>
  <si>
    <t>Bùi Gia Chính</t>
  </si>
  <si>
    <t>chinh.bg224935@sis.hust.edu.vn</t>
  </si>
  <si>
    <t>Nguyễn Mạnh Tuấn</t>
  </si>
  <si>
    <t>20225142</t>
  </si>
  <si>
    <t>Bùi Gia Lộc</t>
  </si>
  <si>
    <t>loc.bg225142@sis.hust.edu.vn</t>
  </si>
  <si>
    <t>Tạ Hải Tùng</t>
  </si>
  <si>
    <t>Bùi Hà My</t>
  </si>
  <si>
    <t>my.bh225987@sis.hust.edu.vn</t>
  </si>
  <si>
    <t>Lê Tấn Hùng</t>
  </si>
  <si>
    <t>20215298</t>
  </si>
  <si>
    <t>Bùi Hoàng Anh</t>
  </si>
  <si>
    <t>anh.bh215298@sis.hust.edu.vn</t>
  </si>
  <si>
    <t>Khoa học máy tính 06-K66</t>
  </si>
  <si>
    <t>BùI KhắC ChiếN</t>
  </si>
  <si>
    <t>chien.bk220059@sis.hust.edu.vn</t>
  </si>
  <si>
    <t>Trần Nguyên Ngọc</t>
  </si>
  <si>
    <t>Bùi Lê Hùng</t>
  </si>
  <si>
    <t>hung.bl224994@sis.hust.edu.vn</t>
  </si>
  <si>
    <t>Trần Việt Trung</t>
  </si>
  <si>
    <t>Khoa học máy tính 02-K67</t>
  </si>
  <si>
    <t>Bùi Lê Huy</t>
  </si>
  <si>
    <t>huy.bl225005@sis.hust.edu.vn</t>
  </si>
  <si>
    <t>Khoa học máy tính 06-K67</t>
  </si>
  <si>
    <t>20194410</t>
  </si>
  <si>
    <t>Bùi Long Vũ</t>
  </si>
  <si>
    <t>vu.bl194410@sis.hust.edu.vn</t>
  </si>
  <si>
    <t>Tưởng Văn Đạt</t>
  </si>
  <si>
    <t>Kỹ thuật máy tính 02-K64</t>
  </si>
  <si>
    <t>Bùi Mạnh Hưng</t>
  </si>
  <si>
    <t>hung.bm224860@sis.hust.edu.vn</t>
  </si>
  <si>
    <t>Đặng Tuấn Linh</t>
  </si>
  <si>
    <t>CTTN-Khoa học máy tính-K67</t>
  </si>
  <si>
    <t>Nguyễn Khanh Văn</t>
  </si>
  <si>
    <t>PFIEV Công nghệ thông tin 01-K66</t>
  </si>
  <si>
    <t>Bùi Ngọc Hợp</t>
  </si>
  <si>
    <t>hop.bn225721@sis.hust.edu.vn</t>
  </si>
  <si>
    <t>Bùi Ngọc Thanh</t>
  </si>
  <si>
    <t>thanh.bn225399@sis.hust.edu.vn</t>
  </si>
  <si>
    <t>Vũ Thị Hương Giang</t>
  </si>
  <si>
    <t>20225330</t>
  </si>
  <si>
    <t>Bùi Nguyên Huy</t>
  </si>
  <si>
    <t>huy.bn225330@sis.hust.edu.vn</t>
  </si>
  <si>
    <t>Trần Hoàng Hải</t>
  </si>
  <si>
    <t>Bùi Nguyên Khải</t>
  </si>
  <si>
    <t>khai.bn225501@sis.hust.edu.vn</t>
  </si>
  <si>
    <t>CTTT Data Science &amp; AI 02-K67</t>
  </si>
  <si>
    <t>Bùi Nguyễn Minh</t>
  </si>
  <si>
    <t>minh.bn226055@sis.hust.edu.vn</t>
  </si>
  <si>
    <t>20215541</t>
  </si>
  <si>
    <t>Bùi Quang Dũng</t>
  </si>
  <si>
    <t>dung.bq215541@sis.hust.edu.vn</t>
  </si>
  <si>
    <t>Phạm Huy Hoàng</t>
  </si>
  <si>
    <t>Kỹ thuật máy tính 01-K66</t>
  </si>
  <si>
    <t>Bùi Quang Hưng</t>
  </si>
  <si>
    <t>hung.bq225849@sis.hust.edu.vn</t>
  </si>
  <si>
    <t>Nguyễn Đức Tiến</t>
  </si>
  <si>
    <t>Việt Nhật 07-K67</t>
  </si>
  <si>
    <t>Bùi Quang Phong</t>
  </si>
  <si>
    <t>phong.bq224887@sis.hust.edu.vn</t>
  </si>
  <si>
    <t>Hoàng Văn Hiệp</t>
  </si>
  <si>
    <t>Đỗ Tiến Dũng</t>
  </si>
  <si>
    <t>Việt Nhật 03-K67</t>
  </si>
  <si>
    <t>Bùi quang tùng</t>
  </si>
  <si>
    <t>tung.bq225945@sis.hust.edu.vn</t>
  </si>
  <si>
    <t>Bùi Quốc Bảo</t>
  </si>
  <si>
    <t>bao.bq225601@sis.hust.edu.vn</t>
  </si>
  <si>
    <t>Nguyễn Thanh Hùng</t>
  </si>
  <si>
    <t>Việt Nhật 04-K67</t>
  </si>
  <si>
    <t>20220019</t>
  </si>
  <si>
    <t>Bùi Thành Công</t>
  </si>
  <si>
    <t>cong.bt220019@sis.hust.edu.vn</t>
  </si>
  <si>
    <t>Trần Vĩnh Đức</t>
  </si>
  <si>
    <t>Bùi Thị Xuân</t>
  </si>
  <si>
    <t>xuan.bt225957@sis.hust.edu.vn</t>
  </si>
  <si>
    <t>Đỗ Công Thuần</t>
  </si>
  <si>
    <t>20225938</t>
  </si>
  <si>
    <t>Bùi Thu Trang</t>
  </si>
  <si>
    <t>trang.bt225938@sis.hust.edu.vn</t>
  </si>
  <si>
    <t>20215565</t>
  </si>
  <si>
    <t>Bùi Trung Đức</t>
  </si>
  <si>
    <t>duc.bt215565@sis.hust.edu.vn</t>
  </si>
  <si>
    <t>Lã Thế Vinh</t>
  </si>
  <si>
    <t>Kỹ thuật máy tính 05-K66</t>
  </si>
  <si>
    <t>20215536</t>
  </si>
  <si>
    <t>Bùi Văn Cương</t>
  </si>
  <si>
    <t>cuong.bv215536@sis.hust.edu.vn</t>
  </si>
  <si>
    <t>Kỹ thuật máy tính 02-K66</t>
  </si>
  <si>
    <t>Bùi Văn Huy</t>
  </si>
  <si>
    <t>huy.bv225497@sis.hust.edu.vn</t>
  </si>
  <si>
    <t>Nguyễn Quốc Tuấn</t>
  </si>
  <si>
    <t>Bùi Văn Nam</t>
  </si>
  <si>
    <t>nam.bv225211@sis.hust.edu.vn</t>
  </si>
  <si>
    <t>Bùi Việt Hưng</t>
  </si>
  <si>
    <t>hung.bv225723@sis.hust.edu.vn</t>
  </si>
  <si>
    <t>Phạm Văn Hải</t>
  </si>
  <si>
    <t>Việt Nhật 01-K67</t>
  </si>
  <si>
    <t>Bùi Vũ Đức Nghĩa</t>
  </si>
  <si>
    <t>nghia.bvd224883@sis.hust.edu.vn</t>
  </si>
  <si>
    <t>Nguyễn Thị Thu Hương</t>
  </si>
  <si>
    <t>Bùi Xuân Đạt</t>
  </si>
  <si>
    <t>dat.bx225274@sis.hust.edu.vn</t>
  </si>
  <si>
    <t>Kỹ thuật máy tính 06-K67</t>
  </si>
  <si>
    <t>Bùi Xuân Hải</t>
  </si>
  <si>
    <t>hai.bx194268@sis.hust.edu.vn</t>
  </si>
  <si>
    <t>Kỹ thuật máy tính 03-K64</t>
  </si>
  <si>
    <t>Bùi Xuân Nhất</t>
  </si>
  <si>
    <t>nhat.bx225897@sis.hust.edu.vn</t>
  </si>
  <si>
    <t>Lê Bá Vui</t>
  </si>
  <si>
    <t>Bùi Xuân Sơn</t>
  </si>
  <si>
    <t>son.bx225586@sis.hust.edu.vn</t>
  </si>
  <si>
    <t>Nguyễn Duy Hiệp</t>
  </si>
  <si>
    <t>Kỹ thuật máy tính 02-K67</t>
  </si>
  <si>
    <t>son.bx226065@sis.hust.edu.vn</t>
  </si>
  <si>
    <t>Bùi Xuân Tùng</t>
  </si>
  <si>
    <t>tung.bx224905@sis.hust.edu.vn</t>
  </si>
  <si>
    <t>Nguyễn Khánh Phương</t>
  </si>
  <si>
    <t>Bùi Ý Nhi</t>
  </si>
  <si>
    <t>nhi.by225657@sis.hust.edu.vn</t>
  </si>
  <si>
    <t>Đinh Thị Hà Ly</t>
  </si>
  <si>
    <t>20225781</t>
  </si>
  <si>
    <t>Cao Đức Anh</t>
  </si>
  <si>
    <t>anh.cd225781@sis.hust.edu.vn</t>
  </si>
  <si>
    <t>Nguyễn Linh Giang</t>
  </si>
  <si>
    <t>Việt Nhật 05-K67</t>
  </si>
  <si>
    <t>Cao Thị Ngọc Huyền</t>
  </si>
  <si>
    <t>huyen.ctn225015@sis.hust.edu.vn</t>
  </si>
  <si>
    <t>Ngô Văn Linh</t>
  </si>
  <si>
    <t>20224948</t>
  </si>
  <si>
    <t>Cao Tuấn Đạt</t>
  </si>
  <si>
    <t>dat.ct224948@sis.hust.edu.vn</t>
  </si>
  <si>
    <t>Cao Văn Bảo</t>
  </si>
  <si>
    <t>bao.cv225166@sis.hust.edu.vn</t>
  </si>
  <si>
    <t>2023T070</t>
  </si>
  <si>
    <t>Cho Su Wai</t>
  </si>
  <si>
    <t>wai.cs23t070@sis.hust.edu.vn</t>
  </si>
  <si>
    <t>Nguyễn Phi Lê</t>
  </si>
  <si>
    <t>TD-K68</t>
  </si>
  <si>
    <t>20225018</t>
  </si>
  <si>
    <t>Chu Nam Khánh</t>
  </si>
  <si>
    <t>khanh.cn225018@sis.hust.edu.vn</t>
  </si>
  <si>
    <t>20225325</t>
  </si>
  <si>
    <t>Chu Quang Hưng</t>
  </si>
  <si>
    <t>hung.cq225325@sis.hust.edu.vn</t>
  </si>
  <si>
    <t>Chu Thành Thông</t>
  </si>
  <si>
    <t>thong.ct225096@sis.hust.edu.vn</t>
  </si>
  <si>
    <t>20225564</t>
  </si>
  <si>
    <t>Chu Trung Anh</t>
  </si>
  <si>
    <t>anh.ct225564@sis.hust.edu.vn</t>
  </si>
  <si>
    <t>Bùi Trọng Tùng</t>
  </si>
  <si>
    <t>Nguyễn Thị Kim Anh</t>
  </si>
  <si>
    <t>Chu Tuấn Nghĩa</t>
  </si>
  <si>
    <t>nghia.ct225056@sis.hust.edu.vn</t>
  </si>
  <si>
    <t>20194673</t>
  </si>
  <si>
    <t>Chu Văn Thành</t>
  </si>
  <si>
    <t>thanh.cv194673@sis.hust.edu.vn</t>
  </si>
  <si>
    <t>Trịnh Văn Loan</t>
  </si>
  <si>
    <t>Information Technology Specialist 02-K64</t>
  </si>
  <si>
    <t>20225401</t>
  </si>
  <si>
    <t>Chử Quang Thành</t>
  </si>
  <si>
    <t>thanh.cq225401@sis.hust.edu.vn</t>
  </si>
  <si>
    <t>Nguyễn Quốc Khánh</t>
  </si>
  <si>
    <t>20225932</t>
  </si>
  <si>
    <t>Dương Công Thuyết</t>
  </si>
  <si>
    <t>thuyet.dc225932@sis.hust.edu.vn</t>
  </si>
  <si>
    <t>Việt Nhật 02-K67</t>
  </si>
  <si>
    <t>20225185</t>
  </si>
  <si>
    <t>Dương Đăng Duy</t>
  </si>
  <si>
    <t>duy.dd225185@sis.hust.edu.vn</t>
  </si>
  <si>
    <t>Đoàn Phong Tùng</t>
  </si>
  <si>
    <t>20225624</t>
  </si>
  <si>
    <t>Dương Đức Hiếu</t>
  </si>
  <si>
    <t>hieu.dd225624@sis.hust.edu.vn</t>
  </si>
  <si>
    <t>20215059</t>
  </si>
  <si>
    <t>Dương Đức Huy</t>
  </si>
  <si>
    <t>huy.dd215059@sis.hust.edu.vn</t>
  </si>
  <si>
    <t>Việt Nhật 03-K66</t>
  </si>
  <si>
    <t>Dương Hải Anh</t>
  </si>
  <si>
    <t>anh.dh224915@sis.hust.edu.vn</t>
  </si>
  <si>
    <t>Trần Nhật Hoá</t>
  </si>
  <si>
    <t>Dương Mạnh Kiên</t>
  </si>
  <si>
    <t>kien.dm225576@sis.hust.edu.vn</t>
  </si>
  <si>
    <t>Nguyễn Thị Thu Trang</t>
  </si>
  <si>
    <t>Khoa học máy tính 04-K64</t>
  </si>
  <si>
    <t>20226001</t>
  </si>
  <si>
    <t>Dương Phương Thảo</t>
  </si>
  <si>
    <t>thao.dp226001@sis.hust.edu.vn</t>
  </si>
  <si>
    <t>Dương Quang Anh</t>
  </si>
  <si>
    <t>anh.dq224916@sis.hust.edu.vn</t>
  </si>
  <si>
    <t>Lê Thanh Hương</t>
  </si>
  <si>
    <t>Dương Quang Đông</t>
  </si>
  <si>
    <t>dong.dq225808@sis.hust.edu.vn</t>
  </si>
  <si>
    <t>Nguyễn Tiến Thành</t>
  </si>
  <si>
    <t>Dương Quang Khải</t>
  </si>
  <si>
    <t>khai.dq225340@sis.hust.edu.vn</t>
  </si>
  <si>
    <t>Dương Thái Anh</t>
  </si>
  <si>
    <t>anh.dt226099@sis.hust.edu.vn</t>
  </si>
  <si>
    <t>Dương Trường Giang</t>
  </si>
  <si>
    <t>giang.dt224972@sis.hust.edu.vn</t>
  </si>
  <si>
    <t>Dương Tuấn Nghĩa</t>
  </si>
  <si>
    <t>nghia.dt225753@sis.hust.edu.vn</t>
  </si>
  <si>
    <t>Dương Vũ Hoàng</t>
  </si>
  <si>
    <t>hoang.dv224987@sis.hust.edu.vn</t>
  </si>
  <si>
    <t>Đàm Quang Đức</t>
  </si>
  <si>
    <t>duc.dq225483@sis.hust.edu.vn</t>
  </si>
  <si>
    <t>Đàm Thanh Bách</t>
  </si>
  <si>
    <t>bach.dt225600@sis.hust.edu.vn</t>
  </si>
  <si>
    <t>20224884</t>
  </si>
  <si>
    <t>Đào Bảo Ngọc</t>
  </si>
  <si>
    <t>ngoc.db224884@sis.hust.edu.vn</t>
  </si>
  <si>
    <t>Đào Phúc Long</t>
  </si>
  <si>
    <t>long.dp220034@sis.hust.edu.vn</t>
  </si>
  <si>
    <t>Trần Đình Khang</t>
  </si>
  <si>
    <t>Đinh Viết Sang</t>
  </si>
  <si>
    <t>Đào Vũ Tiến Đạt</t>
  </si>
  <si>
    <t>dat.dvt225479@sis.hust.edu.vn</t>
  </si>
  <si>
    <t>20225449</t>
  </si>
  <si>
    <t>Đào Xuân Quang Minh</t>
  </si>
  <si>
    <t>minh.dxq225449@sis.hust.edu.vn</t>
  </si>
  <si>
    <t>20225609</t>
  </si>
  <si>
    <t>Đặng Anh Đức</t>
  </si>
  <si>
    <t>duc.da225609@sis.hust.edu.vn</t>
  </si>
  <si>
    <t>Bùi Trọng Đức</t>
  </si>
  <si>
    <t>20204854</t>
  </si>
  <si>
    <t>Đặng Duy Thịnh</t>
  </si>
  <si>
    <t>thinh.dd204854@sis.hust.edu.vn</t>
  </si>
  <si>
    <t>Kỹ thuật máy tính 03-K65</t>
  </si>
  <si>
    <t>Đặng Đình Khải</t>
  </si>
  <si>
    <t>khai.dd224863@sis.hust.edu.vn</t>
  </si>
  <si>
    <t>Vũ Đức Vượng</t>
  </si>
  <si>
    <t>Khoa học máy tính 01-K67</t>
  </si>
  <si>
    <t>Đặng Hải Anh</t>
  </si>
  <si>
    <t>anh.dh225688@sis.hust.edu.vn</t>
  </si>
  <si>
    <t>20224944</t>
  </si>
  <si>
    <t>Đặng Hải Đăng</t>
  </si>
  <si>
    <t>dang.dh224944@sis.hust.edu.vn</t>
  </si>
  <si>
    <t>20224886</t>
  </si>
  <si>
    <t>Đặng Hiếu Nguyên</t>
  </si>
  <si>
    <t>nguyen.dh224886@sis.hust.edu.vn</t>
  </si>
  <si>
    <t>Nguyễn Tuấn Dũng</t>
  </si>
  <si>
    <t>Đặng Hồng Minh</t>
  </si>
  <si>
    <t>minh.dh225740@sis.hust.edu.vn</t>
  </si>
  <si>
    <t>Đặng Kim Ngân</t>
  </si>
  <si>
    <t>ngan.dk225751@sis.hust.edu.vn</t>
  </si>
  <si>
    <t>20215001</t>
  </si>
  <si>
    <t>Đặng Minh Chức</t>
  </si>
  <si>
    <t>chuc.dm215001@sis.hust.edu.vn</t>
  </si>
  <si>
    <t>Ngô Quỳnh Thu</t>
  </si>
  <si>
    <t>Việt Nhật 04-K66</t>
  </si>
  <si>
    <t>Đặng Minh Hoàng</t>
  </si>
  <si>
    <t>hoang.dm225719@sis.hust.edu.vn</t>
  </si>
  <si>
    <t>Đặng Minh Trí</t>
  </si>
  <si>
    <t>tri.dm225939@sis.hust.edu.vn</t>
  </si>
  <si>
    <t>Đặng Ngọc Quý</t>
  </si>
  <si>
    <t>quy.dn225074@sis.hust.edu.vn</t>
  </si>
  <si>
    <t>Nguyễn Hồng Quang</t>
  </si>
  <si>
    <t>Khoa học máy tính 07-K67</t>
  </si>
  <si>
    <t>20225304</t>
  </si>
  <si>
    <t>Đặng Nguyên Giáp</t>
  </si>
  <si>
    <t>giap.dn225304@sis.hust.edu.vn</t>
  </si>
  <si>
    <t>Đặng Phương Nam</t>
  </si>
  <si>
    <t>nam.dp225892@sis.hust.edu.vn</t>
  </si>
  <si>
    <t>Đặng Quang Huy</t>
  </si>
  <si>
    <t>huy.dq225853@sis.hust.edu.vn</t>
  </si>
  <si>
    <t>20225235</t>
  </si>
  <si>
    <t>Đặng Thái Tuấn</t>
  </si>
  <si>
    <t>tuan.dt225235@sis.hust.edu.vn</t>
  </si>
  <si>
    <t>Kỹ thuật máy tính 01-K67</t>
  </si>
  <si>
    <t>20225111</t>
  </si>
  <si>
    <t>Đặng Thanh Tùng</t>
  </si>
  <si>
    <t>tung.dt225111@sis.hust.edu.vn</t>
  </si>
  <si>
    <t>20225951</t>
  </si>
  <si>
    <t>Đặng Thành Tựu</t>
  </si>
  <si>
    <t>tuu.dt225951@sis.hust.edu.vn</t>
  </si>
  <si>
    <t>Trịnh Văn Chiến</t>
  </si>
  <si>
    <t>Đặng Tuấn Anh</t>
  </si>
  <si>
    <t>anh.dt225247@sis.hust.edu.vn</t>
  </si>
  <si>
    <t>Trần Hải Anh</t>
  </si>
  <si>
    <t>20215597</t>
  </si>
  <si>
    <t>Đặng Tuấn Khải</t>
  </si>
  <si>
    <t>khai.dt215597@sis.hust.edu.vn</t>
  </si>
  <si>
    <t>Đặng Văn Nhân</t>
  </si>
  <si>
    <t>nhan.dv225990@sis.hust.edu.vn</t>
  </si>
  <si>
    <t>Nguyễn Thị Oanh</t>
  </si>
  <si>
    <t>20215639</t>
  </si>
  <si>
    <t>Đậu Danh Thái</t>
  </si>
  <si>
    <t>thai.dd215639@sis.hust.edu.vn</t>
  </si>
  <si>
    <t>Kỹ thuật máy tính 04-K66</t>
  </si>
  <si>
    <t>Đậu Quốc Duy</t>
  </si>
  <si>
    <t>duy.dq224971@sis.hust.edu.vn</t>
  </si>
  <si>
    <t>Trịnh Anh Phúc</t>
  </si>
  <si>
    <t>20225050</t>
  </si>
  <si>
    <t>Đậu Văn Nam</t>
  </si>
  <si>
    <t>nam.dv225050@sis.hust.edu.vn</t>
  </si>
  <si>
    <t>20225446</t>
  </si>
  <si>
    <t>Đinh Bảo Hưng</t>
  </si>
  <si>
    <t>hung.db225446@sis.hust.edu.vn</t>
  </si>
  <si>
    <t>Đinh Bảo Phúc</t>
  </si>
  <si>
    <t>phuc.db224889@sis.hust.edu.vn</t>
  </si>
  <si>
    <t>Bùi Thị Mai Anh</t>
  </si>
  <si>
    <t>Đinh Công Thái</t>
  </si>
  <si>
    <t>thai.dc224898@sis.hust.edu.vn</t>
  </si>
  <si>
    <t>20225683</t>
  </si>
  <si>
    <t>Đinh Đình Hải Việt</t>
  </si>
  <si>
    <t>viet.ddh225683@sis.hust.edu.vn</t>
  </si>
  <si>
    <t>Đinh Đình Lộc</t>
  </si>
  <si>
    <t>loc.dd225647@sis.hust.edu.vn</t>
  </si>
  <si>
    <t>Đỗ Bá Lâm</t>
  </si>
  <si>
    <t>Đinh Đức Anh</t>
  </si>
  <si>
    <t>anh.dd225782@sis.hust.edu.vn</t>
  </si>
  <si>
    <t>20225314</t>
  </si>
  <si>
    <t>Đinh Đức Hiếu</t>
  </si>
  <si>
    <t>hieu.dd225314@sis.hust.edu.vn</t>
  </si>
  <si>
    <t>20224959</t>
  </si>
  <si>
    <t>Đinh Mạnh Dũng</t>
  </si>
  <si>
    <t>dung.dm224959@sis.hust.edu.vn</t>
  </si>
  <si>
    <t>Đinh Ngọc Duyên</t>
  </si>
  <si>
    <t>duyen.dn225124@sis.hust.edu.vn</t>
  </si>
  <si>
    <t>Đinh Ngọc Khánh Huyền</t>
  </si>
  <si>
    <t>huyen.dnk225726@sis.hust.edu.vn</t>
  </si>
  <si>
    <t>Vũ Văn Thiệu</t>
  </si>
  <si>
    <t>20226000</t>
  </si>
  <si>
    <t>Đinh Ngọc Lập Thành</t>
  </si>
  <si>
    <t>thanh.dnl226000@sis.hust.edu.vn</t>
  </si>
  <si>
    <t>Đinh Nguyễn Sơn</t>
  </si>
  <si>
    <t>son.dn225997@sis.hust.edu.vn</t>
  </si>
  <si>
    <t>Đinh Quốc Đạt</t>
  </si>
  <si>
    <t>dat.dq225275@sis.hust.edu.vn</t>
  </si>
  <si>
    <t>Đinh Tạ Hoàng Dũng</t>
  </si>
  <si>
    <t>dung.dth225290@sis.hust.edu.vn</t>
  </si>
  <si>
    <t>20224932</t>
  </si>
  <si>
    <t>Đinh Tiến Cảnh</t>
  </si>
  <si>
    <t>canh.dt224932@sis.hust.edu.vn</t>
  </si>
  <si>
    <t>20225872</t>
  </si>
  <si>
    <t>Đinh Tuấn Kiệt</t>
  </si>
  <si>
    <t>kiet.dt225872@sis.hust.edu.vn</t>
  </si>
  <si>
    <t>20225505</t>
  </si>
  <si>
    <t>Đinh Văn Kiên</t>
  </si>
  <si>
    <t>kien.dv225505@sis.hust.edu.vn</t>
  </si>
  <si>
    <t>Đoàn Anh Vũ</t>
  </si>
  <si>
    <t>vu.da225465@sis.hust.edu.vn</t>
  </si>
  <si>
    <t>20194150</t>
  </si>
  <si>
    <t>Đoàn Diễm Quỳnh</t>
  </si>
  <si>
    <t>quynh.dd194150@sis.hust.edu.vn</t>
  </si>
  <si>
    <t>Khoa học máy tính 06-K64</t>
  </si>
  <si>
    <t>Đoàn Duy Tùng</t>
  </si>
  <si>
    <t>tung.dd224906@sis.hust.edu.vn</t>
  </si>
  <si>
    <t>Trịnh Tuấn Đạt</t>
  </si>
  <si>
    <t>ICT 02-K66</t>
  </si>
  <si>
    <t>20224890</t>
  </si>
  <si>
    <t>Đoàn Đại Phúc</t>
  </si>
  <si>
    <t>phuc.dd224890@sis.hust.edu.vn</t>
  </si>
  <si>
    <t>Nguyễn Văn Sơn</t>
  </si>
  <si>
    <t>Đoàn Mạnh Hùng</t>
  </si>
  <si>
    <t>hung.dm224995@sis.hust.edu.vn</t>
  </si>
  <si>
    <t>Đoàn Nhật Quang</t>
  </si>
  <si>
    <t>quang.dn225911@sis.hust.edu.vn</t>
  </si>
  <si>
    <t>Nguyễn Hồng Phương</t>
  </si>
  <si>
    <t>20225946</t>
  </si>
  <si>
    <t>Đoàn Thanh Tùng</t>
  </si>
  <si>
    <t>tung.dt225946@sis.hust.edu.vn</t>
  </si>
  <si>
    <t>Đỗ Tuấn Anh</t>
  </si>
  <si>
    <t>Đoàn Thị Thu Quyên</t>
  </si>
  <si>
    <t>quyen.dtt226063@sis.hust.edu.vn</t>
  </si>
  <si>
    <t>Đoàn Tiến Dũng</t>
  </si>
  <si>
    <t>dung.dt220072@sis.hust.edu.vn</t>
  </si>
  <si>
    <t>20220060</t>
  </si>
  <si>
    <t>Đỗ Doãn Hoàng Du</t>
  </si>
  <si>
    <t>du.ddh220060@sis.hust.edu.vn</t>
  </si>
  <si>
    <t>20225953</t>
  </si>
  <si>
    <t>Đỗ Doãn Vinh</t>
  </si>
  <si>
    <t>vinh.dd225953@sis.hust.edu.vn</t>
  </si>
  <si>
    <t>20224986</t>
  </si>
  <si>
    <t>Đỗ Đình Hoàn</t>
  </si>
  <si>
    <t>hoan.dd224986@sis.hust.edu.vn</t>
  </si>
  <si>
    <t>Đỗ Đình Hoàng</t>
  </si>
  <si>
    <t>hoang.dd225445@sis.hust.edu.vn</t>
  </si>
  <si>
    <t>Đỗ Đức Long</t>
  </si>
  <si>
    <t>long.dd225034@sis.hust.edu.vn</t>
  </si>
  <si>
    <t>20225106</t>
  </si>
  <si>
    <t>Đỗ Đức Tú</t>
  </si>
  <si>
    <t>tu.dd225106@sis.hust.edu.vn</t>
  </si>
  <si>
    <t>CTTT Data Science &amp; AI 02-K65</t>
  </si>
  <si>
    <t>Đỗ Gia Huy</t>
  </si>
  <si>
    <t>huy.dg226085@sis.hust.edu.vn</t>
  </si>
  <si>
    <t>CNTT Việt Pháp 01-K67</t>
  </si>
  <si>
    <t>Khoa học máy tính 06-K65</t>
  </si>
  <si>
    <t>huy.dg215060@sis.hust.edu.vn</t>
  </si>
  <si>
    <t>Đỗ Hoàng Đông</t>
  </si>
  <si>
    <t>dong.dh225807@sis.hust.edu.vn</t>
  </si>
  <si>
    <t>Bành Thị Quỳnh Mai</t>
  </si>
  <si>
    <t>20225286</t>
  </si>
  <si>
    <t>Đỗ Hoàng Đức</t>
  </si>
  <si>
    <t>duc.dh225286@sis.hust.edu.vn</t>
  </si>
  <si>
    <t>20224877</t>
  </si>
  <si>
    <t>Đỗ Hoàng Minh</t>
  </si>
  <si>
    <t>minh.dh224877@sis.hust.edu.vn</t>
  </si>
  <si>
    <t>Đỗ Huy Đạt</t>
  </si>
  <si>
    <t>dat.dh220024@sis.hust.edu.vn</t>
  </si>
  <si>
    <t>20225988</t>
  </si>
  <si>
    <t>Đỗ Khánh Nam</t>
  </si>
  <si>
    <t>nam.dk225988@sis.hust.edu.vn</t>
  </si>
  <si>
    <t>20225172</t>
  </si>
  <si>
    <t>Đỗ Mạnh Cường</t>
  </si>
  <si>
    <t>cuong.dm225172@sis.hust.edu.vn</t>
  </si>
  <si>
    <t>Đỗ Mạnh Phương</t>
  </si>
  <si>
    <t>phuong.dm225660@sis.hust.edu.vn</t>
  </si>
  <si>
    <t>20200333</t>
  </si>
  <si>
    <t>Đỗ Minh Khôi</t>
  </si>
  <si>
    <t>khoi.dm200333@sis.hust.edu.vn</t>
  </si>
  <si>
    <t>Dương Quang Huy</t>
  </si>
  <si>
    <t>Việt Nhật 03-K65</t>
  </si>
  <si>
    <t>20225064</t>
  </si>
  <si>
    <t>Đỗ Minh Phúc</t>
  </si>
  <si>
    <t>phuc.dm225064@sis.hust.edu.vn</t>
  </si>
  <si>
    <t>Đỗ Minh Tâm</t>
  </si>
  <si>
    <t>tam.dm225668@sis.hust.edu.vn</t>
  </si>
  <si>
    <t>20207649</t>
  </si>
  <si>
    <t>Đỗ Minh Thiện</t>
  </si>
  <si>
    <t>thien.dm207649@sis.hust.edu.vn</t>
  </si>
  <si>
    <t>IT-LTU 02-K65</t>
  </si>
  <si>
    <t>20210901</t>
  </si>
  <si>
    <t>Đỗ Minh Tuấn</t>
  </si>
  <si>
    <t>tuan.dm210901@sis.hust.edu.vn</t>
  </si>
  <si>
    <t>Lê Đức Trung</t>
  </si>
  <si>
    <t>20225928</t>
  </si>
  <si>
    <t>Đỗ Ngọc Thanh</t>
  </si>
  <si>
    <t>thanh.dn225928@sis.hust.edu.vn</t>
  </si>
  <si>
    <t>20225209</t>
  </si>
  <si>
    <t>Đỗ Nhật Minh</t>
  </si>
  <si>
    <t>minh.dn225209@sis.hust.edu.vn</t>
  </si>
  <si>
    <t>Đỗ Quang Huy</t>
  </si>
  <si>
    <t>huy.dq225854@sis.hust.edu.vn</t>
  </si>
  <si>
    <t>20215391</t>
  </si>
  <si>
    <t>Đỗ Quốc Huy</t>
  </si>
  <si>
    <t>huy.dq215391@sis.hust.edu.vn</t>
  </si>
  <si>
    <t>Khoa học máy tính 07-K66</t>
  </si>
  <si>
    <t>20198182</t>
  </si>
  <si>
    <t>Đỗ Quốc Khánh</t>
  </si>
  <si>
    <t>khanh.dq198182@sis.hust.edu.vn</t>
  </si>
  <si>
    <t>IT-GINP 01-K64</t>
  </si>
  <si>
    <t>Đỗ Sơn Tùng</t>
  </si>
  <si>
    <t>tung.ds225425@sis.hust.edu.vn</t>
  </si>
  <si>
    <t>Nguyễn Kim Khánh</t>
  </si>
  <si>
    <t>20225382</t>
  </si>
  <si>
    <t>Đỗ Thế Quân</t>
  </si>
  <si>
    <t>quan.dt225382@sis.hust.edu.vn</t>
  </si>
  <si>
    <t>Đỗ Trần Gia Bách</t>
  </si>
  <si>
    <t>bach.dtg225472@sis.hust.edu.vn</t>
  </si>
  <si>
    <t>Thân Quang Khoát</t>
  </si>
  <si>
    <t>20224869</t>
  </si>
  <si>
    <t>Đỗ Trung Kiên</t>
  </si>
  <si>
    <t>kien.dt224869@sis.hust.edu.vn</t>
  </si>
  <si>
    <t>20194199</t>
  </si>
  <si>
    <t>Đỗ Tú</t>
  </si>
  <si>
    <t>tu.d194199@sis.hust.edu.vn</t>
  </si>
  <si>
    <t>20225741</t>
  </si>
  <si>
    <t>Đỗ Tuấn Minh</t>
  </si>
  <si>
    <t>minh.dt225741@sis.hust.edu.vn</t>
  </si>
  <si>
    <t>20224865</t>
  </si>
  <si>
    <t>Đỗ Vĩnh Khang</t>
  </si>
  <si>
    <t>khang.dv224865@sis.hust.edu.vn</t>
  </si>
  <si>
    <t>Vũ Tuyết Trinh</t>
  </si>
  <si>
    <t>20224933</t>
  </si>
  <si>
    <t>Đỗ Xuân Chiến</t>
  </si>
  <si>
    <t>chien.dx224933@sis.hust.edu.vn</t>
  </si>
  <si>
    <t>20225331</t>
  </si>
  <si>
    <t>Đỗ Xuân Huy</t>
  </si>
  <si>
    <t>huy.dx225331@sis.hust.edu.vn</t>
  </si>
  <si>
    <t>Kỹ thuật máy tính 05-K67</t>
  </si>
  <si>
    <t>20225234</t>
  </si>
  <si>
    <t>Đỗ Xuân Thanh Tú</t>
  </si>
  <si>
    <t>tu.dxt225234@sis.hust.edu.vn</t>
  </si>
  <si>
    <t>Đồng Phúc Lâm</t>
  </si>
  <si>
    <t>lam.dp225027@sis.hust.edu.vn</t>
  </si>
  <si>
    <t>20225076</t>
  </si>
  <si>
    <t>Giang Thái Sơn</t>
  </si>
  <si>
    <t>son.gt225076@sis.hust.edu.vn</t>
  </si>
  <si>
    <t>20215463</t>
  </si>
  <si>
    <t>Giang Trung Quân</t>
  </si>
  <si>
    <t>quan.gt215463@sis.hust.edu.vn</t>
  </si>
  <si>
    <t>Khoa học máy tính 01-K66</t>
  </si>
  <si>
    <t>20215223</t>
  </si>
  <si>
    <t>Hà Hiểu Minh</t>
  </si>
  <si>
    <t>minh.hh215223@sis.hust.edu.vn</t>
  </si>
  <si>
    <t>ICT 01-K66</t>
  </si>
  <si>
    <t>20204751</t>
  </si>
  <si>
    <t>Hà Hoàng Tuấn Hùng</t>
  </si>
  <si>
    <t>hung.hht204751@sis.hust.edu.vn</t>
  </si>
  <si>
    <t>Hà Huy Dương</t>
  </si>
  <si>
    <t>duong.hh225183@sis.hust.edu.vn</t>
  </si>
  <si>
    <t>Hà Huy Hoàng</t>
  </si>
  <si>
    <t>hoang.hh224988@sis.hust.edu.vn</t>
  </si>
  <si>
    <t>20220119</t>
  </si>
  <si>
    <t>Hà Kim Minh</t>
  </si>
  <si>
    <t>minh.hk220119@sis.hust.edu.vn</t>
  </si>
  <si>
    <t>Hà Minh Đức</t>
  </si>
  <si>
    <t>duc.hm226027@sis.hust.edu.vn</t>
  </si>
  <si>
    <t>Hà Minh Hiếu</t>
  </si>
  <si>
    <t>hieu.hm220026@sis.hust.edu.vn</t>
  </si>
  <si>
    <t>Việt Nhật 05-K66</t>
  </si>
  <si>
    <t>20225855</t>
  </si>
  <si>
    <t>Hà Ngọc Huy</t>
  </si>
  <si>
    <t>huy.hn225855@sis.hust.edu.vn</t>
  </si>
  <si>
    <t>Trương Thị Diệu Linh</t>
  </si>
  <si>
    <t>Hạ Nhật Duy</t>
  </si>
  <si>
    <t>duy.hn225544@sis.hust.edu.vn</t>
  </si>
  <si>
    <t>IT-LTU 02-K64</t>
  </si>
  <si>
    <t>Hà Trung Chiến</t>
  </si>
  <si>
    <t>chien.ht225794@sis.hust.edu.vn</t>
  </si>
  <si>
    <t>Hà Tùng Dương</t>
  </si>
  <si>
    <t>duong.ht225615@sis.hust.edu.vn</t>
  </si>
  <si>
    <t>Lê Đức Hậu</t>
  </si>
  <si>
    <t>Hà Việt Khánh</t>
  </si>
  <si>
    <t>khanh.hv225979@sis.hust.edu.vn</t>
  </si>
  <si>
    <t>20194026</t>
  </si>
  <si>
    <t>Hán Mạnh Dũng</t>
  </si>
  <si>
    <t>dung.hm194026@sis.hust.edu.vn</t>
  </si>
  <si>
    <t>20224893</t>
  </si>
  <si>
    <t>Hoàng Anh Quyền</t>
  </si>
  <si>
    <t>quyen.ha224893@sis.hust.edu.vn</t>
  </si>
  <si>
    <t>Hoàng Anh Tú</t>
  </si>
  <si>
    <t>tu.ha220055@sis.hust.edu.vn</t>
  </si>
  <si>
    <t>20225109</t>
  </si>
  <si>
    <t>Hoàng Anh Tuấn</t>
  </si>
  <si>
    <t>tuan.ha225109@sis.hust.edu.vn</t>
  </si>
  <si>
    <t>Trịnh Thành Trung</t>
  </si>
  <si>
    <t>20225929</t>
  </si>
  <si>
    <t>Hoàng Chí Thanh</t>
  </si>
  <si>
    <t>thanh.hc225929@sis.hust.edu.vn</t>
  </si>
  <si>
    <t>20225947</t>
  </si>
  <si>
    <t>Hoàng Công Tùng</t>
  </si>
  <si>
    <t>tung.hc225947@sis.hust.edu.vn</t>
  </si>
  <si>
    <t>Hoàng Công Vinh</t>
  </si>
  <si>
    <t>vinh.hc225238@sis.hust.edu.vn</t>
  </si>
  <si>
    <t>20225281</t>
  </si>
  <si>
    <t>Hoàng Diệu</t>
  </si>
  <si>
    <t>dieu.h225281@sis.hust.edu.vn</t>
  </si>
  <si>
    <t>Hoàng Đức Khải</t>
  </si>
  <si>
    <t>khai.hd225341@sis.hust.edu.vn</t>
  </si>
  <si>
    <t>Hoàng Đức Tấn</t>
  </si>
  <si>
    <t>tan.hd225924@sis.hust.edu.vn</t>
  </si>
  <si>
    <t>Hoàng Hà Sơn</t>
  </si>
  <si>
    <t>son.hh220122@sis.hust.edu.vn</t>
  </si>
  <si>
    <t>20225174</t>
  </si>
  <si>
    <t>Hoàng Hải Đăng</t>
  </si>
  <si>
    <t>dang.hh225174@sis.hust.edu.vn</t>
  </si>
  <si>
    <t>20225619</t>
  </si>
  <si>
    <t>Hoàng Hương Giang</t>
  </si>
  <si>
    <t>giang.hh225619@sis.hust.edu.vn</t>
  </si>
  <si>
    <t>Hoàng Khải Mạnh</t>
  </si>
  <si>
    <t>manh.hk225984@sis.hust.edu.vn</t>
  </si>
  <si>
    <t>20194019</t>
  </si>
  <si>
    <t>Hoàng Khắc Đông</t>
  </si>
  <si>
    <t>dong.hk194019@sis.hust.edu.vn</t>
  </si>
  <si>
    <t>Khoa học máy tính 03-K64</t>
  </si>
  <si>
    <t>20226018</t>
  </si>
  <si>
    <t>Hoàng Mạnh Cường</t>
  </si>
  <si>
    <t>cuong.hm226018@sis.hust.edu.vn</t>
  </si>
  <si>
    <t>20225187</t>
  </si>
  <si>
    <t>Hoàng Minh Hải</t>
  </si>
  <si>
    <t>hai.hm225187@sis.hust.edu.vn</t>
  </si>
  <si>
    <t>20215236</t>
  </si>
  <si>
    <t>Hoàng Minh Quân</t>
  </si>
  <si>
    <t>quan.hm215236@sis.hust.edu.vn</t>
  </si>
  <si>
    <t>Phạm Ngọc Hưng</t>
  </si>
  <si>
    <t>20215300</t>
  </si>
  <si>
    <t>Hoàng Ngọc Anh</t>
  </si>
  <si>
    <t>anh.hn215300@sis.hust.edu.vn</t>
  </si>
  <si>
    <t>Khoa học máy tính 03-K66</t>
  </si>
  <si>
    <t>Hoàng Quốc Hùng</t>
  </si>
  <si>
    <t>hung.hq224857@sis.hust.edu.vn</t>
  </si>
  <si>
    <t>Ban Hà Bằng</t>
  </si>
  <si>
    <t>K63</t>
  </si>
  <si>
    <t>Hoàng Quốc Hưng</t>
  </si>
  <si>
    <t>hung.hq226043@sis.hust.edu.vn</t>
  </si>
  <si>
    <t>20215154</t>
  </si>
  <si>
    <t>Hoàng Quốc Trung</t>
  </si>
  <si>
    <t>trung.hq215154@sis.hust.edu.vn</t>
  </si>
  <si>
    <t>Việt Nhật 01-K66</t>
  </si>
  <si>
    <t>20225684</t>
  </si>
  <si>
    <t>Hoàng Quốc Việt</t>
  </si>
  <si>
    <t>viet.hq225684@sis.hust.edu.vn</t>
  </si>
  <si>
    <t>20214979</t>
  </si>
  <si>
    <t>Hoàng Sơn Tùng</t>
  </si>
  <si>
    <t>tung.hs214979@sis.hust.edu.vn</t>
  </si>
  <si>
    <t>CTTT An toàn không gian số 01-K66</t>
  </si>
  <si>
    <t>20225821</t>
  </si>
  <si>
    <t>Hoàng Thái Dương</t>
  </si>
  <si>
    <t>duong.ht225821@sis.hust.edu.vn</t>
  </si>
  <si>
    <t>20204508</t>
  </si>
  <si>
    <t>Hoàng Thế Anh</t>
  </si>
  <si>
    <t>anh.ht204508@sis.hust.edu.vn</t>
  </si>
  <si>
    <t>Khoa học máy tính 03-K65</t>
  </si>
  <si>
    <t>20224834</t>
  </si>
  <si>
    <t>Hoàng Trần Minh Đức</t>
  </si>
  <si>
    <t>duc.htm224834@sis.hust.edu.vn</t>
  </si>
  <si>
    <t>20240849E</t>
  </si>
  <si>
    <t>Hoàng Trọng Tiến</t>
  </si>
  <si>
    <t>tien.ht240849e@sis.hust.edu.vn</t>
  </si>
  <si>
    <t>KS-GenAI-K69</t>
  </si>
  <si>
    <t>Hoàng Trung Hiếu</t>
  </si>
  <si>
    <t>hieu.ht226039@sis.hust.edu.vn</t>
  </si>
  <si>
    <t>20225502</t>
  </si>
  <si>
    <t>Hoàng Trung Khải</t>
  </si>
  <si>
    <t>khai.ht225502@sis.hust.edu.vn</t>
  </si>
  <si>
    <t>20225560</t>
  </si>
  <si>
    <t>Hoàng Việt Tùng</t>
  </si>
  <si>
    <t>tung.hv225560@sis.hust.edu.vn</t>
  </si>
  <si>
    <t>Hoàng Yến Nhi</t>
  </si>
  <si>
    <t>nhi.hy225898@sis.hust.edu.vn</t>
  </si>
  <si>
    <t>Hồ Bảo Thư</t>
  </si>
  <si>
    <t>thu.hb226003@sis.hust.edu.vn</t>
  </si>
  <si>
    <t>20225676</t>
  </si>
  <si>
    <t>Hồ Đức Tú</t>
  </si>
  <si>
    <t>tu.hd225676@sis.hust.edu.vn</t>
  </si>
  <si>
    <t>20225387</t>
  </si>
  <si>
    <t>Hồ Minh Quang</t>
  </si>
  <si>
    <t>quang.hm225387@sis.hust.edu.vn</t>
  </si>
  <si>
    <t>20215239</t>
  </si>
  <si>
    <t>Hồ Nam Sơn</t>
  </si>
  <si>
    <t>son.hn215239@sis.hust.edu.vn</t>
  </si>
  <si>
    <t>20225090</t>
  </si>
  <si>
    <t>Hồ Quốc Thành</t>
  </si>
  <si>
    <t>thanh.hq225090@sis.hust.edu.vn</t>
  </si>
  <si>
    <t>20225248</t>
  </si>
  <si>
    <t>Hồ Thế Anh</t>
  </si>
  <si>
    <t>anh.ht225248@sis.hust.edu.vn</t>
  </si>
  <si>
    <t>Hồ Tuấn Huy</t>
  </si>
  <si>
    <t>huy.ht225856@sis.hust.edu.vn</t>
  </si>
  <si>
    <t>20225306</t>
  </si>
  <si>
    <t>Hồ Văn Hải</t>
  </si>
  <si>
    <t>hai.hv225306@sis.hust.edu.vn</t>
  </si>
  <si>
    <t>20225200</t>
  </si>
  <si>
    <t>Hồ Viết Huy</t>
  </si>
  <si>
    <t>huy.hv225200@sis.hust.edu.vn</t>
  </si>
  <si>
    <t>Lê Văn Đồng</t>
  </si>
  <si>
    <t>Hồ Xuân Thái</t>
  </si>
  <si>
    <t>thai.hx225393@sis.hust.edu.vn</t>
  </si>
  <si>
    <t>Htet Arkar Linn</t>
  </si>
  <si>
    <t>linn.ha239904@sis.hust.edu.vn</t>
  </si>
  <si>
    <t>20225179</t>
  </si>
  <si>
    <t>Huỳnh Đoàn Minh Đức</t>
  </si>
  <si>
    <t>duc.hdm225179@sis.hust.edu.vn</t>
  </si>
  <si>
    <t>20198183</t>
  </si>
  <si>
    <t>Huỳnh Khắc Anh Khoa</t>
  </si>
  <si>
    <t>khoa.hka198183@sis.hust.edu.vn</t>
  </si>
  <si>
    <t>Kha Minh Bảo</t>
  </si>
  <si>
    <t>bao.km210098@sis.hust.edu.vn</t>
  </si>
  <si>
    <t>20225072</t>
  </si>
  <si>
    <t>Khổng Đức Quang</t>
  </si>
  <si>
    <t>quang.kd225072@sis.hust.edu.vn</t>
  </si>
  <si>
    <t>20215004</t>
  </si>
  <si>
    <t>Khổng Lê Cường</t>
  </si>
  <si>
    <t>cuong.kl215004@sis.hust.edu.vn</t>
  </si>
  <si>
    <t>Trần Quang Đức</t>
  </si>
  <si>
    <t>Việt Nhật 02-K66</t>
  </si>
  <si>
    <t>Khuất Thế Anh</t>
  </si>
  <si>
    <t>anh.kt226008@sis.hust.edu.vn</t>
  </si>
  <si>
    <t>Kiều Văn Bảo</t>
  </si>
  <si>
    <t>bao.kv225261@sis.hust.edu.vn</t>
  </si>
  <si>
    <t>Kim Duy Minh</t>
  </si>
  <si>
    <t>minh.kd225578@sis.hust.edu.vn</t>
  </si>
  <si>
    <t>Lại Hoàng Sơn</t>
  </si>
  <si>
    <t>son.lh224895@sis.hust.edu.vn</t>
  </si>
  <si>
    <t>Lại Thị Thùy</t>
  </si>
  <si>
    <t>thuy.lt226126@sis.hust.edu.vn</t>
  </si>
  <si>
    <t>Lại Trí Dũng</t>
  </si>
  <si>
    <t>dung.lt225486@sis.hust.edu.vn</t>
  </si>
  <si>
    <t>20225117</t>
  </si>
  <si>
    <t>Lâm Huy Vũ</t>
  </si>
  <si>
    <t>vu.lh225117@sis.hust.edu.vn</t>
  </si>
  <si>
    <t>Lê Anh Tuấn</t>
  </si>
  <si>
    <t>tuan.la225559@sis.hust.edu.vn</t>
  </si>
  <si>
    <t>Lê Bá Minh Phúc</t>
  </si>
  <si>
    <t>phuc.lbm225065@sis.hust.edu.vn</t>
  </si>
  <si>
    <t>Lê Bá Ngọc Hiểu</t>
  </si>
  <si>
    <t>hieu.lbn225627@sis.hust.edu.vn</t>
  </si>
  <si>
    <t>20205229</t>
  </si>
  <si>
    <t>Lê Chu Trung Hiếu</t>
  </si>
  <si>
    <t>hieu.lct205229@sis.hust.edu.vn</t>
  </si>
  <si>
    <t>Việt Pháp 01-K65</t>
  </si>
  <si>
    <t>20225922</t>
  </si>
  <si>
    <t>Lê Công Tâm</t>
  </si>
  <si>
    <t>tam.lc225922@sis.hust.edu.vn</t>
  </si>
  <si>
    <t>Lê Danh Vinh</t>
  </si>
  <si>
    <t>vinh.ld220051@sis.hust.edu.vn</t>
  </si>
  <si>
    <t>IT-LTU 01-K65</t>
  </si>
  <si>
    <t>Lê Đại Lâm</t>
  </si>
  <si>
    <t>lam.ld225982@sis.hust.edu.vn</t>
  </si>
  <si>
    <t>20225264</t>
  </si>
  <si>
    <t>Lê Đình Chất</t>
  </si>
  <si>
    <t>chat.ld225264@sis.hust.edu.vn</t>
  </si>
  <si>
    <t>Lê Đồng Cảnh Phú</t>
  </si>
  <si>
    <t>phu.ldc225755@sis.hust.edu.vn</t>
  </si>
  <si>
    <t>20215302</t>
  </si>
  <si>
    <t>Lê Đức Anh</t>
  </si>
  <si>
    <t>anh.ld215302@sis.hust.edu.vn</t>
  </si>
  <si>
    <t>Khoa học máy tính 05-K66</t>
  </si>
  <si>
    <t>20224909</t>
  </si>
  <si>
    <t>Lê Đức Anh Vũ</t>
  </si>
  <si>
    <t>vu.lda224909@sis.hust.edu.vn</t>
  </si>
  <si>
    <t>20225498</t>
  </si>
  <si>
    <t>Lê Gia Huy</t>
  </si>
  <si>
    <t>huy.lg225498@sis.hust.edu.vn</t>
  </si>
  <si>
    <t>Lê Hải Nhật</t>
  </si>
  <si>
    <t>nhat.lh225583@sis.hust.edu.vn</t>
  </si>
  <si>
    <t>20225780</t>
  </si>
  <si>
    <t>Lê Hải Yến</t>
  </si>
  <si>
    <t>yen.lh225780@sis.hust.edu.vn</t>
  </si>
  <si>
    <t>Lê Hoàng Anh</t>
  </si>
  <si>
    <t>anh.lh224918@sis.hust.edu.vn</t>
  </si>
  <si>
    <t>Lê Hoàng Huy</t>
  </si>
  <si>
    <t>huy.lh225976@sis.hust.edu.vn</t>
  </si>
  <si>
    <t>20225077</t>
  </si>
  <si>
    <t>Lê Hoàng Sơn</t>
  </si>
  <si>
    <t>son.lh225077@sis.hust.edu.vn</t>
  </si>
  <si>
    <t>Lê Hồ Quang Huy</t>
  </si>
  <si>
    <t>huyle1122004@gmail.com</t>
  </si>
  <si>
    <t>20225154</t>
  </si>
  <si>
    <t>Lê Hồng Sáng</t>
  </si>
  <si>
    <t>sang.lh225154@sis.hust.edu.vn</t>
  </si>
  <si>
    <t>20224960</t>
  </si>
  <si>
    <t>Lê Huy Dũng</t>
  </si>
  <si>
    <t>dung.lh224960@sis.hust.edu.vn</t>
  </si>
  <si>
    <t>20225147</t>
  </si>
  <si>
    <t>Lê Khôi Nguyên</t>
  </si>
  <si>
    <t>nguyen.lk225147@sis.hust.edu.vn</t>
  </si>
  <si>
    <t>Lê Minh Đức</t>
  </si>
  <si>
    <t>duc.lm225610@sis.hust.edu.vn</t>
  </si>
  <si>
    <t>Lê Minh Hải</t>
  </si>
  <si>
    <t>hai.lm225491@sis.hust.edu.vn</t>
  </si>
  <si>
    <t>20225360</t>
  </si>
  <si>
    <t>Lê Minh Mạnh</t>
  </si>
  <si>
    <t>manh.lm225360@sis.hust.edu.vn</t>
  </si>
  <si>
    <t>Lê Minh Nghĩa</t>
  </si>
  <si>
    <t>nghia.lm225894@sis.hust.edu.vn</t>
  </si>
  <si>
    <t>20225764</t>
  </si>
  <si>
    <t>Lê Minh Thành</t>
  </si>
  <si>
    <t>thanh.lm225764@sis.hust.edu.vn</t>
  </si>
  <si>
    <t>20220045</t>
  </si>
  <si>
    <t>Lê Minh Triết</t>
  </si>
  <si>
    <t>triet.lm220045@sis.hust.edu.vn</t>
  </si>
  <si>
    <t>20225149</t>
  </si>
  <si>
    <t>Lê Nam Phong</t>
  </si>
  <si>
    <t>phong.ln225149@sis.hust.edu.vn</t>
  </si>
  <si>
    <t>20225858</t>
  </si>
  <si>
    <t>Lê Ngọc Huy</t>
  </si>
  <si>
    <t>huy.ln225858@sis.hust.edu.vn</t>
  </si>
  <si>
    <t>20225611</t>
  </si>
  <si>
    <t>Lê Nguyễn Minh Đức</t>
  </si>
  <si>
    <t>duc.lnm225611@sis.hust.edu.vn</t>
  </si>
  <si>
    <t>Nguyễn Thị Hoàng Lan</t>
  </si>
  <si>
    <t>Lê Nhật Hoàng</t>
  </si>
  <si>
    <t>hoang.ln224989@sis.hust.edu.vn</t>
  </si>
  <si>
    <t>Lê Nhật Sơn</t>
  </si>
  <si>
    <t>son.ln225918@sis.hust.edu.vn</t>
  </si>
  <si>
    <t>Lê Phan Việt Cường</t>
  </si>
  <si>
    <t>cuong.lpv224829@sis.hust.edu.vn</t>
  </si>
  <si>
    <t>20210335</t>
  </si>
  <si>
    <t>Lê Quang Hiếu</t>
  </si>
  <si>
    <t>hieu.lq210335@sis.hust.edu.vn</t>
  </si>
  <si>
    <t>Lê Quang Khải</t>
  </si>
  <si>
    <t>khai.lq225638@sis.hust.edu.vn</t>
  </si>
  <si>
    <t>20225363</t>
  </si>
  <si>
    <t>Lê Quang Minh</t>
  </si>
  <si>
    <t>minh.lq225363@sis.hust.edu.vn</t>
  </si>
  <si>
    <t>20225801</t>
  </si>
  <si>
    <t>Lê Quốc Đảng</t>
  </si>
  <si>
    <t>dang.lq225801@sis.hust.edu.vn</t>
  </si>
  <si>
    <t>20225240</t>
  </si>
  <si>
    <t>Lê Quốc Vương</t>
  </si>
  <si>
    <t>vuong.lq225240@sis.hust.edu.vn</t>
  </si>
  <si>
    <t>20225176</t>
  </si>
  <si>
    <t>Lê Tăng Đạt</t>
  </si>
  <si>
    <t>dat.lt225176@sis.hust.edu.vn</t>
  </si>
  <si>
    <t>20225919</t>
  </si>
  <si>
    <t>Lê Thái Sơn</t>
  </si>
  <si>
    <t>son.lt225919@sis.hust.edu.vn</t>
  </si>
  <si>
    <t>20200447</t>
  </si>
  <si>
    <t>Lê Thành Nguyên</t>
  </si>
  <si>
    <t>nguyen.lt200447@sis.hust.edu.vn</t>
  </si>
  <si>
    <t>CTTN-Khoa học máy tính-K65</t>
  </si>
  <si>
    <t>20200668</t>
  </si>
  <si>
    <t>Lê Thành Vinh</t>
  </si>
  <si>
    <t>vinh.lt200668@sis.hust.edu.vn</t>
  </si>
  <si>
    <t>Tạ Duy Hoàng</t>
  </si>
  <si>
    <t>Lê Thị Hà Giang</t>
  </si>
  <si>
    <t>giang.lth224973@sis.hust.edu.vn</t>
  </si>
  <si>
    <t>Lê Thị Ngọc Thảo</t>
  </si>
  <si>
    <t>thao.ltn225673@sis.hust.edu.vn</t>
  </si>
  <si>
    <t>Lê Thị Quỳnh</t>
  </si>
  <si>
    <t>quynh.lt225917@sis.hust.edu.vn</t>
  </si>
  <si>
    <t>Lê Thị Thu Hương</t>
  </si>
  <si>
    <t>huong.ltt225199@sis.hust.edu.vn</t>
  </si>
  <si>
    <t>20224837</t>
  </si>
  <si>
    <t>Lê Tiến Dũng</t>
  </si>
  <si>
    <t>dung.lt224837@sis.hust.edu.vn</t>
  </si>
  <si>
    <t>Lê Tiến Đạt</t>
  </si>
  <si>
    <t>dat.lt225543@sis.hust.edu.vn</t>
  </si>
  <si>
    <t>20225021</t>
  </si>
  <si>
    <t>Lê Tiến Khôi</t>
  </si>
  <si>
    <t>khoi.lt225021@sis.hust.edu.vn</t>
  </si>
  <si>
    <t>Lê Trần Long</t>
  </si>
  <si>
    <t>long.lt225577@sis.hust.edu.vn</t>
  </si>
  <si>
    <t>20215295</t>
  </si>
  <si>
    <t>Lê Trọng Bảo An</t>
  </si>
  <si>
    <t>an.ltb215295@sis.hust.edu.vn</t>
  </si>
  <si>
    <t>Khoa học máy tính 02-K66</t>
  </si>
  <si>
    <t>20194596</t>
  </si>
  <si>
    <t>Lê Trung Kiên</t>
  </si>
  <si>
    <t>kien.lt194596@sis.hust.edu.vn</t>
  </si>
  <si>
    <t>Information Technology Specialist 04-K64</t>
  </si>
  <si>
    <t>kien.lt225023@sis.hust.edu.vn</t>
  </si>
  <si>
    <t>Nguyễn Nhất Hải</t>
  </si>
  <si>
    <t>20225113</t>
  </si>
  <si>
    <t>Lê Trường Uy</t>
  </si>
  <si>
    <t>uy.lt225113@sis.hust.edu.vn</t>
  </si>
  <si>
    <t>20205051</t>
  </si>
  <si>
    <t>Lê Tuấn Anh</t>
  </si>
  <si>
    <t>anh.lt205051@sis.hust.edu.vn</t>
  </si>
  <si>
    <t>Việt Nhật 01-K65</t>
  </si>
  <si>
    <t>Lê Tuấn Khải</t>
  </si>
  <si>
    <t>khai.lt225861@sis.hust.edu.vn</t>
  </si>
  <si>
    <t>20225581</t>
  </si>
  <si>
    <t>Lê Tuấn Nam</t>
  </si>
  <si>
    <t>nam.lt225581@sis.hust.edu.vn</t>
  </si>
  <si>
    <t>20194720</t>
  </si>
  <si>
    <t>Lê Văn Anh Vũ</t>
  </si>
  <si>
    <t>vu.lva194720@sis.hust.edu.vn</t>
  </si>
  <si>
    <t>Nguyễn Bá Ngọc</t>
  </si>
  <si>
    <t>Information Technology Specialist 03-K64</t>
  </si>
  <si>
    <t>20225296</t>
  </si>
  <si>
    <t>Lê Văn Được</t>
  </si>
  <si>
    <t>duoc.lv225296@sis.hust.edu.vn</t>
  </si>
  <si>
    <t>Nguyễn Đình Thuận</t>
  </si>
  <si>
    <t>Lê Văn Hậu</t>
  </si>
  <si>
    <t>hau.lv226038@sis.hust.edu.vn</t>
  </si>
  <si>
    <t>Nguyễn Kiêm Hiếu</t>
  </si>
  <si>
    <t>Lê Văn Pháp</t>
  </si>
  <si>
    <t>phap.lv226118@sis.hust.edu.vn</t>
  </si>
  <si>
    <t>20225160</t>
  </si>
  <si>
    <t>Lê Văn Toàn</t>
  </si>
  <si>
    <t>toan.lv225160@sis.hust.edu.vn</t>
  </si>
  <si>
    <t>20198344</t>
  </si>
  <si>
    <t>Lê Văn Vỹ</t>
  </si>
  <si>
    <t>vy.lv198344@sis.hust.edu.vn</t>
  </si>
  <si>
    <t>IT-VUW 01-K64</t>
  </si>
  <si>
    <t>Lê Việt Anh</t>
  </si>
  <si>
    <t>anh.lv225250@sis.hust.edu.vn</t>
  </si>
  <si>
    <t>Lê Xuân Cường</t>
  </si>
  <si>
    <t>cuong.lx225797@sis.hust.edu.vn</t>
  </si>
  <si>
    <t>Lê Xuân Đại</t>
  </si>
  <si>
    <t>dai.lx225271@sis.hust.edu.vn</t>
  </si>
  <si>
    <t>Liễu Bảo Bảo</t>
  </si>
  <si>
    <t>bao.lb224929@sis.hust.edu.vn</t>
  </si>
  <si>
    <t>Lò Hải Long</t>
  </si>
  <si>
    <t>long.lh224873@sis.hust.edu.vn</t>
  </si>
  <si>
    <t>20194167</t>
  </si>
  <si>
    <t>Lù Mạnh Thắng</t>
  </si>
  <si>
    <t>thang.lm194167@sis.hust.edu.vn</t>
  </si>
  <si>
    <t>Luân Quang Minh</t>
  </si>
  <si>
    <t>minh.lq225985@sis.hust.edu.vn</t>
  </si>
  <si>
    <t>Lục Minh Đức</t>
  </si>
  <si>
    <t>duc.lm225810@sis.hust.edu.vn</t>
  </si>
  <si>
    <t>20225458</t>
  </si>
  <si>
    <t>Lương Hữu Thành</t>
  </si>
  <si>
    <t>thanh.lh225458@sis.hust.edu.vn</t>
  </si>
  <si>
    <t>20225681</t>
  </si>
  <si>
    <t>Lương Quang Tùng</t>
  </si>
  <si>
    <t>tung.lq225681@sis.hust.edu.vn</t>
  </si>
  <si>
    <t>20225029</t>
  </si>
  <si>
    <t>Lương Sỹ Linh</t>
  </si>
  <si>
    <t>linh.ls225029@sis.hust.edu.vn</t>
  </si>
  <si>
    <t>Lương Thái Khang</t>
  </si>
  <si>
    <t>khang.lt224866@sis.hust.edu.vn</t>
  </si>
  <si>
    <t>Đàm Quang Tuấn</t>
  </si>
  <si>
    <t>20225102</t>
  </si>
  <si>
    <t>Lương Thu Trang</t>
  </si>
  <si>
    <t>trang.lt225102@sis.hust.edu.vn</t>
  </si>
  <si>
    <t>20204532</t>
  </si>
  <si>
    <t>Lương Tiến Dũng</t>
  </si>
  <si>
    <t>dung.lt204532@sis.hust.edu.vn</t>
  </si>
  <si>
    <t>Khoa học máy tính 02-K65</t>
  </si>
  <si>
    <t>20215603</t>
  </si>
  <si>
    <t>Lương Trung Kiên</t>
  </si>
  <si>
    <t>kien.lt215603@sis.hust.edu.vn</t>
  </si>
  <si>
    <t>Kỹ thuật máy tính 03-K66</t>
  </si>
  <si>
    <t>20225728</t>
  </si>
  <si>
    <t>Lương Văn Khanh</t>
  </si>
  <si>
    <t>khanh.lv225728@sis.hust.edu.vn</t>
  </si>
  <si>
    <t>Lưu Đức Tài</t>
  </si>
  <si>
    <t>tai.ld225081@sis.hust.edu.vn</t>
  </si>
  <si>
    <t>20225516</t>
  </si>
  <si>
    <t>Lưu Hoàng Phan</t>
  </si>
  <si>
    <t>phan.lh225516@sis.hust.edu.vn</t>
  </si>
  <si>
    <t>20225357</t>
  </si>
  <si>
    <t>Lưu Ngọc Lợi</t>
  </si>
  <si>
    <t>loi.ln225357@sis.hust.edu.vn</t>
  </si>
  <si>
    <t>20204600</t>
  </si>
  <si>
    <t>Lưu Thanh Quý</t>
  </si>
  <si>
    <t>quy.lt204600@sis.hust.edu.vn</t>
  </si>
  <si>
    <t>Khoa học máy tính 01-K65</t>
  </si>
  <si>
    <t>Lưu Thiện Việt Cường</t>
  </si>
  <si>
    <t>cuong.ltv225477@sis.hust.edu.vn</t>
  </si>
  <si>
    <t>Lưu Thịnh Khang</t>
  </si>
  <si>
    <t>khang.lt220031@sis.hust.edu.vn</t>
  </si>
  <si>
    <t>Lưu Tuấn Hùng</t>
  </si>
  <si>
    <t>hung.lt225131@sis.hust.edu.vn</t>
  </si>
  <si>
    <t>20225934</t>
  </si>
  <si>
    <t>Lý Công Tiến</t>
  </si>
  <si>
    <t>tien.lc225934@sis.hust.edu.vn</t>
  </si>
  <si>
    <t>Lý Hiển Long</t>
  </si>
  <si>
    <t>long.lh225035@sis.hust.edu.vn</t>
  </si>
  <si>
    <t>20220118</t>
  </si>
  <si>
    <t>Lý Hoài Nam</t>
  </si>
  <si>
    <t>nam.lh220118@sis.hust.edu.vn</t>
  </si>
  <si>
    <t>Nguyễn Hữu Đức</t>
  </si>
  <si>
    <t>Mạch Ngọc Đức Anh</t>
  </si>
  <si>
    <t>anh.mnd225595@sis.hust.edu.vn</t>
  </si>
  <si>
    <t>Mai Đức Thịnh</t>
  </si>
  <si>
    <t>thinh.md220043@sis.hust.edu.vn</t>
  </si>
  <si>
    <t>20225364</t>
  </si>
  <si>
    <t>Mai Hoàng Minh</t>
  </si>
  <si>
    <t>minh.mh225364@sis.hust.edu.vn</t>
  </si>
  <si>
    <t>20225735</t>
  </si>
  <si>
    <t>Mai Huy Long</t>
  </si>
  <si>
    <t>long.mh225735@sis.hust.edu.vn</t>
  </si>
  <si>
    <t>20225661</t>
  </si>
  <si>
    <t>Mai Minh Quân</t>
  </si>
  <si>
    <t>quan.mm225661@sis.hust.edu.vn</t>
  </si>
  <si>
    <t>20225277</t>
  </si>
  <si>
    <t>Mai Quốc Đạt</t>
  </si>
  <si>
    <t>dat.mq225277@sis.hust.edu.vn</t>
  </si>
  <si>
    <t>Mai Thanh Hương</t>
  </si>
  <si>
    <t>huong.mt225852@sis.hust.edu.vn</t>
  </si>
  <si>
    <t>20226051</t>
  </si>
  <si>
    <t>Mai Tuấn Kiên</t>
  </si>
  <si>
    <t>kien.mt226051@sis.hust.edu.vn</t>
  </si>
  <si>
    <t>20225699</t>
  </si>
  <si>
    <t>Mai Văn Đăng</t>
  </si>
  <si>
    <t>dang.mv225699@sis.hust.edu.vn</t>
  </si>
  <si>
    <t>20225071</t>
  </si>
  <si>
    <t>Mai Văn Quân</t>
  </si>
  <si>
    <t>quan.mv225071@sis.hust.edu.vn</t>
  </si>
  <si>
    <t>20225474</t>
  </si>
  <si>
    <t>Mai Việt Bảo</t>
  </si>
  <si>
    <t>bao.mv225474@sis.hust.edu.vn</t>
  </si>
  <si>
    <t>Mạnh Xuân Thái</t>
  </si>
  <si>
    <t>thai.mx225228@sis.hust.edu.vn</t>
  </si>
  <si>
    <t>Tống Văn Vạn</t>
  </si>
  <si>
    <t>Ngô Anh Quân</t>
  </si>
  <si>
    <t>Quan.NA225584@sis.hust.edu.vn</t>
  </si>
  <si>
    <t>20226005</t>
  </si>
  <si>
    <t>Ngô Anh Tú</t>
  </si>
  <si>
    <t>tu.na226005@sis.hust.edu.vn</t>
  </si>
  <si>
    <t>20220069</t>
  </si>
  <si>
    <t>Ngô Duy Anh</t>
  </si>
  <si>
    <t>anh.nd220069@sis.hust.edu.vn</t>
  </si>
  <si>
    <t>20225480</t>
  </si>
  <si>
    <t>Ngô Duy Đạt</t>
  </si>
  <si>
    <t>dat.nd225480@sis.hust.edu.vn</t>
  </si>
  <si>
    <t>20224827</t>
  </si>
  <si>
    <t>Ngô Đức Chung</t>
  </si>
  <si>
    <t>chung.nd224827@sis.hust.edu.vn</t>
  </si>
  <si>
    <t>20225272</t>
  </si>
  <si>
    <t>Ngô Đức Đại</t>
  </si>
  <si>
    <t>dai.nd225272@sis.hust.edu.vn</t>
  </si>
  <si>
    <t>20215064</t>
  </si>
  <si>
    <t>Ngô Đức Khánh</t>
  </si>
  <si>
    <t>khanh.nd215064@sis.hust.edu.vn</t>
  </si>
  <si>
    <t>20225365</t>
  </si>
  <si>
    <t>Ngô Hải Minh</t>
  </si>
  <si>
    <t>minh.nh225365@sis.hust.edu.vn</t>
  </si>
  <si>
    <t>Ngô Hoàng Phúc</t>
  </si>
  <si>
    <t>phuc.nh225903@sis.hust.edu.vn</t>
  </si>
  <si>
    <t>20194721</t>
  </si>
  <si>
    <t>Ngô Hoàng Vũ</t>
  </si>
  <si>
    <t>vu.nh194721@sis.hust.edu.vn</t>
  </si>
  <si>
    <t>Application Specialist 02-K64</t>
  </si>
  <si>
    <t>Ngô Hùng Phúc</t>
  </si>
  <si>
    <t>phuc.nh225376@sis.hust.edu.vn</t>
  </si>
  <si>
    <t>20225191</t>
  </si>
  <si>
    <t>Ngô Hữu Hoàng</t>
  </si>
  <si>
    <t>hoang.nh225191@sis.hust.edu.vn</t>
  </si>
  <si>
    <t>Ngô Mạnh Hùng</t>
  </si>
  <si>
    <t>hung.nm226083@sis.hust.edu.vn</t>
  </si>
  <si>
    <t>Ngô Minh Đức</t>
  </si>
  <si>
    <t>duc.nm226028@sis.hust.edu.vn</t>
  </si>
  <si>
    <t>20224953</t>
  </si>
  <si>
    <t>duc.nm224953@sis.hust.edu.vn</t>
  </si>
  <si>
    <t>Ngô Minh Quân</t>
  </si>
  <si>
    <t>quan.nm225383@sis.hust.edu.vn</t>
  </si>
  <si>
    <t>20225411</t>
  </si>
  <si>
    <t>Ngô Minh Thu</t>
  </si>
  <si>
    <t>thu.nm225411@sis.hust.edu.vn</t>
  </si>
  <si>
    <t>20226004</t>
  </si>
  <si>
    <t>Ngô Minh Trung</t>
  </si>
  <si>
    <t>trung.nm226004@sis.hust.edu.vn</t>
  </si>
  <si>
    <t>Ngô Ngọc Hải</t>
  </si>
  <si>
    <t>hai.nn225308@sis.hust.edu.vn</t>
  </si>
  <si>
    <t>20207991</t>
  </si>
  <si>
    <t>Ngô Quang Bảo</t>
  </si>
  <si>
    <t>bao.nq207991@sis.hust.edu.vn</t>
  </si>
  <si>
    <t>20225484</t>
  </si>
  <si>
    <t>Ngô Quang Đức</t>
  </si>
  <si>
    <t>duc.nq225484@sis.hust.edu.vn</t>
  </si>
  <si>
    <t>Ngô Trí Cảnh</t>
  </si>
  <si>
    <t>canh.nt220015@sis.hust.edu.vn</t>
  </si>
  <si>
    <t>20225793</t>
  </si>
  <si>
    <t>Ngô Văn Cao</t>
  </si>
  <si>
    <t>cao.nv225793@sis.hust.edu.vn</t>
  </si>
  <si>
    <t>20215413</t>
  </si>
  <si>
    <t>linh.nv215413@sis.hust.edu.vn</t>
  </si>
  <si>
    <t>Ngô Việt Bách</t>
  </si>
  <si>
    <t>bach.nv225789@sis.hust.edu.vn</t>
  </si>
  <si>
    <t>20214996</t>
  </si>
  <si>
    <t>Ngô Việt Bắc</t>
  </si>
  <si>
    <t>bac.nv214996@sis.hust.edu.vn</t>
  </si>
  <si>
    <t>20204543</t>
  </si>
  <si>
    <t>Ngô Xuân Hà</t>
  </si>
  <si>
    <t>ha.nx204543@sis.hust.edu.vn</t>
  </si>
  <si>
    <t>20200168</t>
  </si>
  <si>
    <t>Nguyễn Anh Đức</t>
  </si>
  <si>
    <t>duc.na200168@sis.hust.edu.vn</t>
  </si>
  <si>
    <t>20224878</t>
  </si>
  <si>
    <t>Nguyễn Anh Minh</t>
  </si>
  <si>
    <t>minh.na224878@sis.hust.edu.vn</t>
  </si>
  <si>
    <t>20194822</t>
  </si>
  <si>
    <t>Nguyễn Anh Quân</t>
  </si>
  <si>
    <t>quan.na194822@sis.hust.edu.vn</t>
  </si>
  <si>
    <t>ICT 01-K64</t>
  </si>
  <si>
    <t>20225384</t>
  </si>
  <si>
    <t>quan.na225384@sis.hust.edu.vn</t>
  </si>
  <si>
    <t>Lê Xuân Thành</t>
  </si>
  <si>
    <t>20215501</t>
  </si>
  <si>
    <t>Nguyễn Anh Tú</t>
  </si>
  <si>
    <t>tu.na215501@sis.hust.edu.vn</t>
  </si>
  <si>
    <t>20184220</t>
  </si>
  <si>
    <t>Nguyễn Anh Tuấn</t>
  </si>
  <si>
    <t>tuan.na184220@sis.hust.edu.vn</t>
  </si>
  <si>
    <t>Application Specialist 01-K63</t>
  </si>
  <si>
    <t>20225772</t>
  </si>
  <si>
    <t>tuan.na225772@sis.hust.edu.vn</t>
  </si>
  <si>
    <t>Nguyễn Bá Hoàng</t>
  </si>
  <si>
    <t>hoang.nb225844@sis.hust.edu.vn</t>
  </si>
  <si>
    <t>20225377</t>
  </si>
  <si>
    <t>Nguyễn Bá Phúc</t>
  </si>
  <si>
    <t>phuc.nb225377@sis.hust.edu.vn</t>
  </si>
  <si>
    <t>20224841</t>
  </si>
  <si>
    <t>Nguyễn Bảo Duy</t>
  </si>
  <si>
    <t>duy.nb224841@sis.hust.edu.vn</t>
  </si>
  <si>
    <t>20224885</t>
  </si>
  <si>
    <t>Nguyễn Bảo Ngọc</t>
  </si>
  <si>
    <t>ngoc.nb224885@sis.hust.edu.vn</t>
  </si>
  <si>
    <t>Nguyễn Bình An</t>
  </si>
  <si>
    <t>an.nb225591@sis.hust.edu.vn</t>
  </si>
  <si>
    <t>20215557</t>
  </si>
  <si>
    <t>Nguyễn Bình Dương</t>
  </si>
  <si>
    <t>duong.nb215557@sis.hust.edu.vn</t>
  </si>
  <si>
    <t>Nguyễn Bùi Đức Anh</t>
  </si>
  <si>
    <t>anh.nbd220070@sis.hust.edu.vn</t>
  </si>
  <si>
    <t>Nguyễn Bùi Tuấn Linh</t>
  </si>
  <si>
    <t>linh.nbt225732@sis.hust.edu.vn</t>
  </si>
  <si>
    <t>Nguyễn Bùi Việt Linh</t>
  </si>
  <si>
    <t>linh.nbv225733@sis.hust.edu.vn</t>
  </si>
  <si>
    <t>20215620</t>
  </si>
  <si>
    <t>Nguyễn Các Sơn Nam</t>
  </si>
  <si>
    <t>nam.ncs215620@sis.hust.edu.vn</t>
  </si>
  <si>
    <t>20215456</t>
  </si>
  <si>
    <t>Nguyễn Cảnh Phước</t>
  </si>
  <si>
    <t>phuoc.nc215456@sis.hust.edu.vn</t>
  </si>
  <si>
    <t>20220121</t>
  </si>
  <si>
    <t>Nguyễn Cảnh Trung</t>
  </si>
  <si>
    <t>trung.nc220121@sis.hust.edu.vn</t>
  </si>
  <si>
    <t>Nguyễn Chí Cường</t>
  </si>
  <si>
    <t>cuong.nc224938@sis.hust.edu.vn</t>
  </si>
  <si>
    <t>20224982</t>
  </si>
  <si>
    <t>Nguyễn Chí Hiếu</t>
  </si>
  <si>
    <t>hieu.nc224982@sis.hust.edu.vn</t>
  </si>
  <si>
    <t>20225352</t>
  </si>
  <si>
    <t>Nguyễn Chí Lân</t>
  </si>
  <si>
    <t>lan.nc225352@sis.hust.edu.vn</t>
  </si>
  <si>
    <t>Nguyễn Chí Quân</t>
  </si>
  <si>
    <t>quan.nc225385@sis.hust.edu.vn</t>
  </si>
  <si>
    <t>Nguyễn Công Hùng</t>
  </si>
  <si>
    <t>hung.nc224858@sis.hust.edu.vn</t>
  </si>
  <si>
    <t>Nguyễn Công Minh</t>
  </si>
  <si>
    <t>minh.nc226056@sis.hust.edu.vn</t>
  </si>
  <si>
    <t>Nguyễn Công Phương</t>
  </si>
  <si>
    <t>phuong.nc225069@sis.hust.edu.vn</t>
  </si>
  <si>
    <t>20224879</t>
  </si>
  <si>
    <t>Nguyễn Danh Gia Minh</t>
  </si>
  <si>
    <t>minh.ndg224879@sis.hust.edu.vn</t>
  </si>
  <si>
    <t>Nguyễn Duy Dũng</t>
  </si>
  <si>
    <t>dung.nd224961@sis.hust.edu.vn</t>
  </si>
  <si>
    <t>K67</t>
  </si>
  <si>
    <t>Nguyễn Duy Khánh</t>
  </si>
  <si>
    <t>khanh.nd225019@sis.hust.edu.vn</t>
  </si>
  <si>
    <t>20215602</t>
  </si>
  <si>
    <t>Nguyễn Duy Khương</t>
  </si>
  <si>
    <t>khuong.nd215602@sis.hust.edu.vn</t>
  </si>
  <si>
    <t>20215411</t>
  </si>
  <si>
    <t>Nguyễn Duy Lâm</t>
  </si>
  <si>
    <t>lam.nd215411@sis.hust.edu.vn</t>
  </si>
  <si>
    <t>20194694</t>
  </si>
  <si>
    <t>Nguyễn Duy Trọng</t>
  </si>
  <si>
    <t>trong.nd194694@sis.hust.edu.vn</t>
  </si>
  <si>
    <t>20200560</t>
  </si>
  <si>
    <t>Nguyễn Duy Tuấn</t>
  </si>
  <si>
    <t>tuan.nd200560@sis.hust.edu.vn</t>
  </si>
  <si>
    <t>Nguyễn Đại Dương</t>
  </si>
  <si>
    <t>duong.nd224966@sis.hust.edu.vn</t>
  </si>
  <si>
    <t>20225103</t>
  </si>
  <si>
    <t>Nguyễn Đạt Trọng</t>
  </si>
  <si>
    <t>trong.nd225103@sis.hust.edu.vn</t>
  </si>
  <si>
    <t>20225073</t>
  </si>
  <si>
    <t>Nguyễn Đắc Quang</t>
  </si>
  <si>
    <t>quang.nd225073@sis.hust.edu.vn</t>
  </si>
  <si>
    <t>Nguyễn Đăng Bảo Lâm</t>
  </si>
  <si>
    <t>lam.ndb225873@sis.hust.edu.vn</t>
  </si>
  <si>
    <t>20225805</t>
  </si>
  <si>
    <t>Nguyễn Đăng Diện</t>
  </si>
  <si>
    <t>dien.nd225805@sis.hust.edu.vn</t>
  </si>
  <si>
    <t>20225343</t>
  </si>
  <si>
    <t>Nguyễn Đăng Khánh</t>
  </si>
  <si>
    <t>khanh.nd225343@sis.hust.edu.vn</t>
  </si>
  <si>
    <t>20225059</t>
  </si>
  <si>
    <t>Nguyễn Đăng Phong</t>
  </si>
  <si>
    <t>phong.nd225059@sis.hust.edu.vn</t>
  </si>
  <si>
    <t>Nguyễn Đăng Phúc</t>
  </si>
  <si>
    <t>phuc.nd220040@sis.hust.edu.vn</t>
  </si>
  <si>
    <t>20210079</t>
  </si>
  <si>
    <t>Nguyễn Đặng Phương Anh</t>
  </si>
  <si>
    <t>anh.ndp210079@sis.hust.edu.vn</t>
  </si>
  <si>
    <t>Nguyễn Đình An</t>
  </si>
  <si>
    <t>an.nd226007@sis.hust.edu.vn</t>
  </si>
  <si>
    <t>Nguyễn Đình Chiến</t>
  </si>
  <si>
    <t>chien.nd215262@sis.hust.edu.vn</t>
  </si>
  <si>
    <t>Nguyễn Đình Dương</t>
  </si>
  <si>
    <t>duong.nd225966@sis.hust.edu.vn</t>
  </si>
  <si>
    <t>20224847</t>
  </si>
  <si>
    <t>Nguyễn Đình Hiếu</t>
  </si>
  <si>
    <t>hieu.nd224847@sis.hust.edu.vn</t>
  </si>
  <si>
    <t>20225878</t>
  </si>
  <si>
    <t>Nguyễn Đình Lượng</t>
  </si>
  <si>
    <t>luong.nd225878@sis.hust.edu.vn</t>
  </si>
  <si>
    <t>Nguyễn Đình Phúc</t>
  </si>
  <si>
    <t>phuc.nd226062@sis.hust.edu.vn</t>
  </si>
  <si>
    <t>20225671</t>
  </si>
  <si>
    <t>Nguyễn Đình Phúc Thành</t>
  </si>
  <si>
    <t>thanh.ndp225671@sis.hust.edu.vn</t>
  </si>
  <si>
    <t>Nguyễn Đình Thành</t>
  </si>
  <si>
    <t>thanh.nd225670@sis.hust.edu.vn</t>
  </si>
  <si>
    <t>20215249</t>
  </si>
  <si>
    <t>Nguyễn Đình Trung</t>
  </si>
  <si>
    <t>trung.nd215249@sis.hust.edu.vn</t>
  </si>
  <si>
    <t>20215512</t>
  </si>
  <si>
    <t>Nguyễn Đình Văn</t>
  </si>
  <si>
    <t>van.nd215512@sis.hust.edu.vn</t>
  </si>
  <si>
    <t>20225848</t>
  </si>
  <si>
    <t>Nguyễn Đỗ Việt Hùng</t>
  </si>
  <si>
    <t>hung.ndv225848@sis.hust.edu.vn</t>
  </si>
  <si>
    <t>Nguyễn Đức An</t>
  </si>
  <si>
    <t>an.nd225432@sis.hust.edu.vn</t>
  </si>
  <si>
    <t>20225468</t>
  </si>
  <si>
    <t>anh.nd225468@sis.hust.edu.vn</t>
  </si>
  <si>
    <t>Nguyễn Đức Bình</t>
  </si>
  <si>
    <t>binh.nd225475@sis.hust.edu.vn</t>
  </si>
  <si>
    <t>20225791</t>
  </si>
  <si>
    <t>binh.nd225791@sis.hust.edu.vn</t>
  </si>
  <si>
    <t>Nguyễn Đức Danh</t>
  </si>
  <si>
    <t>danh.nd224947@sis.hust.edu.vn</t>
  </si>
  <si>
    <t>20225122</t>
  </si>
  <si>
    <t>Nguyễn Đức Dương</t>
  </si>
  <si>
    <t>duong.nd225122@sis.hust.edu.vn</t>
  </si>
  <si>
    <t>20225616</t>
  </si>
  <si>
    <t>Nguyễn Đức Đại Dương</t>
  </si>
  <si>
    <t>duong.ndd225616@sis.hust.edu.vn</t>
  </si>
  <si>
    <t>20192845</t>
  </si>
  <si>
    <t>Nguyễn Đức Hiếu</t>
  </si>
  <si>
    <t>hieu.nd192845@sis.hust.edu.vn</t>
  </si>
  <si>
    <t>CTCLC-Hệ thống thông tin-K64</t>
  </si>
  <si>
    <t>20225318</t>
  </si>
  <si>
    <t>Nguyễn Đức Hiệu</t>
  </si>
  <si>
    <t>hieu.nd225318@sis.hust.edu.vn</t>
  </si>
  <si>
    <t>20194289</t>
  </si>
  <si>
    <t>Nguyễn Đức Hùng</t>
  </si>
  <si>
    <t>hung.nd194289@sis.hust.edu.vn</t>
  </si>
  <si>
    <t>Kỹ thuật máy tính 04-K64</t>
  </si>
  <si>
    <t>Nguyễn Đức Long</t>
  </si>
  <si>
    <t>long.nd225036@sis.hust.edu.vn</t>
  </si>
  <si>
    <t>20225876</t>
  </si>
  <si>
    <t>long.nd225876@sis.hust.edu.vn</t>
  </si>
  <si>
    <t>20215518</t>
  </si>
  <si>
    <t>Nguyễn Đức Long Vũ</t>
  </si>
  <si>
    <t>vu.ndl215518@sis.hust.edu.vn</t>
  </si>
  <si>
    <t>20215420</t>
  </si>
  <si>
    <t>Nguyễn Đức Mạnh</t>
  </si>
  <si>
    <t>manh.nd215420@sis.hust.edu.vn</t>
  </si>
  <si>
    <t>manh.nd225880@sis.hust.edu.vn</t>
  </si>
  <si>
    <t>Nguyễn Đức Nghĩa</t>
  </si>
  <si>
    <t>nghia.nd225895@sis.hust.edu.vn</t>
  </si>
  <si>
    <t>20241179E</t>
  </si>
  <si>
    <t>Nguyễn Đức Nhật</t>
  </si>
  <si>
    <t>nhat.nd241179e@sis.hust.edu.vn</t>
  </si>
  <si>
    <t>Nguyễn Đức Quang</t>
  </si>
  <si>
    <t>quang.nd225913@sis.hust.edu.vn</t>
  </si>
  <si>
    <t>Nguyễn Đức Tấn Sang</t>
  </si>
  <si>
    <t>sang.ndt225664@sis.hust.edu.vn</t>
  </si>
  <si>
    <t>20225395</t>
  </si>
  <si>
    <t>Nguyễn Đức Thắm</t>
  </si>
  <si>
    <t>tham.nd225395@sis.hust.edu.vn</t>
  </si>
  <si>
    <t>Nguyễn Đức Thắng</t>
  </si>
  <si>
    <t>thang.nd225089@sis.hust.edu.vn</t>
  </si>
  <si>
    <t>Nguyễn Đức Triệu</t>
  </si>
  <si>
    <t>trieu.nd224903@sis.hust.edu.vn</t>
  </si>
  <si>
    <t>Nguyễn Đức Trường</t>
  </si>
  <si>
    <t>truong.nd225675@sis.hust.edu.vn</t>
  </si>
  <si>
    <t>20207705</t>
  </si>
  <si>
    <t>Nguyễn Đức Tuân</t>
  </si>
  <si>
    <t>tuan.nd207705@sis.hust.edu.vn</t>
  </si>
  <si>
    <t>20225691</t>
  </si>
  <si>
    <t>Nguyễn Hà Bách</t>
  </si>
  <si>
    <t>bach.nh225691@sis.hust.edu.vn</t>
  </si>
  <si>
    <t>20225417</t>
  </si>
  <si>
    <t>Nguyễn Hà Trung</t>
  </si>
  <si>
    <t>trung.nh225417@sis.hust.edu.vn</t>
  </si>
  <si>
    <t>Nguyễn Hải Đăng</t>
  </si>
  <si>
    <t>dang.nh225478@sis.hust.edu.vn</t>
  </si>
  <si>
    <t>Nguyễn Hải Nam</t>
  </si>
  <si>
    <t>nam.nh225051@sis.hust.edu.vn</t>
  </si>
  <si>
    <t>20215114</t>
  </si>
  <si>
    <t>Nguyễn Hải Phong</t>
  </si>
  <si>
    <t>phong.nh215114@sis.hust.edu.vn</t>
  </si>
  <si>
    <t>20225653</t>
  </si>
  <si>
    <t>Nguyễn Hoài Nam</t>
  </si>
  <si>
    <t>nam.nh225653@sis.hust.edu.vn</t>
  </si>
  <si>
    <t>nam.nh225748@sis.hust.edu.vn</t>
  </si>
  <si>
    <t>20225170</t>
  </si>
  <si>
    <t>Nguyễn Hoàng Chiến</t>
  </si>
  <si>
    <t>chien.nh225170@sis.hust.edu.vn</t>
  </si>
  <si>
    <t>20225125</t>
  </si>
  <si>
    <t>Nguyễn Hoàng Giang</t>
  </si>
  <si>
    <t>giang.nh225125@sis.hust.edu.vn</t>
  </si>
  <si>
    <t>Nguyễn An Hưng</t>
  </si>
  <si>
    <t>20225208</t>
  </si>
  <si>
    <t>Nguyễn Hoàng Long</t>
  </si>
  <si>
    <t>long.nh225208@sis.hust.edu.vn</t>
  </si>
  <si>
    <t>Nguyễn Hoàng Nam</t>
  </si>
  <si>
    <t>nam.nh225213@sis.hust.edu.vn</t>
  </si>
  <si>
    <t>20225905</t>
  </si>
  <si>
    <t>Nguyễn Hoàng Phúc</t>
  </si>
  <si>
    <t>phuc.nh225905@sis.hust.edu.vn</t>
  </si>
  <si>
    <t>Nguyễn Hoàng Quân</t>
  </si>
  <si>
    <t>quan.nh225519@sis.hust.edu.vn</t>
  </si>
  <si>
    <t>Nguyễn Hoàng Sơn</t>
  </si>
  <si>
    <t>son.nh225525@sis.hust.edu.vn</t>
  </si>
  <si>
    <t>20225078</t>
  </si>
  <si>
    <t>son.nh225078@sis.hust.edu.vn</t>
  </si>
  <si>
    <t>Nguyễn Hoàng Sơn Tùng</t>
  </si>
  <si>
    <t>tung.nhs225536@sis.hust.edu.vn</t>
  </si>
  <si>
    <t>20194378</t>
  </si>
  <si>
    <t>Nguyễn Hoàng Thành</t>
  </si>
  <si>
    <t>thanh.nh194378@sis.hust.edu.vn</t>
  </si>
  <si>
    <t>Kỹ thuật máy tính 01-K64</t>
  </si>
  <si>
    <t>Nguyễn Hoàng Tùng</t>
  </si>
  <si>
    <t>tung.nh225948@sis.hust.edu.vn</t>
  </si>
  <si>
    <t>Nguyễn Hoàng Việt</t>
  </si>
  <si>
    <t>viet.nh226098@sis.hust.edu.vn</t>
  </si>
  <si>
    <t>viet.nh220050@sis.hust.edu.vn</t>
  </si>
  <si>
    <t>Nguyễn Hoàng Việt Hùng</t>
  </si>
  <si>
    <t>hung.nhv224996@sis.hust.edu.vn</t>
  </si>
  <si>
    <t>Nguyễn Hoàng Xuân Sơn</t>
  </si>
  <si>
    <t>son.nhx224896@sis.hust.edu.vn</t>
  </si>
  <si>
    <t>Nguyễn Hồng Đăng</t>
  </si>
  <si>
    <t>dang.nh220025@sis.hust.edu.vn</t>
  </si>
  <si>
    <t>Nguyễn Hồng Phúc</t>
  </si>
  <si>
    <t>phuc.nh225659@sis.hust.edu.vn</t>
  </si>
  <si>
    <t>20225908</t>
  </si>
  <si>
    <t>Nguyễn Hồng Quân</t>
  </si>
  <si>
    <t>quan.nh225908@sis.hust.edu.vn</t>
  </si>
  <si>
    <t>20200028</t>
  </si>
  <si>
    <t>Nguyễn Hùng Anh</t>
  </si>
  <si>
    <t>anh.nh200028@sis.hust.edu.vn</t>
  </si>
  <si>
    <t>CTTT Data Science &amp; AI 01-K65</t>
  </si>
  <si>
    <t>Nguyễn Huy Hoàng</t>
  </si>
  <si>
    <t>hoang.nh226041@sis.hust.edu.vn</t>
  </si>
  <si>
    <t>20225628</t>
  </si>
  <si>
    <t>hoang.nh225628@sis.hust.edu.vn</t>
  </si>
  <si>
    <t>20225845</t>
  </si>
  <si>
    <t>hoang.nh225845@sis.hust.edu.vn</t>
  </si>
  <si>
    <t>Nguyễn Huy Mạnh</t>
  </si>
  <si>
    <t>manh.nh225143@sis.hust.edu.vn</t>
  </si>
  <si>
    <t>20225367</t>
  </si>
  <si>
    <t>Nguyễn Huy Nam</t>
  </si>
  <si>
    <t>nam.nh225367@sis.hust.edu.vn</t>
  </si>
  <si>
    <t>20225292</t>
  </si>
  <si>
    <t>Nguyễn Huy Vũ Dũng</t>
  </si>
  <si>
    <t>dung.nhv225292@sis.hust.edu.vn</t>
  </si>
  <si>
    <t>20225075</t>
  </si>
  <si>
    <t>Nguyễn Huyền San</t>
  </si>
  <si>
    <t>san.nh225075@sis.hust.edu.vn</t>
  </si>
  <si>
    <t>20225476</t>
  </si>
  <si>
    <t>Nguyễn Hữu Công</t>
  </si>
  <si>
    <t>cong.nh225476@sis.hust.edu.vn</t>
  </si>
  <si>
    <t>20225972</t>
  </si>
  <si>
    <t>Nguyễn Hữu Hoàng</t>
  </si>
  <si>
    <t>hoang.nh225972@sis.hust.edu.vn</t>
  </si>
  <si>
    <t>20220028</t>
  </si>
  <si>
    <t>Nguyễn Hữu Huy</t>
  </si>
  <si>
    <t>huy.nh220028@sis.hust.edu.vn</t>
  </si>
  <si>
    <t>Nguyễn Hữu Kiên</t>
  </si>
  <si>
    <t>kien.nh225024@sis.hust.edu.vn</t>
  </si>
  <si>
    <t>Nguyễn Hữu Nam Hoà</t>
  </si>
  <si>
    <t>hoa.nhn226040@sis.hust.edu.vn</t>
  </si>
  <si>
    <t>20225398</t>
  </si>
  <si>
    <t>Nguyễn Hữu Thắng</t>
  </si>
  <si>
    <t>thang.nh225398@sis.hust.edu.vn</t>
  </si>
  <si>
    <t>20225763</t>
  </si>
  <si>
    <t>thang.nh225763@sis.hust.edu.vn</t>
  </si>
  <si>
    <t>20215216</t>
  </si>
  <si>
    <t>Nguyễn Hữu Trung Kiên</t>
  </si>
  <si>
    <t>kien.nht215216@sis.hust.edu.vn</t>
  </si>
  <si>
    <t>20225711</t>
  </si>
  <si>
    <t>Nguyễn Hữu Trường Giang</t>
  </si>
  <si>
    <t>giang.nht225711@sis.hust.edu.vn</t>
  </si>
  <si>
    <t>Nguyễn Khánh Duy</t>
  </si>
  <si>
    <t>duy.nk225830@sis.hust.edu.vn</t>
  </si>
  <si>
    <t>20225016</t>
  </si>
  <si>
    <t>Nguyễn Khánh Huyền</t>
  </si>
  <si>
    <t>huyen.nk225016@sis.hust.edu.vn</t>
  </si>
  <si>
    <t>Nguyễn Khánh Nam</t>
  </si>
  <si>
    <t>nam.nk225749@sis.hust.edu.vn</t>
  </si>
  <si>
    <t>Nguyễn Khánh Toàn</t>
  </si>
  <si>
    <t>toan.nk225936@sis.hust.edu.vn</t>
  </si>
  <si>
    <t>20225806</t>
  </si>
  <si>
    <t>Nguyễn Khắc Điệp</t>
  </si>
  <si>
    <t>diep.nk225806@sis.hust.edu.vn</t>
  </si>
  <si>
    <t>Nguyễn Khắc Giáp</t>
  </si>
  <si>
    <t>giap.nk224975@sis.hust.edu.vn</t>
  </si>
  <si>
    <t>20225839</t>
  </si>
  <si>
    <t>Nguyễn Khắc Hiếu</t>
  </si>
  <si>
    <t>hieu.nk225839@sis.hust.edu.vn</t>
  </si>
  <si>
    <t>Nguyễn khắc quang</t>
  </si>
  <si>
    <t>quang.nk225760@sis.hust.edu.vn</t>
  </si>
  <si>
    <t>20225767</t>
  </si>
  <si>
    <t>Nguyễn Khắc Tiếp</t>
  </si>
  <si>
    <t>tiep.nk225767@sis.hust.edu.vn</t>
  </si>
  <si>
    <t>Nguyễn Khoa Ninh</t>
  </si>
  <si>
    <t>ninh.nk226117@sis.hust.edu.vn</t>
  </si>
  <si>
    <t>20225130</t>
  </si>
  <si>
    <t>Nguyễn Khổng Duy Hoàng</t>
  </si>
  <si>
    <t>hoang.nkd225130@sis.hust.edu.vn</t>
  </si>
  <si>
    <t>Nguyễn Kiến Quốc</t>
  </si>
  <si>
    <t>quoc.nk225153@sis.hust.edu.vn</t>
  </si>
  <si>
    <t>20225618</t>
  </si>
  <si>
    <t>Nguyễn Kiều Duyên</t>
  </si>
  <si>
    <t>duyen.nk225618@sis.hust.edu.vn</t>
  </si>
  <si>
    <t>Nguyễn Kim Cường</t>
  </si>
  <si>
    <t>cuong.nk224939@sis.hust.edu.vn</t>
  </si>
  <si>
    <t>Nguyễn Kim Ngọc</t>
  </si>
  <si>
    <t>ngoc.nk225655@sis.hust.edu.vn</t>
  </si>
  <si>
    <t>Nguyễn Lan Nhi</t>
  </si>
  <si>
    <t>nhi.nl225991@sis.hust.edu.vn</t>
  </si>
  <si>
    <t>Nguyễn Lê Hà Sơn</t>
  </si>
  <si>
    <t>son.nlh225157@sis.hust.edu.vn</t>
  </si>
  <si>
    <t>Nguyễn Lê Minh</t>
  </si>
  <si>
    <t>minh.nl225651@sis.hust.edu.vn</t>
  </si>
  <si>
    <t>20225133</t>
  </si>
  <si>
    <t>Nguyễn Lê Quốc Hưng</t>
  </si>
  <si>
    <t>hung.nlq225133@sis.hust.edu.vn</t>
  </si>
  <si>
    <t>20225079</t>
  </si>
  <si>
    <t>Nguyễn Linh Sơn</t>
  </si>
  <si>
    <t>son.nl225079@sis.hust.edu.vn</t>
  </si>
  <si>
    <t>20226006</t>
  </si>
  <si>
    <t>Nguyễn Long Vũ</t>
  </si>
  <si>
    <t>vu.nl226006@sis.hust.edu.vn</t>
  </si>
  <si>
    <t>Đặng Văn Chuyết</t>
  </si>
  <si>
    <t>Nguyễn Lương Hoàng Tùng</t>
  </si>
  <si>
    <t>tung.nlh226129@sis.hust.edu.vn</t>
  </si>
  <si>
    <t>20225757</t>
  </si>
  <si>
    <t>Nguyễn Lưu Tùng Quân</t>
  </si>
  <si>
    <t>quan.nlt225757@sis.hust.edu.vn</t>
  </si>
  <si>
    <t>20224940</t>
  </si>
  <si>
    <t>Nguyễn Mạnh Cường</t>
  </si>
  <si>
    <t>cuong.nm224940@sis.hust.edu.vn</t>
  </si>
  <si>
    <t>20225268</t>
  </si>
  <si>
    <t>cuong.nm225268@sis.hust.edu.vn</t>
  </si>
  <si>
    <t>Nguyễn Mạnh Hùng</t>
  </si>
  <si>
    <t>hung.nm224859@sis.hust.edu.vn</t>
  </si>
  <si>
    <t>20225630</t>
  </si>
  <si>
    <t>hung.nm225630@sis.hust.edu.vn</t>
  </si>
  <si>
    <t>20225758</t>
  </si>
  <si>
    <t>Nguyễn Mạnh Quân</t>
  </si>
  <si>
    <t>quan.nm225758@sis.hust.edu.vn</t>
  </si>
  <si>
    <t>20225621</t>
  </si>
  <si>
    <t>Nguyễn Mạnh Thái Hà</t>
  </si>
  <si>
    <t>ha.nmt225621@sis.hust.edu.vn</t>
  </si>
  <si>
    <t>20225679</t>
  </si>
  <si>
    <t>tuan.nm225679@sis.hust.edu.vn</t>
  </si>
  <si>
    <t>Nguyễn Mạnh Tùng</t>
  </si>
  <si>
    <t>tung.nm225682@sis.hust.edu.vn</t>
  </si>
  <si>
    <t>Nguyễn Mậu Trung</t>
  </si>
  <si>
    <t>trung.nm225534@sis.hust.edu.vn</t>
  </si>
  <si>
    <t>Nguyễn Minh Đức</t>
  </si>
  <si>
    <t>duc.nm225437@sis.hust.edu.vn</t>
  </si>
  <si>
    <t>20207664</t>
  </si>
  <si>
    <t>duc.nm207664@sis.hust.edu.vn</t>
  </si>
  <si>
    <t>20225811</t>
  </si>
  <si>
    <t>duc.nm225811@sis.hust.edu.vn</t>
  </si>
  <si>
    <t>Duc.NM225567@sis.hust.edu.vn</t>
  </si>
  <si>
    <t>Nguyễn Minh Hiếu</t>
  </si>
  <si>
    <t>hieu.nm224983@sis.hust.edu.vn</t>
  </si>
  <si>
    <t>20225626</t>
  </si>
  <si>
    <t>hieu.nm225626@sis.hust.edu.vn</t>
  </si>
  <si>
    <t>Nguyễn Minh Hoàng</t>
  </si>
  <si>
    <t>hoang.nm225846@sis.hust.edu.vn</t>
  </si>
  <si>
    <t>20224997</t>
  </si>
  <si>
    <t>Nguyễn Minh Hùng</t>
  </si>
  <si>
    <t>hung.nm224997@sis.hust.edu.vn</t>
  </si>
  <si>
    <t>Nguyễn Minh Khôi</t>
  </si>
  <si>
    <t>khoi.nm226050@sis.hust.edu.vn</t>
  </si>
  <si>
    <t>20225642</t>
  </si>
  <si>
    <t>khoi.nm225642@sis.hust.edu.vn</t>
  </si>
  <si>
    <t>Nguyễn Minh Ngọc</t>
  </si>
  <si>
    <t>ngoc.nm225057@sis.hust.edu.vn</t>
  </si>
  <si>
    <t>20225375</t>
  </si>
  <si>
    <t>Nguyễn Minh Phú</t>
  </si>
  <si>
    <t>phu.nm225375@sis.hust.edu.vn</t>
  </si>
  <si>
    <t>Nguyễn Minh Quang</t>
  </si>
  <si>
    <t>quang.nm226123@sis.hust.edu.vn</t>
  </si>
  <si>
    <t>20225221</t>
  </si>
  <si>
    <t>Nguyễn Minh Quân</t>
  </si>
  <si>
    <t>quan.nm225221@sis.hust.edu.vn</t>
  </si>
  <si>
    <t>20225099</t>
  </si>
  <si>
    <t>Nguyễn Minh Tiến</t>
  </si>
  <si>
    <t>tien.nm225099@sis.hust.edu.vn</t>
  </si>
  <si>
    <t>Nguyễn Mỹ Duyên</t>
  </si>
  <si>
    <t>duyen.nm225967@sis.hust.edu.vn</t>
  </si>
  <si>
    <t>Nguyễn Nam</t>
  </si>
  <si>
    <t>nam.n220037@sis.hust.edu.vn</t>
  </si>
  <si>
    <t>20225448</t>
  </si>
  <si>
    <t>Nguyễn Nam Khánh</t>
  </si>
  <si>
    <t>khanh.nn225448@sis.hust.edu.vn</t>
  </si>
  <si>
    <t>20225713</t>
  </si>
  <si>
    <t>Nguyễn Ngân Hà</t>
  </si>
  <si>
    <t>ha.nn225713@sis.hust.edu.vn</t>
  </si>
  <si>
    <t>20215383</t>
  </si>
  <si>
    <t>Nguyễn Ngọc Hoàng</t>
  </si>
  <si>
    <t>hoang.nn215383@sis.hust.edu.vn</t>
  </si>
  <si>
    <t>20220052</t>
  </si>
  <si>
    <t>Nguyễn Ngọc Kiệt</t>
  </si>
  <si>
    <t>kiet.nn220052@sis.hust.edu.vn</t>
  </si>
  <si>
    <t>20225351</t>
  </si>
  <si>
    <t>Nguyễn Ngọc Kính</t>
  </si>
  <si>
    <t>kinh.nn225351@sis.hust.edu.vn</t>
  </si>
  <si>
    <t>20225730</t>
  </si>
  <si>
    <t>Nguyễn Ngọc Lan</t>
  </si>
  <si>
    <t>lan.nn225730@sis.hust.edu.vn</t>
  </si>
  <si>
    <t>20225353</t>
  </si>
  <si>
    <t>Nguyễn Ngọc Lễ</t>
  </si>
  <si>
    <t>le.nn225353@sis.hust.edu.vn</t>
  </si>
  <si>
    <t>20224880</t>
  </si>
  <si>
    <t>Nguyễn Ngọc Minh</t>
  </si>
  <si>
    <t>minh.nn224880@sis.hust.edu.vn</t>
  </si>
  <si>
    <t>Nguyễn Ngọc Phúc</t>
  </si>
  <si>
    <t>phuc.nn220041@sis.hust.edu.vn</t>
  </si>
  <si>
    <t>20225662</t>
  </si>
  <si>
    <t>Nguyễn Ngọc Quân</t>
  </si>
  <si>
    <t>quan.nn225662@sis.hust.edu.vn</t>
  </si>
  <si>
    <t>20225413</t>
  </si>
  <si>
    <t>Nguyễn Ngọc Thuận</t>
  </si>
  <si>
    <t>thuan.nn225413@sis.hust.edu.vn</t>
  </si>
  <si>
    <t>Nguyễn Ngọc Tùng</t>
  </si>
  <si>
    <t>tung.nn220047@sis.hust.edu.vn</t>
  </si>
  <si>
    <t>Nguyễn Nhật Huy</t>
  </si>
  <si>
    <t>huy.nn225335@sis.hust.edu.vn</t>
  </si>
  <si>
    <t>20224892</t>
  </si>
  <si>
    <t>Nguyễn Nhật Quang</t>
  </si>
  <si>
    <t>quang.nn224892@sis.hust.edu.vn</t>
  </si>
  <si>
    <t>Nguyễn Như Giáp</t>
  </si>
  <si>
    <t>giap.nn225441@sis.hust.edu.vn</t>
  </si>
  <si>
    <t>Nguyễn Phan Anh Vũ</t>
  </si>
  <si>
    <t>vu.npa225466@sis.hust.edu.vn</t>
  </si>
  <si>
    <t>Nguyễn Phan Thắng</t>
  </si>
  <si>
    <t>thang.np225529@sis.hust.edu.vn</t>
  </si>
  <si>
    <t>Nguyễn Phi Cường Mạnh</t>
  </si>
  <si>
    <t>manh.npc224875@sis.hust.edu.vn</t>
  </si>
  <si>
    <t>20224862</t>
  </si>
  <si>
    <t>Nguyễn Phú Hưng</t>
  </si>
  <si>
    <t>hung.np224862@sis.hust.edu.vn</t>
  </si>
  <si>
    <t>Nguyễn Phúc An Khang</t>
  </si>
  <si>
    <t>khang.npa225137@sis.hust.edu.vn</t>
  </si>
  <si>
    <t>Nguyễn Phúc Anh</t>
  </si>
  <si>
    <t>anh.np225784@sis.hust.edu.vn</t>
  </si>
  <si>
    <t>20225632</t>
  </si>
  <si>
    <t>Nguyễn Phúc Hưng</t>
  </si>
  <si>
    <t>hung.np225632@sis.hust.edu.vn</t>
  </si>
  <si>
    <t>Nguyễn Phương Anh</t>
  </si>
  <si>
    <t>anh.np226011@sis.hust.edu.vn</t>
  </si>
  <si>
    <t>Nguyễn Phương Linh</t>
  </si>
  <si>
    <t>linh.np225547@sis.hust.edu.vn</t>
  </si>
  <si>
    <t>20225407</t>
  </si>
  <si>
    <t>Nguyễn Phương Thảo</t>
  </si>
  <si>
    <t>thao.np225407@sis.hust.edu.vn</t>
  </si>
  <si>
    <t>Nguyễn Quang Đông</t>
  </si>
  <si>
    <t>dong.nq225284@sis.hust.edu.vn</t>
  </si>
  <si>
    <t>Nguyễn Quang Huy</t>
  </si>
  <si>
    <t>huy.nq225007@sis.hust.edu.vn</t>
  </si>
  <si>
    <t>20225009</t>
  </si>
  <si>
    <t>huy.nq225009@sis.hust.edu.vn</t>
  </si>
  <si>
    <t>huy.nq225010@sis.hust.edu.vn</t>
  </si>
  <si>
    <t>20225336</t>
  </si>
  <si>
    <t>huy.nq225336@sis.hust.edu.vn</t>
  </si>
  <si>
    <t>Nguyễn Quang Hưng</t>
  </si>
  <si>
    <t>Hung.NQ225545@sis.hust.edu.vn</t>
  </si>
  <si>
    <t>20207634</t>
  </si>
  <si>
    <t>Nguyễn Quang Tiệp</t>
  </si>
  <si>
    <t>tiep.nq207634@sis.hust.edu.vn</t>
  </si>
  <si>
    <t>Nguyễn Quang Trung</t>
  </si>
  <si>
    <t>trung.nq225557@sis.hust.edu.vn</t>
  </si>
  <si>
    <t>20215510</t>
  </si>
  <si>
    <t>Nguyễn Quang Tuyến</t>
  </si>
  <si>
    <t>tuyen.nq215510@sis.hust.edu.vn</t>
  </si>
  <si>
    <t>20225686</t>
  </si>
  <si>
    <t>Nguyễn Quang Vinh</t>
  </si>
  <si>
    <t>vinh.nq225686@sis.hust.edu.vn</t>
  </si>
  <si>
    <t>Nguyễn Quốc Anh</t>
  </si>
  <si>
    <t>anh.nq224919@sis.hust.edu.vn</t>
  </si>
  <si>
    <t>20225251</t>
  </si>
  <si>
    <t>anh.nq225251@sis.hust.edu.vn</t>
  </si>
  <si>
    <t>20224830</t>
  </si>
  <si>
    <t>Nguyễn Quốc Cường</t>
  </si>
  <si>
    <t>cuong.nq224830@sis.hust.edu.vn</t>
  </si>
  <si>
    <t>Nguyễn Quốc Huy</t>
  </si>
  <si>
    <t>huy.nq225012@sis.hust.edu.vn</t>
  </si>
  <si>
    <t>20225866</t>
  </si>
  <si>
    <t>khanh.nq225866@sis.hust.edu.vn</t>
  </si>
  <si>
    <t>20225083</t>
  </si>
  <si>
    <t>Nguyễn Quốc Thái</t>
  </si>
  <si>
    <t>thai.nq225083@sis.hust.edu.vn</t>
  </si>
  <si>
    <t>Nguyễn Quỳnh Anh</t>
  </si>
  <si>
    <t>anh.nq225785@sis.hust.edu.vn</t>
  </si>
  <si>
    <t>20225909</t>
  </si>
  <si>
    <t>Nguyễn Sinh Quân</t>
  </si>
  <si>
    <t>quan.ns225909@sis.hust.edu.vn</t>
  </si>
  <si>
    <t>Nguyễn Sơn Tùng</t>
  </si>
  <si>
    <t>tung.ns225112@sis.hust.edu.vn</t>
  </si>
  <si>
    <t>20215066</t>
  </si>
  <si>
    <t>Nguyễn Tài Khoa</t>
  </si>
  <si>
    <t>khoa.nt215066@sis.hust.edu.vn</t>
  </si>
  <si>
    <t>20224840</t>
  </si>
  <si>
    <t>Nguyễn Thái Dương</t>
  </si>
  <si>
    <t>duong.nt224840@sis.hust.edu.vn</t>
  </si>
  <si>
    <t>Nguyễn Thái Hòa</t>
  </si>
  <si>
    <t>hoa.nt224850@sis.hust.edu.vn</t>
  </si>
  <si>
    <t>Nguyễn Thái Khôi</t>
  </si>
  <si>
    <t>khoi.nt224868@sis.hust.edu.vn</t>
  </si>
  <si>
    <t>20225541</t>
  </si>
  <si>
    <t>Nguyễn Thành An</t>
  </si>
  <si>
    <t>an.nt225541@sis.hust.edu.vn</t>
  </si>
  <si>
    <t>20204812</t>
  </si>
  <si>
    <t>Nguyễn Thành Bách</t>
  </si>
  <si>
    <t>bach.nt204812@sis.hust.edu.vn</t>
  </si>
  <si>
    <t>20225792</t>
  </si>
  <si>
    <t>Nguyễn Thanh Bình</t>
  </si>
  <si>
    <t>binh.nt225792@sis.hust.edu.vn</t>
  </si>
  <si>
    <t>20220123</t>
  </si>
  <si>
    <t>Nguyễn Thanh Hải</t>
  </si>
  <si>
    <t>hai.nt220123@sis.hust.edu.vn</t>
  </si>
  <si>
    <t>Nguyễn Thanh Hiếu</t>
  </si>
  <si>
    <t>hieu.nt225716@sis.hust.edu.vn</t>
  </si>
  <si>
    <t>20225847</t>
  </si>
  <si>
    <t>Nguyễn Thanh Hoàng</t>
  </si>
  <si>
    <t>hoang.nt225847@sis.hust.edu.vn</t>
  </si>
  <si>
    <t>20225633</t>
  </si>
  <si>
    <t>Nguyễn Thanh Hưng</t>
  </si>
  <si>
    <t>hung.nt225633@sis.hust.edu.vn</t>
  </si>
  <si>
    <t>20204997</t>
  </si>
  <si>
    <t>Nguyễn Thanh Lâm</t>
  </si>
  <si>
    <t>lam.nt204997@sis.hust.edu.vn</t>
  </si>
  <si>
    <t>Việt Nhật 02-K65</t>
  </si>
  <si>
    <t>Nguyễn Thành Lâm</t>
  </si>
  <si>
    <t>lam.nt225139@sis.hust.edu.vn</t>
  </si>
  <si>
    <t>Nguyễn Thành Minh</t>
  </si>
  <si>
    <t>minh.nt225450@sis.hust.edu.vn</t>
  </si>
  <si>
    <t>20225368</t>
  </si>
  <si>
    <t>Nguyễn Thành Nam</t>
  </si>
  <si>
    <t>nam.nt225368@sis.hust.edu.vn</t>
  </si>
  <si>
    <t>20225214</t>
  </si>
  <si>
    <t>Nguyễn Thanh Nguyên</t>
  </si>
  <si>
    <t>nguyen.nt225214@sis.hust.edu.vn</t>
  </si>
  <si>
    <t>Nguyễn Thành Trung</t>
  </si>
  <si>
    <t>trung.nt225105@sis.hust.edu.vn</t>
  </si>
  <si>
    <t>20224908</t>
  </si>
  <si>
    <t>Nguyễn Thanh Tuyển</t>
  </si>
  <si>
    <t>tuyen.nt224908@sis.hust.edu.vn</t>
  </si>
  <si>
    <t>20225779</t>
  </si>
  <si>
    <t>Nguyễn Thành Vinh</t>
  </si>
  <si>
    <t>vinh.nt225779@sis.hust.edu.vn</t>
  </si>
  <si>
    <t>Nguyễn Thế Anh</t>
  </si>
  <si>
    <t>anh.nt224920@sis.hust.edu.vn</t>
  </si>
  <si>
    <t>anh.nt224921@sis.hust.edu.vn</t>
  </si>
  <si>
    <t>20225163</t>
  </si>
  <si>
    <t>anh.nt225163@sis.hust.edu.vn</t>
  </si>
  <si>
    <t>20225045</t>
  </si>
  <si>
    <t>Nguyễn Thế Nhật Minh</t>
  </si>
  <si>
    <t>minh.ntn225045@sis.hust.edu.vn</t>
  </si>
  <si>
    <t>20224888</t>
  </si>
  <si>
    <t>Nguyễn Thế Phong</t>
  </si>
  <si>
    <t>phong.nt224888@sis.hust.edu.vn</t>
  </si>
  <si>
    <t>20225114</t>
  </si>
  <si>
    <t>Nguyễn Thế Văn</t>
  </si>
  <si>
    <t>van.nt225114@sis.hust.edu.vn</t>
  </si>
  <si>
    <t>20220049</t>
  </si>
  <si>
    <t>van.nt220049@sis.hust.edu.vn</t>
  </si>
  <si>
    <t>20225030</t>
  </si>
  <si>
    <t>Nguyễn Thị Diệu Linh</t>
  </si>
  <si>
    <t>linh.ntd225030@sis.hust.edu.vn</t>
  </si>
  <si>
    <t>Nguyễn Thị Hà</t>
  </si>
  <si>
    <t>ha.nt225305@sis.hust.edu.vn</t>
  </si>
  <si>
    <t>20225622</t>
  </si>
  <si>
    <t>Nguyễn Thị Hạ</t>
  </si>
  <si>
    <t>ha.nt225622@sis.hust.edu.vn</t>
  </si>
  <si>
    <t>Nguyễn Thị Hà Chi</t>
  </si>
  <si>
    <t>chi.nth220016@sis.hust.edu.vn</t>
  </si>
  <si>
    <t>20225674</t>
  </si>
  <si>
    <t>trang.nth225674@sis.hust.edu.vn</t>
  </si>
  <si>
    <t>20225899</t>
  </si>
  <si>
    <t>Nguyễn Thị Kiều Oanh</t>
  </si>
  <si>
    <t>oanh.ntk225899@sis.hust.edu.vn</t>
  </si>
  <si>
    <t>Nguyễn Thị Ngọc Anh</t>
  </si>
  <si>
    <t>anh.ntn225252@sis.hust.edu.vn</t>
  </si>
  <si>
    <t>Nguyễn Thị Nhung</t>
  </si>
  <si>
    <t>nhung.nt225754@sis.hust.edu.vn</t>
  </si>
  <si>
    <t>20204793</t>
  </si>
  <si>
    <t>Nguyễn Thị Phương Thùy</t>
  </si>
  <si>
    <t>thuy.ntp204793@sis.hust.edu.vn</t>
  </si>
  <si>
    <t>20225017</t>
  </si>
  <si>
    <t>Nguyễn Thị Thanh Huyền</t>
  </si>
  <si>
    <t>huyen.ntt225017@sis.hust.edu.vn</t>
  </si>
  <si>
    <t>Nguyễn Thị Thu Huyền</t>
  </si>
  <si>
    <t>huyen.ntt220073@sis.hust.edu.vn</t>
  </si>
  <si>
    <t>20224958</t>
  </si>
  <si>
    <t>Nguyễn Thị Thùy Dung</t>
  </si>
  <si>
    <t>dung.ntt224958@sis.hust.edu.vn</t>
  </si>
  <si>
    <t>Nguyễn Thị Thúy Hiền</t>
  </si>
  <si>
    <t>hien.ntt224844@sis.hust.edu.vn</t>
  </si>
  <si>
    <t>20225049</t>
  </si>
  <si>
    <t>Nguyễn Thị Trà My</t>
  </si>
  <si>
    <t>my.ntt225049@sis.hust.edu.vn</t>
  </si>
  <si>
    <t>Nguyễn Thị Tú Quyên</t>
  </si>
  <si>
    <t>quyen.ntt225223@sis.hust.edu.vn</t>
  </si>
  <si>
    <t>Nguyễn Thùy Linh</t>
  </si>
  <si>
    <t>linh.nt225031@sis.hust.edu.vn</t>
  </si>
  <si>
    <t>20224839</t>
  </si>
  <si>
    <t>Nguyễn Tiến Dũng</t>
  </si>
  <si>
    <t>dung.nt224839@sis.hust.edu.vn</t>
  </si>
  <si>
    <t>20204957</t>
  </si>
  <si>
    <t>dung.nt204957@sis.hust.edu.vn</t>
  </si>
  <si>
    <t>Nguyễn Tiến Đạt</t>
  </si>
  <si>
    <t>dat.nt225481@sis.hust.edu.vn</t>
  </si>
  <si>
    <t>20226023</t>
  </si>
  <si>
    <t>dat.nt226023@sis.hust.edu.vn</t>
  </si>
  <si>
    <t>20198215</t>
  </si>
  <si>
    <t>dat.nt198215@sis.hust.edu.vn</t>
  </si>
  <si>
    <t>Nguyễn Tiến Đăng</t>
  </si>
  <si>
    <t>dang.nt224945@sis.hust.edu.vn</t>
  </si>
  <si>
    <t>20225459</t>
  </si>
  <si>
    <t>thanh.nt225459@sis.hust.edu.vn</t>
  </si>
  <si>
    <t>Nguyễn Tiến Thắng</t>
  </si>
  <si>
    <t>thang.nt225530@sis.hust.edu.vn</t>
  </si>
  <si>
    <t>20210692</t>
  </si>
  <si>
    <t>Nguyễn Tiểu Phương</t>
  </si>
  <si>
    <t>phuong.nt210692@sis.hust.edu.vn</t>
  </si>
  <si>
    <t>20205189</t>
  </si>
  <si>
    <t>Nguyễn Trần Minh Ngọc</t>
  </si>
  <si>
    <t>ngoc.ntm205189@sis.hust.edu.vn</t>
  </si>
  <si>
    <t>ICT 01-K65</t>
  </si>
  <si>
    <t>Nguyễn Trần Nam Khánh</t>
  </si>
  <si>
    <t>khanh.ntn225344@sis.hust.edu.vn</t>
  </si>
  <si>
    <t>Nguyễn Trần Ngân Hà</t>
  </si>
  <si>
    <t>ha.ntn225969@sis.hust.edu.vn</t>
  </si>
  <si>
    <t>20225452</t>
  </si>
  <si>
    <t>Nguyễn Trần Nghĩa</t>
  </si>
  <si>
    <t>nghia.nt225452@sis.hust.edu.vn</t>
  </si>
  <si>
    <t>Nguyễn Trí Dũng</t>
  </si>
  <si>
    <t>dung.nt225613@sis.hust.edu.vn</t>
  </si>
  <si>
    <t>20225812</t>
  </si>
  <si>
    <t>Nguyễn Trí Đức</t>
  </si>
  <si>
    <t>duc.nt225812@sis.hust.edu.vn</t>
  </si>
  <si>
    <t>20200337</t>
  </si>
  <si>
    <t>Nguyễn Trí Lâm</t>
  </si>
  <si>
    <t>lam.nt200337@sis.hust.edu.vn</t>
  </si>
  <si>
    <t>20226093</t>
  </si>
  <si>
    <t>Nguyễn Trí Nam</t>
  </si>
  <si>
    <t>nam.nt226093@sis.hust.edu.vn</t>
  </si>
  <si>
    <t>Nguyễn Trí Thanh</t>
  </si>
  <si>
    <t>thanh.nt225457@sis.hust.edu.vn</t>
  </si>
  <si>
    <t>Nguyễn Trịnh Hoàng Nguyên</t>
  </si>
  <si>
    <t>nguyen.nth225656@sis.hust.edu.vn</t>
  </si>
  <si>
    <t>20210177</t>
  </si>
  <si>
    <t>Nguyễn Trình Tuấn Đạt</t>
  </si>
  <si>
    <t>dat.ntt210177@sis.hust.edu.vn</t>
  </si>
  <si>
    <t>20224955</t>
  </si>
  <si>
    <t>Nguyễn Trọng Đức</t>
  </si>
  <si>
    <t>duc.nt224955@sis.hust.edu.vn</t>
  </si>
  <si>
    <t>20225833</t>
  </si>
  <si>
    <t>Nguyễn Trọng Giáp</t>
  </si>
  <si>
    <t>giap.nt225833@sis.hust.edu.vn</t>
  </si>
  <si>
    <t>Nguyễn Trọng Minh Phương</t>
  </si>
  <si>
    <t>phuong.ntm225992@sis.hust.edu.vn</t>
  </si>
  <si>
    <t>Nguyễn Trọng Phương Bách</t>
  </si>
  <si>
    <t>bach.ntp225473@sis.hust.edu.vn</t>
  </si>
  <si>
    <t>20225527</t>
  </si>
  <si>
    <t>Nguyễn Trọng Tâm</t>
  </si>
  <si>
    <t>tam.nt225527@sis.hust.edu.vn</t>
  </si>
  <si>
    <t>20224922</t>
  </si>
  <si>
    <t>20204906</t>
  </si>
  <si>
    <t>Nguyễn Trung Dũng</t>
  </si>
  <si>
    <t>dung.nt204906@sis.hust.edu.vn</t>
  </si>
  <si>
    <t>20187227</t>
  </si>
  <si>
    <t>dung.nt187227@sis.hust.edu.vn</t>
  </si>
  <si>
    <t>IT-LTU17B</t>
  </si>
  <si>
    <t>20225288</t>
  </si>
  <si>
    <t>Nguyễn Trung Đức</t>
  </si>
  <si>
    <t>duc.nt225288@sis.hust.edu.vn</t>
  </si>
  <si>
    <t>Nguyễn Trung Hiếu</t>
  </si>
  <si>
    <t>hieu.nt225188@sis.hust.edu.vn</t>
  </si>
  <si>
    <t>hieu.nt226082@sis.hust.edu.vn</t>
  </si>
  <si>
    <t>Nguyễn Trung Kiên</t>
  </si>
  <si>
    <t>kien.nt226110@sis.hust.edu.vn</t>
  </si>
  <si>
    <t>kien.nt226052@sis.hust.edu.vn</t>
  </si>
  <si>
    <t>Nguyễn Trung Long</t>
  </si>
  <si>
    <t>long.nt224874@sis.hust.edu.vn</t>
  </si>
  <si>
    <t>20225225</t>
  </si>
  <si>
    <t>Nguyễn Trung Sơn</t>
  </si>
  <si>
    <t>son.nt225225@sis.hust.edu.vn</t>
  </si>
  <si>
    <t>Son.nt226124@sis.hust.edu.vn</t>
  </si>
  <si>
    <t>20225950</t>
  </si>
  <si>
    <t>Nguyễn Trung Tường</t>
  </si>
  <si>
    <t>tuong.nt225950@sis.hust.edu.vn</t>
  </si>
  <si>
    <t>Nguyễn Tú Anh</t>
  </si>
  <si>
    <t>anh.nt225119@sis.hust.edu.vn</t>
  </si>
  <si>
    <t>20224824</t>
  </si>
  <si>
    <t>Nguyễn Tuấn Anh</t>
  </si>
  <si>
    <t>anh.nt224824@sis.hust.edu.vn</t>
  </si>
  <si>
    <t>20241171E</t>
  </si>
  <si>
    <t>anh.nt241171e@sis.hust.edu.vn</t>
  </si>
  <si>
    <t>20225168</t>
  </si>
  <si>
    <t>Nguyễn Tuấn Cảnh</t>
  </si>
  <si>
    <t>canh.nt225168@sis.hust.edu.vn</t>
  </si>
  <si>
    <t>Nguyễn Tuấn Đạt</t>
  </si>
  <si>
    <t>dat.nt225278@sis.hust.edu.vn</t>
  </si>
  <si>
    <t>dat.nt225605@sis.hust.edu.vn</t>
  </si>
  <si>
    <t>Nguyễn Tuấn Minh</t>
  </si>
  <si>
    <t>Minh.NT225579@sis.hust.edu.vn</t>
  </si>
  <si>
    <t>20225219</t>
  </si>
  <si>
    <t>Nguyễn Tuấn Phong</t>
  </si>
  <si>
    <t>phong.nt225219@sis.hust.edu.vn</t>
  </si>
  <si>
    <t>20224967</t>
  </si>
  <si>
    <t>Nguyễn Tùng Dương</t>
  </si>
  <si>
    <t>duong.nt224967@sis.hust.edu.vn</t>
  </si>
  <si>
    <t>20225300</t>
  </si>
  <si>
    <t>duong.nt225300@sis.hust.edu.vn</t>
  </si>
  <si>
    <t>20204758</t>
  </si>
  <si>
    <t>Nguyễn Tùng Lâm</t>
  </si>
  <si>
    <t>lam.nt204758@sis.hust.edu.vn</t>
  </si>
  <si>
    <t>Nguyễn Văn An</t>
  </si>
  <si>
    <t>an.nv220013@sis.hust.edu.vn</t>
  </si>
  <si>
    <t>20224910</t>
  </si>
  <si>
    <t>an.nv224910@sis.hust.edu.vn</t>
  </si>
  <si>
    <t>20194507</t>
  </si>
  <si>
    <t>Nguyễn Văn Đính</t>
  </si>
  <si>
    <t>dinh.nv194507@sis.hust.edu.vn</t>
  </si>
  <si>
    <t>Application Specialist 01-K64</t>
  </si>
  <si>
    <t>20224833</t>
  </si>
  <si>
    <t>Nguyễn Văn Đủ</t>
  </si>
  <si>
    <t>du.nv224833@sis.hust.edu.vn</t>
  </si>
  <si>
    <t>20225126</t>
  </si>
  <si>
    <t>Nguyễn Văn Giáp</t>
  </si>
  <si>
    <t>giap.nv225126@sis.hust.edu.vn</t>
  </si>
  <si>
    <t>20225718</t>
  </si>
  <si>
    <t>Nguyễn Văn Hoàn</t>
  </si>
  <si>
    <t>hoan.nv225718@sis.hust.edu.vn</t>
  </si>
  <si>
    <t>Nguyễn Văn Hoàng</t>
  </si>
  <si>
    <t>hoang.nv225323@sis.hust.edu.vn</t>
  </si>
  <si>
    <t>Nguyễn Văn Hồng Quân</t>
  </si>
  <si>
    <t>quan.nvh225151@sis.hust.edu.vn</t>
  </si>
  <si>
    <t>20225634</t>
  </si>
  <si>
    <t>Nguyễn Văn Hưng</t>
  </si>
  <si>
    <t>hung.nv225634@sis.hust.edu.vn</t>
  </si>
  <si>
    <t>20225020</t>
  </si>
  <si>
    <t>Nguyễn Văn Khỏe</t>
  </si>
  <si>
    <t>khoe.nv225020@sis.hust.edu.vn</t>
  </si>
  <si>
    <t>20198243</t>
  </si>
  <si>
    <t>Nguyễn Văn Lực</t>
  </si>
  <si>
    <t>luc.nv198243@sis.hust.edu.vn</t>
  </si>
  <si>
    <t>20215421</t>
  </si>
  <si>
    <t>Nguyễn Văn Mạnh</t>
  </si>
  <si>
    <t>manh.nv215421@sis.hust.edu.vn</t>
  </si>
  <si>
    <t>20211011</t>
  </si>
  <si>
    <t>Nguyễn Văn Minh</t>
  </si>
  <si>
    <t>minh.nv211011@sis.hust.edu.vn</t>
  </si>
  <si>
    <t>Nguyễn Văn Phú</t>
  </si>
  <si>
    <t>phu.nv225658@sis.hust.edu.vn</t>
  </si>
  <si>
    <t>20225337</t>
  </si>
  <si>
    <t>Nguyễn Văn Quang Huy</t>
  </si>
  <si>
    <t>huy.nvq225337@sis.hust.edu.vn</t>
  </si>
  <si>
    <t>20225394</t>
  </si>
  <si>
    <t>Nguyễn Văn Thái</t>
  </si>
  <si>
    <t>thai.nv225394@sis.hust.edu.vn</t>
  </si>
  <si>
    <t>20225606</t>
  </si>
  <si>
    <t>Nguyễn Văn Thành Đạt</t>
  </si>
  <si>
    <t>dat.nvt225606@sis.hust.edu.vn</t>
  </si>
  <si>
    <t>20225771</t>
  </si>
  <si>
    <t>Nguyễn Văn Tuấn Tú</t>
  </si>
  <si>
    <t>tu.nvt225771@sis.hust.edu.vn</t>
  </si>
  <si>
    <t>Nguyễn Văn Việt</t>
  </si>
  <si>
    <t>viet.nv225237@sis.hust.edu.vn</t>
  </si>
  <si>
    <t>20225434</t>
  </si>
  <si>
    <t>Nguyễn Việt Anh</t>
  </si>
  <si>
    <t>anh.nv225434@sis.hust.edu.vn</t>
  </si>
  <si>
    <t>20215307</t>
  </si>
  <si>
    <t>anh.nv215307@sis.hust.edu.vn</t>
  </si>
  <si>
    <t>Khoa học máy tính 04-K66</t>
  </si>
  <si>
    <t>20225254</t>
  </si>
  <si>
    <t>anh.nv225254@sis.hust.edu.vn</t>
  </si>
  <si>
    <t>20210227</t>
  </si>
  <si>
    <t>Nguyễn Việt Dũng</t>
  </si>
  <si>
    <t>dung.nv210227@sis.hust.edu.vn</t>
  </si>
  <si>
    <t>20224991</t>
  </si>
  <si>
    <t>Nguyễn Việt Hoàng</t>
  </si>
  <si>
    <t>hoang.nv224991@sis.hust.edu.vn</t>
  </si>
  <si>
    <t>20224998</t>
  </si>
  <si>
    <t>Nguyễn Viết Hùng</t>
  </si>
  <si>
    <t>hung.nv224998@sis.hust.edu.vn</t>
  </si>
  <si>
    <t>20224999</t>
  </si>
  <si>
    <t>Nguyễn Việt Hùng</t>
  </si>
  <si>
    <t>hung.nv224999@sis.hust.edu.vn</t>
  </si>
  <si>
    <t>20225506</t>
  </si>
  <si>
    <t>Nguyễn Việt Long</t>
  </si>
  <si>
    <t>long.nv225506@sis.hust.edu.vn</t>
  </si>
  <si>
    <t>long.nv225037@sis.hust.edu.vn</t>
  </si>
  <si>
    <t>Nguyễn Việt Phong</t>
  </si>
  <si>
    <t>phong.nv225901@sis.hust.edu.vn</t>
  </si>
  <si>
    <t>20214947</t>
  </si>
  <si>
    <t>Nguyễn Viết Quý Anh</t>
  </si>
  <si>
    <t>anh.nvq214947@sis.hust.edu.vn</t>
  </si>
  <si>
    <t>20225091</t>
  </si>
  <si>
    <t>Nguyễn Việt Thành</t>
  </si>
  <si>
    <t>thanh.nv225091@sis.hust.edu.vn</t>
  </si>
  <si>
    <t>20225092</t>
  </si>
  <si>
    <t>thanh.nv225092@sis.hust.edu.vn</t>
  </si>
  <si>
    <t>thanh.nv225931@sis.hust.edu.vn</t>
  </si>
  <si>
    <t>Nguyễn Việt Tiến</t>
  </si>
  <si>
    <t>tien.nv225533@sis.hust.edu.vn</t>
  </si>
  <si>
    <t>Nguyễn Viết Tuấn Kiệt</t>
  </si>
  <si>
    <t>kiet.nvt220032@sis.hust.edu.vn</t>
  </si>
  <si>
    <t>Nguyễn Võ Ngọc Khuê</t>
  </si>
  <si>
    <t>khue.nvn225504@sis.hust.edu.vn</t>
  </si>
  <si>
    <t>Nguyễn Vũ Dũng</t>
  </si>
  <si>
    <t>dung.nv225964@sis.hust.edu.vn</t>
  </si>
  <si>
    <t>Nguyễn Vũ Linh Phong</t>
  </si>
  <si>
    <t>phong.nvl225902@sis.hust.edu.vn</t>
  </si>
  <si>
    <t>Nguyễn Vũ Thành</t>
  </si>
  <si>
    <t>thanh.nv225403@sis.hust.edu.vn</t>
  </si>
  <si>
    <t>20225259</t>
  </si>
  <si>
    <t>Nguyễn Xuân Bách</t>
  </si>
  <si>
    <t>bach.nx225259@sis.hust.edu.vn</t>
  </si>
  <si>
    <t>Nguyễn Xuân Bình</t>
  </si>
  <si>
    <t>binh.nx224930@sis.hust.edu.vn</t>
  </si>
  <si>
    <t>Nguyễn Xuân Khuê</t>
  </si>
  <si>
    <t>khue.nx225643@sis.hust.edu.vn</t>
  </si>
  <si>
    <t>K65</t>
  </si>
  <si>
    <t>20225217</t>
  </si>
  <si>
    <t>Nguyễn Xuân Nhân</t>
  </si>
  <si>
    <t>nhan.nx225217@sis.hust.edu.vn</t>
  </si>
  <si>
    <t>Nguyễn Xuân Thành</t>
  </si>
  <si>
    <t>thanh.nx225460@sis.hust.edu.vn</t>
  </si>
  <si>
    <t>thanh.nx225404@sis.hust.edu.vn</t>
  </si>
  <si>
    <t>20198263</t>
  </si>
  <si>
    <t>Nguyễn Xuân Trí</t>
  </si>
  <si>
    <t>tri.nx198263@sis.hust.edu.vn</t>
  </si>
  <si>
    <t>Nguyễn Xuân Trưởng</t>
  </si>
  <si>
    <t>truong.nx225420@sis.hust.edu.vn</t>
  </si>
  <si>
    <t>20225426</t>
  </si>
  <si>
    <t>Nguyễn Xuân Tùng</t>
  </si>
  <si>
    <t>tung.nx225426@sis.hust.edu.vn</t>
  </si>
  <si>
    <t>Nhữ Ngọc Minh</t>
  </si>
  <si>
    <t>minh.nn225046@sis.hust.edu.vn</t>
  </si>
  <si>
    <t>Nông Quốc Khánh</t>
  </si>
  <si>
    <t>khanh.nq226088@sis.hust.edu.vn</t>
  </si>
  <si>
    <t>Ong Xuân Sơn</t>
  </si>
  <si>
    <t>son.ox224897@sis.hust.edu.vn</t>
  </si>
  <si>
    <t>Ôn Quang Tùng</t>
  </si>
  <si>
    <t>tung.oq226096@sis.hust.edu.vn</t>
  </si>
  <si>
    <t>20211002</t>
  </si>
  <si>
    <t>PAV VICHET</t>
  </si>
  <si>
    <t>vichet.p211002@sis.hust.edu.vn</t>
  </si>
  <si>
    <t>20225463</t>
  </si>
  <si>
    <t>Phạm Anh Tú</t>
  </si>
  <si>
    <t>tu.pa225463@sis.hust.edu.vn</t>
  </si>
  <si>
    <t>Phạm Công Chiến</t>
  </si>
  <si>
    <t>chien.pc224934@sis.hust.edu.vn</t>
  </si>
  <si>
    <t>Phạm Công Hiếu</t>
  </si>
  <si>
    <t>hieu.pc225493@sis.hust.edu.vn</t>
  </si>
  <si>
    <t>20205220</t>
  </si>
  <si>
    <t>Phạm Công Sơn</t>
  </si>
  <si>
    <t>son.pc205220@sis.hust.edu.vn</t>
  </si>
  <si>
    <t>Phạm Duy Đông</t>
  </si>
  <si>
    <t>dong.pd225608@sis.hust.edu.vn</t>
  </si>
  <si>
    <t>Phạm Duy Hoàng</t>
  </si>
  <si>
    <t>hoang.pd226042@sis.hust.edu.vn</t>
  </si>
  <si>
    <t>20225850</t>
  </si>
  <si>
    <t>Phạm Duy Hưng</t>
  </si>
  <si>
    <t>hung.pd225850@sis.hust.edu.vn</t>
  </si>
  <si>
    <t>Phạm Duy Thanh</t>
  </si>
  <si>
    <t>phamduythanh2004tb@gmail.com</t>
  </si>
  <si>
    <t>Phạm Đặng Mai Hương</t>
  </si>
  <si>
    <t>huong.pdm225134@sis.hust.edu.vn</t>
  </si>
  <si>
    <t>Phạm Đoàn Phúc Lâm</t>
  </si>
  <si>
    <t>lam.pdp225546@sis.hust.edu.vn</t>
  </si>
  <si>
    <t>Phạm Đức Huy</t>
  </si>
  <si>
    <t>huy.pd225136@sis.hust.edu.vn</t>
  </si>
  <si>
    <t>Phạm Đức Long</t>
  </si>
  <si>
    <t>long.pd225737@sis.hust.edu.vn</t>
  </si>
  <si>
    <t>20225361</t>
  </si>
  <si>
    <t>Phạm Đức Mạnh</t>
  </si>
  <si>
    <t>manh.pd225361@sis.hust.edu.vn</t>
  </si>
  <si>
    <t>Phạm Gia Khiêm</t>
  </si>
  <si>
    <t>khiem.pg225868@sis.hust.edu.vn</t>
  </si>
  <si>
    <t>20225175</t>
  </si>
  <si>
    <t>Phạm Hải Đăng</t>
  </si>
  <si>
    <t>dang.ph225175@sis.hust.edu.vn</t>
  </si>
  <si>
    <t>Phạm Hoàng Hải</t>
  </si>
  <si>
    <t>hai.ph194269@sis.hust.edu.vn</t>
  </si>
  <si>
    <t>20225824</t>
  </si>
  <si>
    <t>Phạm Hồng Dương</t>
  </si>
  <si>
    <t>duong.ph225824@sis.hust.edu.vn</t>
  </si>
  <si>
    <t>Phạm Hồng Quân</t>
  </si>
  <si>
    <t>quan.ph225551@sis.hust.edu.vn</t>
  </si>
  <si>
    <t>Phạm Huy Sơn</t>
  </si>
  <si>
    <t>son.ph225080@sis.hust.edu.vn</t>
  </si>
  <si>
    <t>20225282</t>
  </si>
  <si>
    <t>Phạm Kiên Định</t>
  </si>
  <si>
    <t>dinh.pk225282@sis.hust.edu.vn</t>
  </si>
  <si>
    <t>20225887</t>
  </si>
  <si>
    <t>Phạm Lê Quang Minh</t>
  </si>
  <si>
    <t>minh.plq225887@sis.hust.edu.vn</t>
  </si>
  <si>
    <t>20225765</t>
  </si>
  <si>
    <t>Phạm Lê Thành</t>
  </si>
  <si>
    <t>thanh.pl225765@sis.hust.edu.vn</t>
  </si>
  <si>
    <t>Phạm Long Hải</t>
  </si>
  <si>
    <t>hai.pl225492@sis.hust.edu.vn</t>
  </si>
  <si>
    <t>20225640</t>
  </si>
  <si>
    <t>Phạm Long Khánh</t>
  </si>
  <si>
    <t>khanh.pl225640@sis.hust.edu.vn</t>
  </si>
  <si>
    <t>20215357</t>
  </si>
  <si>
    <t>Phạm Minh Đức</t>
  </si>
  <si>
    <t>duc.pm215357@sis.hust.edu.vn</t>
  </si>
  <si>
    <t>Phạm Minh Hiếu</t>
  </si>
  <si>
    <t>hieu.pm220062@sis.hust.edu.vn</t>
  </si>
  <si>
    <t>20204553</t>
  </si>
  <si>
    <t>hieu.pm204553@sis.hust.edu.vn</t>
  </si>
  <si>
    <t>20225555</t>
  </si>
  <si>
    <t>Phạm Minh Tiến</t>
  </si>
  <si>
    <t>tien.pm225555@sis.hust.edu.vn</t>
  </si>
  <si>
    <t>Phạm Nguyễn Hải Nhi</t>
  </si>
  <si>
    <t>nhi.pnh225549@sis.hust.edu.vn</t>
  </si>
  <si>
    <t>Phạm Nguyễn Hùng Nguyên</t>
  </si>
  <si>
    <t>nguyen.pnh226115@sis.hust.edu.vn</t>
  </si>
  <si>
    <t>Phạm Nguyên Việt</t>
  </si>
  <si>
    <t>viet.pn225776@sis.hust.edu.vn</t>
  </si>
  <si>
    <t>Phạm Phương Huy</t>
  </si>
  <si>
    <t>huy.pp225977@sis.hust.edu.vn</t>
  </si>
  <si>
    <t>20220071</t>
  </si>
  <si>
    <t>Phạm Quang Anh</t>
  </si>
  <si>
    <t>anh.pq220071@sis.hust.edu.vn</t>
  </si>
  <si>
    <t>20225338</t>
  </si>
  <si>
    <t>Phạm Quang Huy</t>
  </si>
  <si>
    <t>huy.pq225338@sis.hust.edu.vn</t>
  </si>
  <si>
    <t>Phạm Quang Hưng</t>
  </si>
  <si>
    <t>hung.pq220030@sis.hust.edu.vn</t>
  </si>
  <si>
    <t>Phạm Quốc Cường</t>
  </si>
  <si>
    <t>cuong.pq225604@sis.hust.edu.vn</t>
  </si>
  <si>
    <t>Phạm Quốc Dũng</t>
  </si>
  <si>
    <t>dung.pq225817@sis.hust.edu.vn</t>
  </si>
  <si>
    <t>Phạm Quốc Khánh</t>
  </si>
  <si>
    <t>khanh.pq225345@sis.hust.edu.vn</t>
  </si>
  <si>
    <t>Phạm Quốc Minh</t>
  </si>
  <si>
    <t>minh.pq225743@sis.hust.edu.vn</t>
  </si>
  <si>
    <t>Phạm Thái Sơn</t>
  </si>
  <si>
    <t>son.pt226125@sis.hust.edu.vn</t>
  </si>
  <si>
    <t>20224911</t>
  </si>
  <si>
    <t>Phạm Thanh An</t>
  </si>
  <si>
    <t>an.pt224911@sis.hust.edu.vn</t>
  </si>
  <si>
    <t>20226024</t>
  </si>
  <si>
    <t>Phạm Thành Đạt</t>
  </si>
  <si>
    <t>dat.pt226024@sis.hust.edu.vn</t>
  </si>
  <si>
    <t>20225356</t>
  </si>
  <si>
    <t>Phạm Thị Thuỳ Linh</t>
  </si>
  <si>
    <t>linh.ptt225356@sis.hust.edu.vn</t>
  </si>
  <si>
    <t>Phạm Trần Nguyên Phú</t>
  </si>
  <si>
    <t>phu.ptn226120@sis.hust.edu.vn</t>
  </si>
  <si>
    <t>20225503</t>
  </si>
  <si>
    <t>Phạm Trần Tuấn Khang</t>
  </si>
  <si>
    <t>khang.ptt225503@sis.hust.edu.vn</t>
  </si>
  <si>
    <t>20215374</t>
  </si>
  <si>
    <t>Phạm Trung Hiếu</t>
  </si>
  <si>
    <t>hieu.pt215374@sis.hust.edu.vn</t>
  </si>
  <si>
    <t>Phạm Trung Kiên</t>
  </si>
  <si>
    <t>kien.pt225026@sis.hust.edu.vn</t>
  </si>
  <si>
    <t>20225996</t>
  </si>
  <si>
    <t>Phạm Trường Sang</t>
  </si>
  <si>
    <t>sang.pt225996@sis.hust.edu.vn</t>
  </si>
  <si>
    <t>Phạm Tuấn Anh</t>
  </si>
  <si>
    <t>anh.pt225542@sis.hust.edu.vn</t>
  </si>
  <si>
    <t>20225744</t>
  </si>
  <si>
    <t>Phạm Tuấn Minh</t>
  </si>
  <si>
    <t>minh.pt225744@sis.hust.edu.vn</t>
  </si>
  <si>
    <t>20225825</t>
  </si>
  <si>
    <t>Phạm Tùng Dương</t>
  </si>
  <si>
    <t>duong.pt225825@sis.hust.edu.vn</t>
  </si>
  <si>
    <t>Phạm Văn Đồng</t>
  </si>
  <si>
    <t>dong.pv225702@sis.hust.edu.vn</t>
  </si>
  <si>
    <t>20225215</t>
  </si>
  <si>
    <t>Phạm Văn Nguyên</t>
  </si>
  <si>
    <t>nguyen.pv225215@sis.hust.edu.vn</t>
  </si>
  <si>
    <t>Phạm Văn Thanh</t>
  </si>
  <si>
    <t>thanh.pv220042@sis.hust.edu.vn</t>
  </si>
  <si>
    <t>20194716</t>
  </si>
  <si>
    <t>Phạm Văn Uy</t>
  </si>
  <si>
    <t>uy.pv194716@sis.hust.edu.vn</t>
  </si>
  <si>
    <t>Phạm Việt Anh</t>
  </si>
  <si>
    <t>anh.pv225599@sis.hust.edu.vn</t>
  </si>
  <si>
    <t>20215288</t>
  </si>
  <si>
    <t>Phạm Viết Anh Quân</t>
  </si>
  <si>
    <t>quan.pva215288@sis.hust.edu.vn</t>
  </si>
  <si>
    <t>Phạm Việt Hòa</t>
  </si>
  <si>
    <t>hoa.pv225128@sis.hust.edu.vn</t>
  </si>
  <si>
    <t>Phạm Việt Hoàng</t>
  </si>
  <si>
    <t>hoang.pv224854@sis.hust.edu.vn</t>
  </si>
  <si>
    <t>20225068</t>
  </si>
  <si>
    <t>Phạm Xuân Phúc</t>
  </si>
  <si>
    <t>phuc.px225068@sis.hust.edu.vn</t>
  </si>
  <si>
    <t>20225116</t>
  </si>
  <si>
    <t>Phạm Xuân Việt</t>
  </si>
  <si>
    <t>viet.px225116@sis.hust.edu.vn</t>
  </si>
  <si>
    <t>20225391</t>
  </si>
  <si>
    <t>Phan Anh Tài</t>
  </si>
  <si>
    <t>tai.pa225391@sis.hust.edu.vn</t>
  </si>
  <si>
    <t>20215656</t>
  </si>
  <si>
    <t>Phan Công Trưởng</t>
  </si>
  <si>
    <t>truong.pc215656@sis.hust.edu.vn</t>
  </si>
  <si>
    <t>Phan Đào Minh Quân</t>
  </si>
  <si>
    <t>quan.pdm225993@sis.hust.edu.vn</t>
  </si>
  <si>
    <t>20225294</t>
  </si>
  <si>
    <t>Phan Đức Dũng</t>
  </si>
  <si>
    <t>dung.pd225294@sis.hust.edu.vn</t>
  </si>
  <si>
    <t>Phan Đức Duy</t>
  </si>
  <si>
    <t>duy.pd225831@sis.hust.edu.vn</t>
  </si>
  <si>
    <t>20225916</t>
  </si>
  <si>
    <t>Phan Đức Quyền</t>
  </si>
  <si>
    <t>quyen.pd225916@sis.hust.edu.vn</t>
  </si>
  <si>
    <t>Phan Gia Đô</t>
  </si>
  <si>
    <t>do.pg226026@sis.hust.edu.vn</t>
  </si>
  <si>
    <t>Phan Hà Quyên</t>
  </si>
  <si>
    <t>quyen.ph225224@sis.hust.edu.vn</t>
  </si>
  <si>
    <t>Phan Hoàng Hải</t>
  </si>
  <si>
    <t>hai.ph225715@sis.hust.edu.vn</t>
  </si>
  <si>
    <t>Phan Hoàng Long</t>
  </si>
  <si>
    <t>long.ph225738@sis.hust.edu.vn</t>
  </si>
  <si>
    <t>20225273</t>
  </si>
  <si>
    <t>Phan Lê Hải Đăng</t>
  </si>
  <si>
    <t>dang.plh225273@sis.hust.edu.vn</t>
  </si>
  <si>
    <t>20225495</t>
  </si>
  <si>
    <t>Phan Minh Hòa</t>
  </si>
  <si>
    <t>hoa.pm225495@sis.hust.edu.vn</t>
  </si>
  <si>
    <t>20225222</t>
  </si>
  <si>
    <t>Phan Minh Quang</t>
  </si>
  <si>
    <t>quang.pm225222@sis.hust.edu.vn</t>
  </si>
  <si>
    <t>20225241</t>
  </si>
  <si>
    <t>Phan Minh Vượng</t>
  </si>
  <si>
    <t>vuong.pm225241@sis.hust.edu.vn</t>
  </si>
  <si>
    <t>20225419</t>
  </si>
  <si>
    <t>Phan Nhật Trường</t>
  </si>
  <si>
    <t>truong.pn225419@sis.hust.edu.vn</t>
  </si>
  <si>
    <t>20198280</t>
  </si>
  <si>
    <t>Phan Quốc Anh</t>
  </si>
  <si>
    <t>anh.pq198280@sis.hust.edu.vn</t>
  </si>
  <si>
    <t>20225631</t>
  </si>
  <si>
    <t>Phan Sỹ Hùng</t>
  </si>
  <si>
    <t>hung.ps225631@sis.hust.edu.vn</t>
  </si>
  <si>
    <t>20207614</t>
  </si>
  <si>
    <t>Phan Thanh Lộc</t>
  </si>
  <si>
    <t>loc.pt207614@sis.hust.edu.vn</t>
  </si>
  <si>
    <t>20225084</t>
  </si>
  <si>
    <t>Phan Thanh Thái</t>
  </si>
  <si>
    <t>thai.pt225084@sis.hust.edu.vn</t>
  </si>
  <si>
    <t>20225927</t>
  </si>
  <si>
    <t>Phan Thanh Thắng</t>
  </si>
  <si>
    <t>thang.pt225927@sis.hust.edu.vn</t>
  </si>
  <si>
    <t>Phan Thế Toàn</t>
  </si>
  <si>
    <t>toan.pt225415@sis.hust.edu.vn</t>
  </si>
  <si>
    <t>Phan Thu Hà</t>
  </si>
  <si>
    <t>ha.pt225571@sis.hust.edu.vn</t>
  </si>
  <si>
    <t>Phan Trần Việt Bách</t>
  </si>
  <si>
    <t>bach.ptv225435@sis.hust.edu.vn</t>
  </si>
  <si>
    <t>Phan Trí Dũng</t>
  </si>
  <si>
    <t>dung.pt225295@sis.hust.edu.vn</t>
  </si>
  <si>
    <t>Phan Việt Anh</t>
  </si>
  <si>
    <t>anh.pv225566@sis.hust.edu.vn</t>
  </si>
  <si>
    <t>Phí Hoàng Việt</t>
  </si>
  <si>
    <t>viet.ph225429@sis.hust.edu.vn</t>
  </si>
  <si>
    <t>Phùng Công Hiếu</t>
  </si>
  <si>
    <t>hieu.pc224848@sis.hust.edu.vn</t>
  </si>
  <si>
    <t>20225896</t>
  </si>
  <si>
    <t>Phùng Duy Nghĩa</t>
  </si>
  <si>
    <t>nghia.pd225896@sis.hust.edu.vn</t>
  </si>
  <si>
    <t>Phùng Đức Đạt</t>
  </si>
  <si>
    <t>dat.pd226025@sis.hust.edu.vn</t>
  </si>
  <si>
    <t>Phùng Hải Minh</t>
  </si>
  <si>
    <t>minh.ph225986@sis.hust.edu.vn</t>
  </si>
  <si>
    <t>20225063</t>
  </si>
  <si>
    <t>Phùng Hữu Phú</t>
  </si>
  <si>
    <t>phu.ph225063@sis.hust.edu.vn</t>
  </si>
  <si>
    <t>20215454</t>
  </si>
  <si>
    <t>Phùng Minh Phúc</t>
  </si>
  <si>
    <t>phuc.pm215454@sis.hust.edu.vn</t>
  </si>
  <si>
    <t>20225639</t>
  </si>
  <si>
    <t>Phùng Quang Khải</t>
  </si>
  <si>
    <t>khai.pq225639@sis.hust.edu.vn</t>
  </si>
  <si>
    <t>Phùng Tiến Thành</t>
  </si>
  <si>
    <t>thanh.pt225531@sis.hust.edu.vn</t>
  </si>
  <si>
    <t>Quách Gia Được</t>
  </si>
  <si>
    <t>duoc.qg225820@sis.hust.edu.vn</t>
  </si>
  <si>
    <t>20225206</t>
  </si>
  <si>
    <t>Quách Hải Linh</t>
  </si>
  <si>
    <t>linh.qh225206@sis.hust.edu.vn</t>
  </si>
  <si>
    <t>Quản Tuấn Huy</t>
  </si>
  <si>
    <t>huy.qt225014@sis.hust.edu.vn</t>
  </si>
  <si>
    <t>20215507</t>
  </si>
  <si>
    <t>Quan Văn Tuấn</t>
  </si>
  <si>
    <t>tuan.qv215507@sis.hust.edu.vn</t>
  </si>
  <si>
    <t>20220106</t>
  </si>
  <si>
    <t>Rum Sovang</t>
  </si>
  <si>
    <t>sovang.r220106@sis.hust.edu.vn</t>
  </si>
  <si>
    <t>20220107</t>
  </si>
  <si>
    <t>Samkol Meng Leang</t>
  </si>
  <si>
    <t>leang.sm220107@sis.hust.edu.vn</t>
  </si>
  <si>
    <t>20215348</t>
  </si>
  <si>
    <t>Sầm Ngọc Đối</t>
  </si>
  <si>
    <t>doi.sn215348@sis.hust.edu.vn</t>
  </si>
  <si>
    <t>20225729</t>
  </si>
  <si>
    <t>Tạ Duy Lâm</t>
  </si>
  <si>
    <t>lam.td225729@sis.hust.edu.vn</t>
  </si>
  <si>
    <t>20224969</t>
  </si>
  <si>
    <t>Tạ Đăng Dương</t>
  </si>
  <si>
    <t>duong.td224969@sis.hust.edu.vn</t>
  </si>
  <si>
    <t>Tạ Hồng Phúc</t>
  </si>
  <si>
    <t>phuc.th225906@sis.hust.edu.vn</t>
  </si>
  <si>
    <t>20225110</t>
  </si>
  <si>
    <t>Tạ Quốc Tuấn</t>
  </si>
  <si>
    <t>tuan.tq225110@sis.hust.edu.vn</t>
  </si>
  <si>
    <t>Tạ Tuấn Hải</t>
  </si>
  <si>
    <t>hai.tt225442@sis.hust.edu.vn</t>
  </si>
  <si>
    <t>20225218</t>
  </si>
  <si>
    <t>Tào Tuấn Ninh</t>
  </si>
  <si>
    <t>ninh.tt225218@sis.hust.edu.vn</t>
  </si>
  <si>
    <t>20225507</t>
  </si>
  <si>
    <t>Tăng Triệu Long</t>
  </si>
  <si>
    <t>long.tt225507@sis.hust.edu.vn</t>
  </si>
  <si>
    <t>20225053</t>
  </si>
  <si>
    <t>Thái Đức Nam</t>
  </si>
  <si>
    <t>nam.td225053@sis.hust.edu.vn</t>
  </si>
  <si>
    <t>20225646</t>
  </si>
  <si>
    <t>Thân Cát Ngọc Lan</t>
  </si>
  <si>
    <t>lan.tcn225646@sis.hust.edu.vn</t>
  </si>
  <si>
    <t>20215547</t>
  </si>
  <si>
    <t>Thiều Văn Dũng</t>
  </si>
  <si>
    <t>dung.tv215547@sis.hust.edu.vn</t>
  </si>
  <si>
    <t>20224825</t>
  </si>
  <si>
    <t>Tô Huy Thế Anh</t>
  </si>
  <si>
    <t>anh.tht224825@sis.hust.edu.vn</t>
  </si>
  <si>
    <t>Tô Minh Ánh</t>
  </si>
  <si>
    <t>anh.tm225787@sis.hust.edu.vn</t>
  </si>
  <si>
    <t>Trần An Khanh</t>
  </si>
  <si>
    <t>khanh.ta225447@sis.hust.edu.vn</t>
  </si>
  <si>
    <t>20224963</t>
  </si>
  <si>
    <t>Trần Anh Dũng</t>
  </si>
  <si>
    <t>dung.ta224963@sis.hust.edu.vn</t>
  </si>
  <si>
    <t>Trần Anh Đức</t>
  </si>
  <si>
    <t>duc.ta220120@sis.hust.edu.vn</t>
  </si>
  <si>
    <t>Trần Anh Khôi</t>
  </si>
  <si>
    <t>khoi.ta225981@sis.hust.edu.vn</t>
  </si>
  <si>
    <t>20225038</t>
  </si>
  <si>
    <t>Trần Bảo Long</t>
  </si>
  <si>
    <t>long.tb225038@sis.hust.edu.vn</t>
  </si>
  <si>
    <t>20225756</t>
  </si>
  <si>
    <t>Trần Cao Bảo Phúc</t>
  </si>
  <si>
    <t>phuc.tcb225756@sis.hust.edu.vn</t>
  </si>
  <si>
    <t>Trần Công Thành</t>
  </si>
  <si>
    <t>thanh.tc225554@sis.hust.edu.vn</t>
  </si>
  <si>
    <t>20225859</t>
  </si>
  <si>
    <t>Trần Doãn Huy</t>
  </si>
  <si>
    <t>huy.td225859@sis.hust.edu.vn</t>
  </si>
  <si>
    <t>Trần Duy Anh</t>
  </si>
  <si>
    <t>anh.td225256@sis.hust.edu.vn</t>
  </si>
  <si>
    <t>20225378</t>
  </si>
  <si>
    <t>Trần Duy Phúc</t>
  </si>
  <si>
    <t>phuc.td225378@sis.hust.edu.vn</t>
  </si>
  <si>
    <t>Trần Đại Hiệp</t>
  </si>
  <si>
    <t>hiep.td226081@sis.hust.edu.vn</t>
  </si>
  <si>
    <t>Trần Đăng Huy</t>
  </si>
  <si>
    <t>huy.td225575@sis.hust.edu.vn</t>
  </si>
  <si>
    <t>20225279</t>
  </si>
  <si>
    <t>Trần Đình Đạt</t>
  </si>
  <si>
    <t>dat.td225279@sis.hust.edu.vn</t>
  </si>
  <si>
    <t>20225746</t>
  </si>
  <si>
    <t>Trần Đình Nhật Minh</t>
  </si>
  <si>
    <t>minh.tdn225746@sis.hust.edu.vn</t>
  </si>
  <si>
    <t>Trần Đình Phúc</t>
  </si>
  <si>
    <t>phuc.td224891@sis.hust.edu.vn</t>
  </si>
  <si>
    <t>Trần Đức An</t>
  </si>
  <si>
    <t>an.td224912@sis.hust.edu.vn</t>
  </si>
  <si>
    <t>Trần Đức Chính</t>
  </si>
  <si>
    <t>chinh.td224936@sis.hust.edu.vn</t>
  </si>
  <si>
    <t>K64</t>
  </si>
  <si>
    <t>Trần Đức Lê Huy</t>
  </si>
  <si>
    <t>huy.tdl225978@sis.hust.edu.vn</t>
  </si>
  <si>
    <t>20225739</t>
  </si>
  <si>
    <t>Trần Đức Mạnh</t>
  </si>
  <si>
    <t>manh.td225739@sis.hust.edu.vn</t>
  </si>
  <si>
    <t>Trần Đức Thu</t>
  </si>
  <si>
    <t>thu.td225412@sis.hust.edu.vn</t>
  </si>
  <si>
    <t>20225538</t>
  </si>
  <si>
    <t>Trần Đức Vinh</t>
  </si>
  <si>
    <t>vinh.td225538@sis.hust.edu.vn</t>
  </si>
  <si>
    <t>Trần Gia Huy</t>
  </si>
  <si>
    <t>huy.tg207988@sis.hust.edu.vn</t>
  </si>
  <si>
    <t>IT-VUW 02-K65</t>
  </si>
  <si>
    <t>Trần Gia Khánh</t>
  </si>
  <si>
    <t>khanh.tg226048@sis.hust.edu.vn</t>
  </si>
  <si>
    <t>20190181</t>
  </si>
  <si>
    <t>Trần Hải Nam</t>
  </si>
  <si>
    <t>nam.th190181@sis.hust.edu.vn</t>
  </si>
  <si>
    <t>Trần Hải Nhật Minh</t>
  </si>
  <si>
    <t>minh.thn225144@sis.hust.edu.vn</t>
  </si>
  <si>
    <t>20210023</t>
  </si>
  <si>
    <t>Trần Hoàng Anh</t>
  </si>
  <si>
    <t>anh.th210023@sis.hust.edu.vn</t>
  </si>
  <si>
    <t>Trần Hoàng Dũng</t>
  </si>
  <si>
    <t>dung.th225708@sis.hust.edu.vn</t>
  </si>
  <si>
    <t>20225836</t>
  </si>
  <si>
    <t>Trần Hoàng Hiền</t>
  </si>
  <si>
    <t>hien.th225836@sis.hust.edu.vn</t>
  </si>
  <si>
    <t>Trần Hoàng Nhật Minh</t>
  </si>
  <si>
    <t>minh.thn225366@sis.hust.edu.vn</t>
  </si>
  <si>
    <t>20226076</t>
  </si>
  <si>
    <t>Trần Huy Hoàng Anh</t>
  </si>
  <si>
    <t>anh.thh226076@sis.hust.edu.vn</t>
  </si>
  <si>
    <t>Trần Hữu Đạo</t>
  </si>
  <si>
    <t>dao.th220061@sis.hust.edu.vn</t>
  </si>
  <si>
    <t>20225120</t>
  </si>
  <si>
    <t>Trần Hữu Đạt</t>
  </si>
  <si>
    <t>dat.th225120@sis.hust.edu.vn</t>
  </si>
  <si>
    <t>20210444</t>
  </si>
  <si>
    <t>Trần Hữu Huy</t>
  </si>
  <si>
    <t>huy.th210444@sis.hust.edu.vn</t>
  </si>
  <si>
    <t>Trần Khánh Quỳnh</t>
  </si>
  <si>
    <t>quynh.tk225762@sis.hust.edu.vn</t>
  </si>
  <si>
    <t>Trần Khắc Hồng Đức</t>
  </si>
  <si>
    <t>duc.tkh224835@sis.hust.edu.vn</t>
  </si>
  <si>
    <t>Trần Khởi Nguyên</t>
  </si>
  <si>
    <t>nguyen.tk225453@sis.hust.edu.vn</t>
  </si>
  <si>
    <t>Trần Lê Anh Minh</t>
  </si>
  <si>
    <t>minh.tla225652@sis.hust.edu.vn</t>
  </si>
  <si>
    <t>Trần Lê Dũng</t>
  </si>
  <si>
    <t>dung.tl224964@sis.hust.edu.vn</t>
  </si>
  <si>
    <t>20220068</t>
  </si>
  <si>
    <t>Trần Mạnh Hùng</t>
  </si>
  <si>
    <t>hung.tm220068@sis.hust.edu.vn</t>
  </si>
  <si>
    <t>20224864</t>
  </si>
  <si>
    <t>Trần Mạnh Khải</t>
  </si>
  <si>
    <t>khai.tm224864@sis.hust.edu.vn</t>
  </si>
  <si>
    <t>Trần Ngọc Hưng</t>
  </si>
  <si>
    <t>hung.tn225635@sis.hust.edu.vn</t>
  </si>
  <si>
    <t>Trần Ngọc Quang</t>
  </si>
  <si>
    <t>quang.tn225523@sis.hust.edu.vn</t>
  </si>
  <si>
    <t>20220018</t>
  </si>
  <si>
    <t>Trần Nguyên Chiến</t>
  </si>
  <si>
    <t>chien.tn220018@sis.hust.edu.vn</t>
  </si>
  <si>
    <t>20241597E</t>
  </si>
  <si>
    <t>Trần Nhật Hoàng</t>
  </si>
  <si>
    <t>hoang.tn241597e@sis.hust.edu.vn</t>
  </si>
  <si>
    <t>20194835</t>
  </si>
  <si>
    <t>Trần Như Thái</t>
  </si>
  <si>
    <t>thai.tn194835@sis.hust.edu.vn</t>
  </si>
  <si>
    <t>20225666</t>
  </si>
  <si>
    <t>Trần Phúc Sơn</t>
  </si>
  <si>
    <t>son.tp225666@sis.hust.edu.vn</t>
  </si>
  <si>
    <t>Trần Quang Huân</t>
  </si>
  <si>
    <t>huan.tq215387@sis.hust.edu.vn</t>
  </si>
  <si>
    <t>Trần Quang Huy</t>
  </si>
  <si>
    <t>huy.tq226109@sis.hust.edu.vn</t>
  </si>
  <si>
    <t>20240825E</t>
  </si>
  <si>
    <t>huy.tq240825e@sis.hust.edu.vn</t>
  </si>
  <si>
    <t>huy.tq225201@sis.hust.edu.vn</t>
  </si>
  <si>
    <t>20225860</t>
  </si>
  <si>
    <t>huy.tq225860@sis.hust.edu.vn</t>
  </si>
  <si>
    <t>hung.tq225004@sis.hust.edu.vn</t>
  </si>
  <si>
    <t>Trần Quang Minh</t>
  </si>
  <si>
    <t>minh.tq225512@sis.hust.edu.vn</t>
  </si>
  <si>
    <t>minh.tq225047@sis.hust.edu.vn</t>
  </si>
  <si>
    <t>20200540</t>
  </si>
  <si>
    <t>Trần Quang Tiến</t>
  </si>
  <si>
    <t>tien.tq200540@sis.hust.edu.vn</t>
  </si>
  <si>
    <t>20225280</t>
  </si>
  <si>
    <t>Trần Quốc Đạt</t>
  </si>
  <si>
    <t>dat.tq225280@sis.hust.edu.vn</t>
  </si>
  <si>
    <t>20225320</t>
  </si>
  <si>
    <t>Trần Quốc Hoàn</t>
  </si>
  <si>
    <t>hoan.tq225320@sis.hust.edu.vn</t>
  </si>
  <si>
    <t>Trần Quốc Trí Trung</t>
  </si>
  <si>
    <t>trung.tqt225558@sis.hust.edu.vn</t>
  </si>
  <si>
    <t>Trần Sơn Tùng</t>
  </si>
  <si>
    <t>tung.ts220048@sis.hust.edu.vn</t>
  </si>
  <si>
    <t>Trần Sỹ Minh Quân</t>
  </si>
  <si>
    <t>quan.tsm225521@sis.hust.edu.vn</t>
  </si>
  <si>
    <t>20225392</t>
  </si>
  <si>
    <t>Trần Thanh Anh Tài</t>
  </si>
  <si>
    <t>tai.tta225392@sis.hust.edu.vn</t>
  </si>
  <si>
    <t>Trần Thành Vinh</t>
  </si>
  <si>
    <t>vinh.tt225539@sis.hust.edu.vn</t>
  </si>
  <si>
    <t>Trần Thế Anh</t>
  </si>
  <si>
    <t>anh.tt224927@sis.hust.edu.vn</t>
  </si>
  <si>
    <t>Trần Thị Hồng Thơm</t>
  </si>
  <si>
    <t>thom.tth225410@sis.hust.edu.vn</t>
  </si>
  <si>
    <t>Trần Thị Minh Thu</t>
  </si>
  <si>
    <t>thu.ttm224901@sis.hust.edu.vn</t>
  </si>
  <si>
    <t>20225371</t>
  </si>
  <si>
    <t>Trần Thị Nhài</t>
  </si>
  <si>
    <t>nhai.tt225371@sis.hust.edu.vn</t>
  </si>
  <si>
    <t>Trần Thị Phương Thảo</t>
  </si>
  <si>
    <t>thao.ttp225766@sis.hust.edu.vn</t>
  </si>
  <si>
    <t>Trần Thị Tường Vân</t>
  </si>
  <si>
    <t>van.ttt225590@sis.hust.edu.vn</t>
  </si>
  <si>
    <t>Trần Thị Vân Anh</t>
  </si>
  <si>
    <t>anh.ttv225786@sis.hust.edu.vn</t>
  </si>
  <si>
    <t>Trần Tiến Đạt</t>
  </si>
  <si>
    <t>dat.tt194246@sis.hust.edu.vn</t>
  </si>
  <si>
    <t>20225216</t>
  </si>
  <si>
    <t>Trần Trọng Nguyên</t>
  </si>
  <si>
    <t>nguyen.tt225216@sis.hust.edu.vn</t>
  </si>
  <si>
    <t>20210494</t>
  </si>
  <si>
    <t>Trần Trung Kiên</t>
  </si>
  <si>
    <t>kien.tt210494@sis.hust.edu.vn</t>
  </si>
  <si>
    <t>20225283</t>
  </si>
  <si>
    <t>Trần Tuấn Đoàn</t>
  </si>
  <si>
    <t>doan.tt225283@sis.hust.edu.vn</t>
  </si>
  <si>
    <t>Trần Tuấn Hùng</t>
  </si>
  <si>
    <t>hung.tt225000@sis.hust.edu.vn</t>
  </si>
  <si>
    <t>Trần Tùng Dương</t>
  </si>
  <si>
    <t>duong.tt226033@sis.hust.edu.vn</t>
  </si>
  <si>
    <t>20225690</t>
  </si>
  <si>
    <t>Trần Văn Đức Anh</t>
  </si>
  <si>
    <t>anh.tvd225690@sis.hust.edu.vn</t>
  </si>
  <si>
    <t>20225346</t>
  </si>
  <si>
    <t>Trần Văn Khánh</t>
  </si>
  <si>
    <t>khanh.tv225346@sis.hust.edu.vn</t>
  </si>
  <si>
    <t>20215621</t>
  </si>
  <si>
    <t>Trần Văn Nam</t>
  </si>
  <si>
    <t>nam.tv215621@sis.hust.edu.vn</t>
  </si>
  <si>
    <t>20194131</t>
  </si>
  <si>
    <t>Trần Văn Nghĩa</t>
  </si>
  <si>
    <t>nghia.tv194131@sis.hust.edu.vn</t>
  </si>
  <si>
    <t>Trần Văn Tài</t>
  </si>
  <si>
    <t>tai.tv207700@sis.hust.edu.vn</t>
  </si>
  <si>
    <t>20225937</t>
  </si>
  <si>
    <t>Trần Văn Toàn</t>
  </si>
  <si>
    <t>toan.tv225937@sis.hust.edu.vn</t>
  </si>
  <si>
    <t>Trần Việt Anh</t>
  </si>
  <si>
    <t>anh.tv226012@sis.hust.edu.vn</t>
  </si>
  <si>
    <t>20207606</t>
  </si>
  <si>
    <t>Trần Việt Hoàng</t>
  </si>
  <si>
    <t>hoang.tv207606@sis.hust.edu.vn</t>
  </si>
  <si>
    <t>Trần Vương Hoàng</t>
  </si>
  <si>
    <t>hoang.tv224855@sis.hust.edu.vn</t>
  </si>
  <si>
    <t>20225496</t>
  </si>
  <si>
    <t>Trần Vương Hưng</t>
  </si>
  <si>
    <t>hung.tv225496@sis.hust.edu.vn</t>
  </si>
  <si>
    <t>Trần Xuân Phúc</t>
  </si>
  <si>
    <t>phuc.tx225379@sis.hust.edu.vn</t>
  </si>
  <si>
    <t>20210824</t>
  </si>
  <si>
    <t>Trần Xuân Thuận</t>
  </si>
  <si>
    <t>thuan.tx210824@sis.hust.edu.vn</t>
  </si>
  <si>
    <t>Trần Xuân Tú</t>
  </si>
  <si>
    <t>tu.tx225677@sis.hust.edu.vn</t>
  </si>
  <si>
    <t>Triệu Kinh Quốc</t>
  </si>
  <si>
    <t>quoc.tk225524@sis.hust.edu.vn</t>
  </si>
  <si>
    <t>20210737</t>
  </si>
  <si>
    <t>Trịnh Diễm Quỳnh</t>
  </si>
  <si>
    <t>quynh.td210737@sis.hust.edu.vn</t>
  </si>
  <si>
    <t>20220065</t>
  </si>
  <si>
    <t>Trịnh Duy Phong</t>
  </si>
  <si>
    <t>phong.td220065@sis.hust.edu.vn</t>
  </si>
  <si>
    <t>20215229</t>
  </si>
  <si>
    <t>Trịnh Giang Nam</t>
  </si>
  <si>
    <t>nam.tg215229@sis.hust.edu.vn</t>
  </si>
  <si>
    <t>Trịnh Hoàng Anh</t>
  </si>
  <si>
    <t>anh.th225470@sis.hust.edu.vn</t>
  </si>
  <si>
    <t>20225048</t>
  </si>
  <si>
    <t>Trịnh Hồ Nhật Minh</t>
  </si>
  <si>
    <t>minh.thn225048@sis.hust.edu.vn</t>
  </si>
  <si>
    <t>20225526</t>
  </si>
  <si>
    <t>Trịnh Huynh Sơn</t>
  </si>
  <si>
    <t>son.th225526@sis.hust.edu.vn</t>
  </si>
  <si>
    <t>Trịnh Hữu An</t>
  </si>
  <si>
    <t>an.th225593@sis.hust.edu.vn</t>
  </si>
  <si>
    <t>Trịnh Mạnh Quỳnh</t>
  </si>
  <si>
    <t>quynh.tm226064@sis.hust.edu.vn</t>
  </si>
  <si>
    <t>20225701</t>
  </si>
  <si>
    <t>Trịnh Minh Đạt</t>
  </si>
  <si>
    <t>dat.tm225701@sis.hust.edu.vn</t>
  </si>
  <si>
    <t>20225813</t>
  </si>
  <si>
    <t>Trịnh Minh Đức</t>
  </si>
  <si>
    <t>duc.tm225813@sis.hust.edu.vn</t>
  </si>
  <si>
    <t>Trịnh Quang Minh</t>
  </si>
  <si>
    <t>minh.tq226092@sis.hust.edu.vn</t>
  </si>
  <si>
    <t>Trịnh Quốc Hoàng</t>
  </si>
  <si>
    <t>hoang.tq225629@sis.hust.edu.vn</t>
  </si>
  <si>
    <t>20225513</t>
  </si>
  <si>
    <t>Trịnh Thế Minh</t>
  </si>
  <si>
    <t>minh.tt225513@sis.hust.edu.vn</t>
  </si>
  <si>
    <t>20225416</t>
  </si>
  <si>
    <t>Trịnh Thị Huyền Trang</t>
  </si>
  <si>
    <t>trang.tth225416@sis.hust.edu.vn</t>
  </si>
  <si>
    <t>Trịnh Thị Thùy Dương</t>
  </si>
  <si>
    <t>duong.ttt226034@sis.hust.edu.vn</t>
  </si>
  <si>
    <t>Trịnh Vi Giang Xuân</t>
  </si>
  <si>
    <t>xuan.tvg225118@sis.hust.edu.vn</t>
  </si>
  <si>
    <t>20224941</t>
  </si>
  <si>
    <t>Trịnh Việt Cường</t>
  </si>
  <si>
    <t>cuong.tv224941@sis.hust.edu.vn</t>
  </si>
  <si>
    <t>Trương Anh Đức</t>
  </si>
  <si>
    <t>duc.ta225814@sis.hust.edu.vn</t>
  </si>
  <si>
    <t>Trương Công Thái Đức</t>
  </si>
  <si>
    <t>duc.tct225815@sis.hust.edu.vn</t>
  </si>
  <si>
    <t>20224977</t>
  </si>
  <si>
    <t>Trương Đức Hải</t>
  </si>
  <si>
    <t>hai.td224977@sis.hust.edu.vn</t>
  </si>
  <si>
    <t>Trương Linh Duyên</t>
  </si>
  <si>
    <t>duyen.tl225968@sis.hust.edu.vn</t>
  </si>
  <si>
    <t>Trương Minh Ngọc</t>
  </si>
  <si>
    <t>ngoc.tm220038@sis.hust.edu.vn</t>
  </si>
  <si>
    <t>Trương Ngọc Hải</t>
  </si>
  <si>
    <t>hai.tn225309@sis.hust.edu.vn</t>
  </si>
  <si>
    <t>Trương Ngọc Mai</t>
  </si>
  <si>
    <t>mai.tn225879@sis.hust.edu.vn</t>
  </si>
  <si>
    <t>Trương Phạm Ngọc Khánh</t>
  </si>
  <si>
    <t>khanh.tpn225641@sis.hust.edu.vn</t>
  </si>
  <si>
    <t>20225709</t>
  </si>
  <si>
    <t>Trương Quốc Dũng</t>
  </si>
  <si>
    <t>dung.tq225709@sis.hust.edu.vn</t>
  </si>
  <si>
    <t>20225941</t>
  </si>
  <si>
    <t>Trương Quốc Triệu</t>
  </si>
  <si>
    <t>trieu.tq225941@sis.hust.edu.vn</t>
  </si>
  <si>
    <t>Trương Thảo Nguyên</t>
  </si>
  <si>
    <t>nguyen.tt220067@sis.hust.edu.vn</t>
  </si>
  <si>
    <t>Trương Tuấn Vinh</t>
  </si>
  <si>
    <t>vinh.tt225464@sis.hust.edu.vn</t>
  </si>
  <si>
    <t>Trương Xuân Thông</t>
  </si>
  <si>
    <t>thong.tx220044@sis.hust.edu.vn</t>
  </si>
  <si>
    <t>20225422</t>
  </si>
  <si>
    <t>Từ Minh Tuân</t>
  </si>
  <si>
    <t>tuan.tm225422@sis.hust.edu.vn</t>
  </si>
  <si>
    <t>Văn Đức Cường</t>
  </si>
  <si>
    <t>cuong.vd220021@sis.hust.edu.vn</t>
  </si>
  <si>
    <t>Vi Hùng Đức</t>
  </si>
  <si>
    <t>duc.vh224836@sis.hust.edu.vn</t>
  </si>
  <si>
    <t>20225870</t>
  </si>
  <si>
    <t>Võ Anh Khôi</t>
  </si>
  <si>
    <t>khoi.va225870@sis.hust.edu.vn</t>
  </si>
  <si>
    <t>Võ Tá TuấN</t>
  </si>
  <si>
    <t>tuan.vt224904@sis.hust.edu.vn</t>
  </si>
  <si>
    <t>20226074</t>
  </si>
  <si>
    <t>Võ Thành Vinh</t>
  </si>
  <si>
    <t>vinh.vt226074@sis.hust.edu.vn</t>
  </si>
  <si>
    <t>20210905</t>
  </si>
  <si>
    <t>Võ Văn Tuấn</t>
  </si>
  <si>
    <t>tuan.vv210905@sis.hust.edu.vn</t>
  </si>
  <si>
    <t>Vũ Anh Huy</t>
  </si>
  <si>
    <t>huy.va220029@sis.hust.edu.vn</t>
  </si>
  <si>
    <t>20226058</t>
  </si>
  <si>
    <t>Vũ Bình Minh</t>
  </si>
  <si>
    <t>minh.vb226058@sis.hust.edu.vn</t>
  </si>
  <si>
    <t>20224942</t>
  </si>
  <si>
    <t>Vũ Đình Cường</t>
  </si>
  <si>
    <t>cuong.vd224942@sis.hust.edu.vn</t>
  </si>
  <si>
    <t>20225226</t>
  </si>
  <si>
    <t>Vũ Đình Tâm</t>
  </si>
  <si>
    <t>tam.vd225226@sis.hust.edu.vn</t>
  </si>
  <si>
    <t>Vũ Đức Anh</t>
  </si>
  <si>
    <t>anh.vd225257@sis.hust.edu.vn</t>
  </si>
  <si>
    <t>20207668</t>
  </si>
  <si>
    <t>Vũ Đức Duy</t>
  </si>
  <si>
    <t>duy.vd207668@sis.hust.edu.vn</t>
  </si>
  <si>
    <t>Vũ Đức Mạnh</t>
  </si>
  <si>
    <t>manh.vd226054@sis.hust.edu.vn</t>
  </si>
  <si>
    <t>20225649</t>
  </si>
  <si>
    <t>manh.vd225649@sis.hust.edu.vn</t>
  </si>
  <si>
    <t>Vũ Đức Minh</t>
  </si>
  <si>
    <t>minh.vd225514@sis.hust.edu.vn</t>
  </si>
  <si>
    <t>20225082</t>
  </si>
  <si>
    <t>Vũ Đức Tài</t>
  </si>
  <si>
    <t>tai.vd225082@sis.hust.edu.vn</t>
  </si>
  <si>
    <t>20225553</t>
  </si>
  <si>
    <t>Vũ Đức Thắng</t>
  </si>
  <si>
    <t>thang.vd225553@sis.hust.edu.vn</t>
  </si>
  <si>
    <t>Vũ Đức Trung</t>
  </si>
  <si>
    <t>trung.vd220046@sis.hust.edu.vn</t>
  </si>
  <si>
    <t>trung.vd225161@sis.hust.edu.vn</t>
  </si>
  <si>
    <t>20180022</t>
  </si>
  <si>
    <t>Vũ Đức Việt Anh</t>
  </si>
  <si>
    <t>anh.vdv180022@sis.hust.edu.vn</t>
  </si>
  <si>
    <t>Khoa học máy tính 03-K63</t>
  </si>
  <si>
    <t>Vũ Hải Đăng</t>
  </si>
  <si>
    <t>dang.vh225962@sis.hust.edu.vn</t>
  </si>
  <si>
    <t>20226021</t>
  </si>
  <si>
    <t>dang.vh226021@sis.hust.edu.vn</t>
  </si>
  <si>
    <t>20225750</t>
  </si>
  <si>
    <t>Vũ Hải Nam</t>
  </si>
  <si>
    <t>nam.vh225750@sis.hust.edu.vn</t>
  </si>
  <si>
    <t>Vũ Hoàng Nhật Anh</t>
  </si>
  <si>
    <t>anh.vhn225471@sis.hust.edu.vn</t>
  </si>
  <si>
    <t>Vũ Hoàng Việt</t>
  </si>
  <si>
    <t>viet.vh225777@sis.hust.edu.vn</t>
  </si>
  <si>
    <t>20225467</t>
  </si>
  <si>
    <t>Vũ Hữu An</t>
  </si>
  <si>
    <t>an.vh225467@sis.hust.edu.vn</t>
  </si>
  <si>
    <t>20194063</t>
  </si>
  <si>
    <t>Vũ Hữu Học</t>
  </si>
  <si>
    <t>hoc.vh194063@sis.hust.edu.vn</t>
  </si>
  <si>
    <t>Vũ Hữu Tiến</t>
  </si>
  <si>
    <t>tien.vh225231@sis.hust.edu.vn</t>
  </si>
  <si>
    <t>20198290</t>
  </si>
  <si>
    <t>Vũ Mạnh Dũng</t>
  </si>
  <si>
    <t>dung.vm198290@sis.hust.edu.vn</t>
  </si>
  <si>
    <t>Vũ Mạnh Hưng</t>
  </si>
  <si>
    <t>hung.vm225198@sis.hust.edu.vn</t>
  </si>
  <si>
    <t>Vũ Minh Hiển</t>
  </si>
  <si>
    <t>hien.vm210324@sis.hust.edu.vn</t>
  </si>
  <si>
    <t>20194563</t>
  </si>
  <si>
    <t>Vũ Minh Hiếu</t>
  </si>
  <si>
    <t>hieu.vm194563@sis.hust.edu.vn</t>
  </si>
  <si>
    <t>hieu.vm225494@sis.hust.edu.vn</t>
  </si>
  <si>
    <t>20194284</t>
  </si>
  <si>
    <t>hieu.vm194284@sis.hust.edu.vn</t>
  </si>
  <si>
    <t>20215128</t>
  </si>
  <si>
    <t>Vũ Minh Quân</t>
  </si>
  <si>
    <t>quan.vm215128@sis.hust.edu.vn</t>
  </si>
  <si>
    <t>quan.vm225910@sis.hust.edu.vn</t>
  </si>
  <si>
    <t>20215252</t>
  </si>
  <si>
    <t>Vũ Minh Tuệ</t>
  </si>
  <si>
    <t>tue.vm215252@sis.hust.edu.vn</t>
  </si>
  <si>
    <t>Vũ Ngọc Đức</t>
  </si>
  <si>
    <t>duc.vn225816@sis.hust.edu.vn</t>
  </si>
  <si>
    <t>Vũ Ngọc Hà</t>
  </si>
  <si>
    <t>ha.vn225490@sis.hust.edu.vn</t>
  </si>
  <si>
    <t>20220053</t>
  </si>
  <si>
    <t>Vũ Ngọc Long</t>
  </si>
  <si>
    <t>long.vn220053@sis.hust.edu.vn</t>
  </si>
  <si>
    <t>20225890</t>
  </si>
  <si>
    <t>Vũ Ngọc Minh</t>
  </si>
  <si>
    <t>minh.vn225890@sis.hust.edu.vn</t>
  </si>
  <si>
    <t>20225182</t>
  </si>
  <si>
    <t>Vũ Ngọc Tiến Dũng</t>
  </si>
  <si>
    <t>dung.vnt225182@sis.hust.edu.vn</t>
  </si>
  <si>
    <t>20226037</t>
  </si>
  <si>
    <t>Vũ Nguyên Hạo</t>
  </si>
  <si>
    <t>hao.vn226037@sis.hust.edu.vn</t>
  </si>
  <si>
    <t>20214919</t>
  </si>
  <si>
    <t>Vũ Nhật Minh</t>
  </si>
  <si>
    <t>minh.vn214919@sis.hust.edu.vn</t>
  </si>
  <si>
    <t>Vũ Nhật Nguyên Thư</t>
  </si>
  <si>
    <t>thu.vnn225462@sis.hust.edu.vn</t>
  </si>
  <si>
    <t>Vũ Nhật Quang</t>
  </si>
  <si>
    <t>quang.vn225761@sis.hust.edu.vn</t>
  </si>
  <si>
    <t>Vũ Như Đức</t>
  </si>
  <si>
    <t>duc.vn225485@sis.hust.edu.vn</t>
  </si>
  <si>
    <t>Vũ Quang Dũng</t>
  </si>
  <si>
    <t>dung.vq225818@sis.hust.edu.vn</t>
  </si>
  <si>
    <t>Vũ Quốc Bảo</t>
  </si>
  <si>
    <t>bao.vq225694@sis.hust.edu.vn</t>
  </si>
  <si>
    <t>Vũ Quốc Dũng</t>
  </si>
  <si>
    <t>dung.vq225488@sis.hust.edu.vn</t>
  </si>
  <si>
    <t>20205048</t>
  </si>
  <si>
    <t>Vũ Quốc Việt</t>
  </si>
  <si>
    <t>viet.vq205048@sis.hust.edu.vn</t>
  </si>
  <si>
    <t>Vũ Thái Hưng</t>
  </si>
  <si>
    <t>hung.vt226046@sis.hust.edu.vn</t>
  </si>
  <si>
    <t>20224952</t>
  </si>
  <si>
    <t>Vũ Thành Đạt</t>
  </si>
  <si>
    <t>dat.vt224952@sis.hust.edu.vn</t>
  </si>
  <si>
    <t>20215110</t>
  </si>
  <si>
    <t>Vũ Thị Quỳnh Như</t>
  </si>
  <si>
    <t>nhu.vtq215110@sis.hust.edu.vn</t>
  </si>
  <si>
    <t>20225232</t>
  </si>
  <si>
    <t>Vũ Thu Trang</t>
  </si>
  <si>
    <t>trang.vt225232@sis.hust.edu.vn</t>
  </si>
  <si>
    <t>20215031</t>
  </si>
  <si>
    <t>Vũ Thường Đạt</t>
  </si>
  <si>
    <t>dat.vt215031@sis.hust.edu.vn</t>
  </si>
  <si>
    <t>Vũ Tiến An Nguyên</t>
  </si>
  <si>
    <t>nguyen.vta225148@sis.hust.edu.vn</t>
  </si>
  <si>
    <t>20204835</t>
  </si>
  <si>
    <t>Vũ Tiến Hưng</t>
  </si>
  <si>
    <t>hung.vt204835@sis.hust.edu.vn</t>
  </si>
  <si>
    <t>Vũ Tiến Nam</t>
  </si>
  <si>
    <t>nam.vt225055@sis.hust.edu.vn</t>
  </si>
  <si>
    <t>Vũ Tiến Thăng</t>
  </si>
  <si>
    <t>thang.vt225396@sis.hust.edu.vn</t>
  </si>
  <si>
    <t>20215409</t>
  </si>
  <si>
    <t>Vũ Trịnh Kim</t>
  </si>
  <si>
    <t>kim.vt215409@sis.hust.edu.vn</t>
  </si>
  <si>
    <t>Vũ Trung Thành</t>
  </si>
  <si>
    <t>thanh.vt220066@sis.hust.edu.vn</t>
  </si>
  <si>
    <t>Vũ Trường An</t>
  </si>
  <si>
    <t>an.vt220058@sis.hust.edu.vn</t>
  </si>
  <si>
    <t>20225406</t>
  </si>
  <si>
    <t>Vũ Tuấn Thành</t>
  </si>
  <si>
    <t>thanh.vt225406@sis.hust.edu.vn</t>
  </si>
  <si>
    <t>Vũ Tuấn Trường</t>
  </si>
  <si>
    <t>truong.vt225535@sis.hust.edu.vn</t>
  </si>
  <si>
    <t>Vũ Tùng Lâm</t>
  </si>
  <si>
    <t>lam.vt225140@sis.hust.edu.vn</t>
  </si>
  <si>
    <t>20210523</t>
  </si>
  <si>
    <t>Vũ Tùng Linh</t>
  </si>
  <si>
    <t>linh.vt210523@sis.hust.edu.vn</t>
  </si>
  <si>
    <t>20225747</t>
  </si>
  <si>
    <t>Vũ Văn Minh</t>
  </si>
  <si>
    <t>minh.vv225747@sis.hust.edu.vn</t>
  </si>
  <si>
    <t>Vũ Văn Tú</t>
  </si>
  <si>
    <t>tu.vv215504@sis.hust.edu.vn</t>
  </si>
  <si>
    <t>20225270</t>
  </si>
  <si>
    <t>Vũ Việt Cường</t>
  </si>
  <si>
    <t>cuong.vv225270@sis.hust.edu.vn</t>
  </si>
  <si>
    <t>20220023</t>
  </si>
  <si>
    <t>Vũ Viết Dũng</t>
  </si>
  <si>
    <t>dung.vv220023@sis.hust.edu.vn</t>
  </si>
  <si>
    <t>Vũ Việt Long</t>
  </si>
  <si>
    <t>long.vv225508@sis.hust.edu.vn</t>
  </si>
  <si>
    <t>Vương Lê Bình Dương</t>
  </si>
  <si>
    <t>duong.vlb226035@sis.hust.edu.vn</t>
  </si>
  <si>
    <t>Vương Quốc Huy</t>
  </si>
  <si>
    <t>huy.vq225637@sis.hust.edu.vn</t>
  </si>
  <si>
    <t>Vương Văn Đăng</t>
  </si>
  <si>
    <t>dang.vv225800@sis.hust.edu.vn</t>
  </si>
  <si>
    <t>Vương Văn Thành</t>
  </si>
  <si>
    <t>thanh.vv225094@sis.hust.edu.vn</t>
  </si>
  <si>
    <t>Hoàng Minh Hiếu</t>
  </si>
  <si>
    <t>HIEU.HM224981@sis.hust.edu.vn</t>
  </si>
  <si>
    <t xml:space="preserve">Trần Đắc Lương </t>
  </si>
  <si>
    <t>luong2442003@gmail.com</t>
  </si>
  <si>
    <t>Trần Kim Cương</t>
  </si>
  <si>
    <t>Cuong.TK226017@sis.hust.edu.vn</t>
  </si>
  <si>
    <t>Dương Đức Duy</t>
  </si>
  <si>
    <t>Nguyễn Đức Minh</t>
  </si>
  <si>
    <t>Nguyễn Công Đạt</t>
  </si>
  <si>
    <t>ncongdat06@gmail.com</t>
  </si>
  <si>
    <t>hieuhb4321@gmail.com</t>
  </si>
  <si>
    <t>Nguyễn Ngọc Dũng</t>
  </si>
  <si>
    <t>Dung.nn224962@sis.hust.edu.vn</t>
  </si>
  <si>
    <t>Dấu thời gian</t>
  </si>
  <si>
    <t>Bạn đăng ký tham dự theo nhóm (tối thiểu 2 người) hay đăng ký tham dự cá nhân?</t>
  </si>
  <si>
    <t xml:space="preserve">Họ và tên </t>
  </si>
  <si>
    <t xml:space="preserve">MSSV </t>
  </si>
  <si>
    <t xml:space="preserve">Email </t>
  </si>
  <si>
    <t>Số điện thoại</t>
  </si>
  <si>
    <t xml:space="preserve">Hóa đơn chuyển khoản </t>
  </si>
  <si>
    <t xml:space="preserve">Họ và tên người đại diện </t>
  </si>
  <si>
    <t xml:space="preserve">Email người đại diện </t>
  </si>
  <si>
    <t xml:space="preserve">Số điện thoại người đại diện </t>
  </si>
  <si>
    <t xml:space="preserve">Nhóm bạn tham dự </t>
  </si>
  <si>
    <t>Hóa đơn chuyển khoản  2</t>
  </si>
  <si>
    <t>Điểm số</t>
  </si>
  <si>
    <t>Địa chỉ email</t>
  </si>
  <si>
    <t>Số bạn tham dự: (2,3,..)</t>
  </si>
  <si>
    <t>Upload ảnh:
(lưu ý với form nộp theo nhóm, các ảnh cá nhân phải được upload với tên file có dạng: tên_mssv_lớp_khóa)</t>
  </si>
  <si>
    <t>Quote:
(lưu ý với form nộp theo nhóm, vui lòng ghi tên trước câu quote của mình)</t>
  </si>
  <si>
    <t>Bạn thuộc chương trình đào tạo và khóa nào?</t>
  </si>
  <si>
    <t>Đã up ảnh + quote</t>
  </si>
  <si>
    <t>Thể loại:
VD: Hát (đơn ca, song ca, tốp ca), Nhảy, Múa,...</t>
  </si>
  <si>
    <t>Tên tiết mục:</t>
  </si>
  <si>
    <t>Mô tả yêu cầu kỹ thuật cho tiết mục:</t>
  </si>
  <si>
    <t>Bạn có muốn đăng kí tiết mục văn nghệ không? (Nếu không thì điền không, nếu có thì mô tả chi tiết tiết mục)</t>
  </si>
  <si>
    <t>Bạn có muốn đăng kí tiết mục văn nghệ không? (Nếu không thì điền không, nếu có thì mô tả chi tiết tiết mục) 2</t>
  </si>
  <si>
    <t>Đã import vào hệ thống</t>
  </si>
  <si>
    <t>Ghi chú</t>
  </si>
  <si>
    <t>// nhóm này có Nguyễn Đức An đã chuyển riêng 200k,
Trần Hữu Đạo đã nộp form trước, chuyển khoản trước
 Đàm Quang Đức chưa chuyển khoản</t>
  </si>
  <si>
    <t>0967689177</t>
  </si>
  <si>
    <t>Nguyễn Đức An - 20225432 - an.nd225432@sis.hust.edu.vn
Trần Hữu Đạo - 20220061 - dao.th220061@sis.hust.edu.vn
Đàm Quang Đức - 20225483 - duc.dq225483@sis.hust.edu.vn</t>
  </si>
  <si>
    <t>https://drive.google.com/open?id=1nUDfu-YStbOwWdI253f2k5S5YXe-OGvt</t>
  </si>
  <si>
    <t>nguyenducancbg@gmail.com</t>
  </si>
  <si>
    <t>https://drive.google.com/open?id=1_VFnHUIgsdAXjaU01ivlf5SXy-4gzBbb</t>
  </si>
  <si>
    <t>Cảm ơn chatgpt, claude, codex và tất cả những người bạn đã giúp đỡ tôi 4 năm qua</t>
  </si>
  <si>
    <t>CTTT Data Science &amp; AI - K67</t>
  </si>
  <si>
    <t>Đi có hội – Vui gấp bội!</t>
  </si>
  <si>
    <t xml:space="preserve"> </t>
  </si>
  <si>
    <t>0981722618</t>
  </si>
  <si>
    <t>Kiều Văn Bảo - 20225261 - kieubao2k4@gmail.com
Trần Duy Anh - 20225256 - tranduyanhhtth@gmail.com
Nguyễn Quang Đông - 20225284 - nguyendong.vn2004@gmail.com</t>
  </si>
  <si>
    <t>https://drive.google.com/open?id=14rIMl1Q9JbdSVhmdLpOiFyTyT6OD1h1m</t>
  </si>
  <si>
    <t>kieubao2k4@gmail.com</t>
  </si>
  <si>
    <t>dinhduyen299792@gmail.com</t>
  </si>
  <si>
    <t>0949733955</t>
  </si>
  <si>
    <t>Đinh Ngọc Duyên - 20225124 - dinhduyen299792@gmail.com
Lê Thị Thu Hương - 20225199 - Huong.ltt225199@sis.hust.edu.vn
Nguyễn Thị Hà - 20225305 - ha.nt225305@sis.hust.edu.vn
Nguyễn Thị Ngọc Anh - 20225252 - anh.ntn225252@sis.hust.edu.vn</t>
  </si>
  <si>
    <t>https://drive.google.com/open?id=1jZRRJXa0mJJiw239JWGATk6ytz2i5RR0</t>
  </si>
  <si>
    <t>18052004loc@gmail.com</t>
  </si>
  <si>
    <t>0916633359</t>
  </si>
  <si>
    <t>Phạm Quốc Dũng - 20225817 - Phamquocdung2109@gmail.com
Lê Tuấn Khải - 20225861 - Giabachsilk989@gmail.com
Đinh Đình Lộc - 20225647 - 18052004loc@gmail.com
Quách Gia Được - 20225820 - quachgiaduoc2004@gmail.com
Dương Quang Đông - 20225808 - quangdong010203@gmail.com
Nguyễn Khánh Nam - 20225749 - namnk2004@gmail.com
Vũ Nhật Quang - 20225761 - vunhatquang2004@gmail.com
Nguyễn Đức Trường - 20225675 - tr01656902449@gmail.com</t>
  </si>
  <si>
    <t>https://drive.google.com/open?id=1l0Dz44jkfaJJtAoo6-lyprGKSkYdy7iA</t>
  </si>
  <si>
    <t>quangphonghd14@gmail.com</t>
  </si>
  <si>
    <t>0867087569</t>
  </si>
  <si>
    <t>1. Bùi Quang Phong - 20224877 quangphonghd14@gmail.com
2. Nguyễn Viết Tuấn Kiệt - 20220032 tuankiet.nv2501@gmail.com
3. Vũ Tùng Lâm - 20225140 tunglam8124@gmail.com
4. Nguyễn Thái Hòa - 20224850 nguyenthaihoa311@gmail.com
5. Đào Phúc Long - 20220034 phuclongdao@gmail.com
6. Nguyễn Thái Khôi - 20224868 sherlockholmes5304@gmail.com
7. Lưu Thịnh Khang - 20220031 khangthinhluu21@gmail.com</t>
  </si>
  <si>
    <t>https://drive.google.com/open?id=13fEgqmFtKx3SDb3581nzRB5apN5jDZQa</t>
  </si>
  <si>
    <t>0888721699</t>
  </si>
  <si>
    <t>Phạm Minh Hiếu - 20220062 - hieu.pm220062@sis.hust.edu.vn
Nguyễn Đức Bình - 20225475 - Binh.ND225475@sis.hust.edu.vn
Phạm Hồng Quân - 20225551 - quan.ph225551@sis.hust.edu.vn
Nguyễn Như Giáp - 20225441 - Giap.NN225441@sis.hust.edu.vn
Nguyễn Minh Đức - 20225437 - nguyenminhduc5etp@gmail.com
Trương Tuấn Vinh - 20225464 - Vinh.TT225464@sis.hust.edu.vn
Trần An Khanh - 20225447 - khanh.ta225447@sis.hust.edu.vn
Vũ Nhật Nguyên Thư - 20225462 - Thu.VNN225462@sis.hust.edu.vn</t>
  </si>
  <si>
    <t>https://drive.google.com/open?id=1qGNwF74umAMjicP41EmxsgMFzMmjS5_V</t>
  </si>
  <si>
    <t>minhhieu150404@gmail.com</t>
  </si>
  <si>
    <t>0888676146</t>
  </si>
  <si>
    <t>Vũ Ngọc Hà - 20225490 - ha.vn225490@sis.hust.edu.vn
Bùi Ánh Dương - 20225489 - duong.ba225489@sis.hust.edu.vn</t>
  </si>
  <si>
    <t>https://drive.google.com/open?id=1J3e2fCq9RC0WxZ57YYfvjc_xBOIbS53F</t>
  </si>
  <si>
    <t>vuha03042004@gmail.com</t>
  </si>
  <si>
    <t>https://drive.google.com/open?id=1nx5caomiYLgTcDfAHkWzwIdFOOz_Vnc4, https://drive.google.com/open?id=1p8C14CZsYIXlz5WQEXk5Mn24VetF0jH8</t>
  </si>
  <si>
    <t>Vũ Ngọc Hà: "Cảm ơn thầy cô vì đã luôn tin chúng em có thể làm được."
Bùi Ánh Dương: "Cảm ơn thầy cô đã chịu đựng chúng em suốt từng ấy năm."</t>
  </si>
  <si>
    <t>Ảnh Bùi Ánh Dương lỗi</t>
  </si>
  <si>
    <t>duongtrinhthithuy204@gmail.com</t>
  </si>
  <si>
    <t>0392302100</t>
  </si>
  <si>
    <t>Trịnh Thị Thùy Dương - 20226034 - duongtrinhthithuy204@gmail.com
Nguyễn Phương Anh -  20226011 - phuonganh08032004@gmail.com
Nguyễn Thị Thu Huyền - 20220073 - nguyenthithuhuyen613@gmail.com
Đoàn Thị Thu Quyên -  20226063 -  doanthuq@gmail.com
Dương Phương Thảo - 20226001 - duongphuongthao08102004@gmail.com</t>
  </si>
  <si>
    <t>https://drive.google.com/open?id=18Fp2TUYo4xBDNIEXPOwhsUCbLQ-rJcht</t>
  </si>
  <si>
    <t>ai never dies</t>
  </si>
  <si>
    <t>ICT - K67</t>
  </si>
  <si>
    <t>`0948641304</t>
  </si>
  <si>
    <t>Tạ Tuấn Hải - 20225442 - hai.tt225442@sis.hust.edu.vn
Đào Vũ Tiến Đạt - 20225479 - Dat.DVT225479@sis.hust.edu.vn
Nguyễn Tiến Đạt - 20225481 - dat.nt225481@sis.hust.edu.vn
Nguyễn Hoàng Quân - 20225519 - quan.nh225519@sis.hust.edu.vn
Nguyễn Hải Đăng - 20225478 - Dang.NH225478@sis.hust.edu.vn
Nguyễn Mậu Trung - 20225534 - Trung.NM225534@sis.hust.edu.vn
Nguyễn Võ Ngọc Khuê - 20225504 - khue.nvn225504@sis.hust.edu.vn
Âu Trung Phong - 20225455 - phong.at225455@sis.hust.edu.vn
Trần Sỹ Minh Quân - 20225521 - quan.tsm225521@sis.hust.edu.vn
Vũ Đức Minh - 20225514 - minh.vd225514@sis.hust.edu.vn</t>
  </si>
  <si>
    <t>https://drive.google.com/open?id=10tCqxwlPtPz4EY6PDBm5Co2zV0GQ_VPf</t>
  </si>
  <si>
    <t>tuanhai1304@gmail.com</t>
  </si>
  <si>
    <t>Không có</t>
  </si>
  <si>
    <t>congminhnguyen0308@gmail.com</t>
  </si>
  <si>
    <t>0352703804</t>
  </si>
  <si>
    <t>Nguyễn Công Minh - 20226056 - congminhnguyen0308@gmail.com
Bùi Nguyễn Minh - 20226055 - buiminh270604@gmail.com
Nguyễn Trung Kiên - 20226052 - trungkien11042004@gmail.com
Phùng Đức Đạt - 20226025 - phungducdat18102004@gmail.com</t>
  </si>
  <si>
    <t>https://drive.google.com/open?id=18aVMOHnggXR6_3g9EPYXbO_KY644EEGK</t>
  </si>
  <si>
    <t>Dung.nv225964@sis.hust.edu.vn</t>
  </si>
  <si>
    <t>0916750974</t>
  </si>
  <si>
    <t>Nguyễn Vũ Dũng - 20225964 - Dung.nv225964@sis.hust.edu.vn
Trần Đức Lê Huy - 20225978 - Huy.tdl225978@sis.hust.edu.vn
Phan Đào Minh Quân - 20225993 - Quan.pdm225993@sis.hust.edu.vn</t>
  </si>
  <si>
    <t>https://drive.google.com/open?id=1He2W1i6fQh1sFrc9etVMg2a7SVoneeAD</t>
  </si>
  <si>
    <t>vudunghs@gmail.com</t>
  </si>
  <si>
    <t>https://drive.google.com/open?id=1Qv8ACv0fh8h_W8qyCJNEZlyw9g0Q-8T0</t>
  </si>
  <si>
    <t>Beamer 2022</t>
  </si>
  <si>
    <t>hoangtungfoxy@gmail.com</t>
  </si>
  <si>
    <t>0845898838</t>
  </si>
  <si>
    <t>Lê Nhật Sơn - 20225918 -nhatsonle2309@gmail.com
Lê Hồ Quang Huy - 20225636 - huyle1122004@gmail.com
Nguyễn Sơn Tùng - 20225112 - sontung291004@gmail.com
Bùi Việt Hưng -20225723 - buiviethung261104@gmail.com
Nguyễn Xuân Khuê - 20225643 - khue09022004@gmail.com
Nguyễn Hoàng Tùng - 20225948 - hoangtungfoxy@gmail.com</t>
  </si>
  <si>
    <t>https://drive.google.com/open?id=1nWeE5Ln47w2nXSfTMkp4dKjClo6gOuZP</t>
  </si>
  <si>
    <t>dkimngan1411@gmail.com</t>
  </si>
  <si>
    <t>0342233956</t>
  </si>
  <si>
    <t>Đặng Kim Ngân - 20225751 - dkimngan1411@gmail.com
Nguyễn Thị Nhung - 20225754 - nguyenthinhung29022004@gmail.com
Trần Thị Vân Anh - 20225786 - khuctieuho@gmail.com</t>
  </si>
  <si>
    <t>https://drive.google.com/open?id=1yliqzEXf6B-aool2s1TnQct3CEGrWRlC</t>
  </si>
  <si>
    <t>https://drive.google.com/open?id=1NbPVv78LX3jk-bqATGkmUFK5DCpitzjZ, https://drive.google.com/open?id=1t2qYM0mbTxC74XKCwIYbIkPEh34kmKZ-, https://drive.google.com/open?id=1lmLYtj7_0NiLLcT1v4WRW5MuJqczYA9Q</t>
  </si>
  <si>
    <t>ngongochai0804@gmail.com</t>
  </si>
  <si>
    <t>0988418683</t>
  </si>
  <si>
    <t>Ngô Ngọc Hải - 20225308-ngongochai0804@gmail.com, 
Phạm Duy Thanh - 20225400-phamduythanh2004tb@gmail.com, 
Phan Nhật Trường - 20225419-truong02052004@gmail.com, 
Nguyễn Xuân Trưởng - 20225420-truong.nx225420@sis.hust.edu.vn</t>
  </si>
  <si>
    <t>https://drive.google.com/open?id=1JVgultzofwjQ54sos-Gsc2ABEDoCh8kT</t>
  </si>
  <si>
    <t>Kỹ thuật máy tính - K67</t>
  </si>
  <si>
    <t>0379544677</t>
  </si>
  <si>
    <t xml:space="preserve">Bùi Đức Hùng - 20225193 - duchung04st@gmail.com
Hoàng Công Vinh-20225238-vinh.hc225238@sis.hust.edu.vn
Nguyễn Tú Anh - 20225119 - anh.nt225119@sis.hust.edu.vn
Bùi Ngọc Thanh - 20225399 - thanh.bn225399@sis.hust.edu.vn
Nguyễn Lê Hà Sơn - 20225157 - son.nlh225157@sis.hust.edu.vn
Đinh Tạ Hoàng Dũng - 20225290 - dung.dth225290@sis.hust.edu.vn
Đặng Tuấn Anh - 20225247 - anh.dt225247@sis.hust.edu.vn
Phan Trí Dũng - 20225295 - dung.pt225295@sis.hust.edu.vn
Đinh Quốc Đạt-20225275- Dat.dq225275@sis.hust.edu.vn
Nguyễn Xuân Thành - 20225404 - thanh.nx225404@sis.hust.edu.vn
Hồ Xuân Thái - 20225393 - thai.hx225393@sis.hust.edu.vn
Bùi Anh Đức - 20225285 - duc.ba225285@sis.hust.edu.vn
Bùi Văn Nam -20225211- nam.bv225211@sis.hust.edu.vn
Nguyễn Phúc An Khang - 20225137 - Khang.npa225137@sis.hust.edu.vn
</t>
  </si>
  <si>
    <t>https://drive.google.com/open?id=123EyldZflGXH_VE6K9OhwrJKalbO1ahH</t>
  </si>
  <si>
    <t>duchung04st@gmail.com</t>
  </si>
  <si>
    <t>https://drive.google.com/open?id=1JofSI7XWuqcdRFQxp1K4syhdM8MONkUT, https://drive.google.com/open?id=1rPrdscZYGu12MHvD-LQG9PO0IqgFi_Rh, https://drive.google.com/open?id=16Bf4mqHEi0rGJyBPdlMQO3uYglIiM4qC, https://drive.google.com/open?id=1g3VwJZEN7eLe0WRkQ2mkDU15oXLNTtPz, https://drive.google.com/open?id=1s0l4kSTXO8P_DBTCVq0r6VNLRtm3V9d1</t>
  </si>
  <si>
    <t xml:space="preserve">Bùi Đức Hùng - Nó chạy trên máy em mà
Hà Sơn - Yeu tat ca cac em
Hồ Xuân Thái - KISS
Bùi Văn Nam - Xin chào và Hẹn học lại!
Nguyễn Phúc An Khang - Bình tĩnh, bản lĩnh, thống lĩnh Bách Khoa
</t>
  </si>
  <si>
    <t>Khoa học máy tính - K67</t>
  </si>
  <si>
    <t>Duyệt 2/5</t>
  </si>
  <si>
    <t>Kien.NT226110@sis.hust.edu.vn</t>
  </si>
  <si>
    <t>0835176988</t>
  </si>
  <si>
    <t>Nguyễn Trung Kiên - 20226110 - Kien.NT226110@sis.hust.edu.vn
Đỗ Gia Huy - 20226085 - huy.dg226085@sis.hust.edu.vn
Nguyễn Lương Hoàng Tùng - 20226129 - tung.nlh226129@sis.hust.edu.vn
Nguyễn Khoa Ninh - 20226117 - ninh.nk226117@sis.hust.edu.vn
Nông Quốc Khánh - 20226088 - Khanh.NQ226088@sis.hust.edu.vn
Ngô Mạnh Hùng - 20226083 - hung.nm226083@sis.hust.edu.vn
Ôn Quang Tùng - 20226096 - tung.oq226096@sis.hust.edu.vn
Trịnh Quang Minh - 20226092 - Minh.TQ226092@sis.hust.edu.vn
Trần Quang Huy - 20226109 - Huy.TQ226109@sis.hust.edu.vn
Nguyễn Hoàng Việt - 20226098 - viet.nh226098@sis.hust.edu.vn
Nguyễn Trung Sơn - 20226124 - Son.nt226124@sis.hust.edu.vn
Trần Đại Hiệp - 20226081 - hiep.td226081@sis.hust.edu.vn
Nguyễn Minh Quang - 20226123 - quang.nm226123@sis.hust.edu.vn
Dương Thái Anh - 20226099 - anh.dt226099@sis.hust.edu.vn
Nguyễn Trung Hiếu - 20226082 - hieu.nt226082@sis.hust.edu.vn</t>
  </si>
  <si>
    <t>https://drive.google.com/open?id=12655AZHxLBz7EizyqgpyLKyDP2NwMZxP</t>
  </si>
  <si>
    <t>kiennguyen.kris@gmail.com</t>
  </si>
  <si>
    <t>CNTT Việt Pháp - K67</t>
  </si>
  <si>
    <t>buiquanghung26082004@gmail.com</t>
  </si>
  <si>
    <t>0976121084</t>
  </si>
  <si>
    <t>Bùi Quang Hưng - 20225849 - Hung.BQ225849@sis.hust.edu.vn
Nguyễn Mạnh Tùng - 20225682 - Tung.NM225682@sis.hust.edu.vn
Tạ Hồng Phúc - 20225906 - Phuc.TH225906@sis.hust.edu.vn
Nguyễn Đức Quang - 20225913 - Quang.ND225913@sis.hust.edu.vn
Bùi Xuân Nhất - 20225897 - Nhat.BX225897@sis.hust.edu.vn
Vũ Quốc Bảo - 20225694 - Bao.VQ225694@sis.hust.edu.vn
Vương Quốc Huy - 20225637 - Huy.VQ225637@sis.hust.edu.vn
Nguyễn Vũ Linh Phong - 20225902 - Phong.NVL225902@sis.hust.edu.vn</t>
  </si>
  <si>
    <t>https://drive.google.com/open?id=15t2o3QaKiQGfDbKZqTbUyKcHeNj1ZtC-</t>
  </si>
  <si>
    <t>Thêm Đinh Đức Anh</t>
  </si>
  <si>
    <t>huyendnk1808@gmail.com</t>
  </si>
  <si>
    <t>0376718804</t>
  </si>
  <si>
    <t>Đinh Ngọc Khánh Huyền - 20225726 - Huyen.DNK225726@sis.hust.edu.vn
Bùi Thị Xuân - 20225957 - Xuan.BT225957@sis.hust.edu.vn
Trần Khánh Quỳnh - 20225762 - Quynh.TK225762@sis.hust.edu.vn
Nhóm mình có 3 người và rất mong được ghép bàn với các bạn khác ngành để mở rộng mối quan hệ và giao lưu cho vui ạ. (đẹp trai càng tốt ạ) :)))</t>
  </si>
  <si>
    <t>https://drive.google.com/open?id=1bGxm6cOi80QJBA1yRPUX9_HSaaz0QbQT</t>
  </si>
  <si>
    <t>hungngtran04@gmail.com</t>
  </si>
  <si>
    <t>0704184398</t>
  </si>
  <si>
    <t>Trần Ngọc Hưng - 20225635 - hungngtran04@gmail.com
Ngô Hoàng Phúc - 20225903 - Phuc.NH225903@gmail.com
Nguyễn Hồng Phúc - 20225659 - percyfuk12@gmail.com
Nguyễn Minh Hoàng - 20225846 - minhhoangdayyyy07@gmail.com
Nguyễn Việt Thành - 20225931 - nvt220104@gmail.com</t>
  </si>
  <si>
    <t>https://drive.google.com/open?id=13fnkqc8SYrPHQ0DPFZu--yksVWm-rrVO</t>
  </si>
  <si>
    <t>tnhworkmail@gmail.com</t>
  </si>
  <si>
    <t>0896691405</t>
  </si>
  <si>
    <t>Phạm Trần Nguyên Phú - 20226120
Lê Văn Pháp - 20226118
Lại Thị Thùy - 20226126
Phạm Nguyễn Hùng Nguyên - 20226115
Phạm Thái Sơn - 20226125
Đỗ Gia Huy - 20215060</t>
  </si>
  <si>
    <t>https://drive.google.com/open?id=1yR07hclq0Q314hD-Tuhj9DQwXwci67iQ</t>
  </si>
  <si>
    <t>phamnguyenphu14@gmail.com</t>
  </si>
  <si>
    <t>Anh.pv225599@sis.hust.edu.vn</t>
  </si>
  <si>
    <t>0828658596</t>
  </si>
  <si>
    <t>Phạm Việt Anh-20225599-anh.pv225599@sis.hust.edu.vn
Nguyễn Trí Dũng-20225613-Dung.NT225613@sis.hust.edu.vn
Vũ Minh Quân-20225910-quan.vm225910@sis.hust.edu.vn
Trương Phạm Ngọc Khánh -20225641- khanh.tpn225641@sis.hust.edu.vn
Mạch Ngọc Đức Anh -20225595- anh.mnd225595@sis.hust.edu.vn
Đỗ Hoàng Đông-20225807-dong.dh225807@sis.hust.edu.vn
Bùi Quốc Bảo-20225601-bao.bq225601@sis.hust.edu.vn
Trịnh Quốc Hoàng -20225629-hoang.tq225629@sis.hust.edu.vn</t>
  </si>
  <si>
    <t>https://drive.google.com/open?id=13AFElip4hSR79AoUFKsUEi8A8YP3-rRP</t>
  </si>
  <si>
    <t>chuyendeanh12@gmail.com</t>
  </si>
  <si>
    <t>0832810055</t>
  </si>
  <si>
    <t>Lê Nhật Sơn - 20225918 - nhatsonle2309@gmail.com
Lê Hồ Quang Huy - 20225636 - huyle1122004@gmail.com
Nguyễn Sơn Tùng - 20225112 - sontung291004@gmail.com
Bùi Việt Hưng - 20225723 - buiviethung261104@gmail.com
Nguyễn Xuân Khuê - 20225643 - khue09022004@gmail.com
Nguyễn Hoàng Tùng - 20225948 - hoangtungfoxy@gmail.com</t>
  </si>
  <si>
    <t>https://drive.google.com/open?id=1uFbNc0Tl0Jol1YA0g20eOZCPayCwoFia</t>
  </si>
  <si>
    <t>sontung291004@gmail.com</t>
  </si>
  <si>
    <t>TRÙNG ĐĂNG KÝ</t>
  </si>
  <si>
    <t>Anh.vd225257@sis.hust.edu.vn</t>
  </si>
  <si>
    <t>0914936249</t>
  </si>
  <si>
    <t>Vũ Đức Anh - 20225257 - Anh.vd225257@sis.hust.edu.vn
Nguyễn Quốc Anh - 20224919 - Anh.nq224919@sis.hust.edu.vn</t>
  </si>
  <si>
    <t>https://drive.google.com/open?id=1O0RunUi_0gtlKQ_BWj32KV1sZ3mEJkdz</t>
  </si>
  <si>
    <t>bangbang229922@gmail.com</t>
  </si>
  <si>
    <t>https://drive.google.com/open?id=1RAAKZBxkGMC9Xaf-IalYH4MsbhE0cUcv</t>
  </si>
  <si>
    <t>Nguyễn Quốc Anh - Suốt 4 năm đại học, tôi là chiếc lốp xịn nhất của cô ấy</t>
  </si>
  <si>
    <t>2901nguyendinhduong@gmail.com</t>
  </si>
  <si>
    <t>0336626401</t>
  </si>
  <si>
    <t>1        Nguyễn Đình Dương        20225966        duong.nd225966@sis.hust.edu.vn
2        Nguyễn Lan Nhi        20225991        nhi.nl225991@sis.hust.edu.vn
3        Nguyễn Trọng Minh Phương        20225992        phuong.ntm225992@sis.hust.edu.vn
4        Bùi Hà My        20225987        my.bh225987@sis.hust.edu.vn
5        Nguyễn Mỹ Duyên        20225967        duyen.nm225967@sis.hust.edu.vn
6        Hồ Bảo Thư        20226003        thu.hb226003@sis.hust.edu.vn
7        Hà Việt Khánh        20225979        khanh.hv225979@sis.hust.edu.vn
8        Đặng Văn Nhân        20225990        nhan.dv225990@sis.hust.edu.vn</t>
  </si>
  <si>
    <t>https://drive.google.com/open?id=1ljVzMo4rbAr3moBPIKUol6Mxx43s6zRQ</t>
  </si>
  <si>
    <t>Nguyễn Thị Thuý Hiền</t>
  </si>
  <si>
    <t>hienntt0401@gmail.com</t>
  </si>
  <si>
    <t>0385026215</t>
  </si>
  <si>
    <t>1. Nguyễn Thị Thuý Hiền 20224844 - hienntt0401@gmail.com
2. Cao Thị Ngọc Huyền 20225015 caothingochuyen2609@gmail.com</t>
  </si>
  <si>
    <t>https://drive.google.com/open?id=1webpt8WSdjEU2oUblKJlKB9sqGaxh-XA</t>
  </si>
  <si>
    <t>nguyenthithuyhiencht@gmail.com</t>
  </si>
  <si>
    <t>https://drive.google.com/open?id=1wXqR518roYpYxxcXOGYeavp4Gu33-Ad5, https://drive.google.com/open?id=1t6yTD4KIsUMRMpcavX7Md0scjunkpvA_</t>
  </si>
  <si>
    <t>Lam.PDP225546@sis.hust.edu.vn</t>
  </si>
  <si>
    <t>0898041116</t>
  </si>
  <si>
    <t>Phạm Tuấn Anh        20225542        Anh.PT225542@sis.hust.edu.vn
Phan Việt Anh        20225566        Anh.PV225566@sis.hust.edu.vn
Hạ Nhật Duy        20225544        Duy.HN225544@sis.hust.edu.vn
Lê Tiến Đạt        20225543        Dat.LT225543@sis.hust.edu.vn
Nguyễn Minh Đức        20225567        Duc.NM225567@sis.hust.edu.vn
Trần Đăng Huy        20225575        Huy.TD225575@sis.hust.edu.vn
Nguyễn Quang Hưng        20225545        Hung.NQ225545@sis.hust.edu.vn
Phạm Đoàn Phúc Lâm        20225546        Lam.PDP225546@sis.hust.edu.vn
Lê Hải Nhật        20225583        Nhat.LH225583@sis.hust.edu.vn
Kim Duy Minh        20225578        Minh.KD225578@sis.hust.edu.vn
Nguyễn Tuấn Minh        20225579        Minh.NT225579@sis.hust.edu.vn
Trương Thảo Nguyên        20220067        Nguyen.TT220067@sis.hust.edu.vn
Phan Thu Hà        20225571        Ha.PT225571@sis.hust.edu.vn
Nguyễn Phương Linh        20225547        Linh.NP225547@sis.hust.edu.vn
Phạm Nguyễn Hải Nhi        20225549        Nhi.PNH225549@sis.hust.edu.vn
Ngô Anh Quân        20225584        Quan.NA225584@sis.hust.edu.vn
Bùi Xuân Sơn        20225586        Son.BX225586@sis.hust.edu.vn
Lê Anh Tuấn        20225559        Tuan.LA225559@sis.hust.edu.vn
Trần Công Thành        20225554        Thanh.TC225554@sis.hust.edu.vn
Trần Quốc Trí Trung        20225558        Trung.TQT225558@sis.hust.edu.vn
Trần Thị Tường Vân        20225590        Van.TTT225590@sis.hust.edu.vn
Nguyễn Quang Trung        20225557        Trung.NQ225557@sis.hust.edu.vn
Lê Trần Long        20225577        Long.LT225577@sis.hust.edu.vn
Dương Mạnh Kiên        20225576        Kien.DM225576@sis.hust.edu.vn</t>
  </si>
  <si>
    <t>https://drive.google.com/open?id=1fybx7yJp4hxlpiX_fiZVBz5Mk9fZYXbJ</t>
  </si>
  <si>
    <t>lampham.soict.hust@gmail.com</t>
  </si>
  <si>
    <t>CTTT An toàn không gian số - K67</t>
  </si>
  <si>
    <t>maithanhhuong2207@gmail.com</t>
  </si>
  <si>
    <t>0387738318</t>
  </si>
  <si>
    <t>Mai Thanh Hương- 20225852 -maithanhhuong2207@gmail.com
Trịnh Hữu An - 20225593 - trinhhuuan372@gmail.com
Trương Ngọc Mai - 20225879 - truongngocmai3@gmail.com
Bùi Ý Nhi - 20225657 - nhiybui070204@gmail.com</t>
  </si>
  <si>
    <t>https://drive.google.com/open?id=1dqMB3F0Ma-e9ofE2uNx8hRx54HCHIguA</t>
  </si>
  <si>
    <t>https://drive.google.com/open?id=1Rc64IoS2o1tmkb0KXXu2Wa7LZJWyFeJS</t>
  </si>
  <si>
    <t>Trương Ngọc Mai: Cảm ơn bản thân vì đã nỗ lực hết mình, cảm ơn mọi người vì đã trở thành một phần không thể thiếu trong hành trình đầy tự hào này. Chapter closed. Next chapter: Loading...</t>
  </si>
  <si>
    <t>Duc.TA225814@sis.hust.edu.vn</t>
  </si>
  <si>
    <t>0912506410</t>
  </si>
  <si>
    <t>Trương Anh Đức - 20225814 - Duc.TA225814@sis.hust.edu.vn
Phạm Văn Đồng - 20225702 - Dong.PV225702@sis.hust.edu.vn
Lê bá Ngọc Hiểu - 20225627 - Hieu.LBN225627@sis.hust.edu.vn
Phan Đức Duy - 20225831 - Duy.PD225831@sis.hust.edu.vn
Lê Quang Khải - 20225638 - Khai.LQ225638@sis.hust.edu.vn
Phạm Quốc Minh - 20225743 - Minh.PQ225743@sis.hust.edu.vn
Đặng Quang Huy - 20225853 - Huy.DQ225853@sis.hust.edu.vn
Phạm Đức Long - 20225737 - Long.PD225737@sis.hust.edu.vn
Phạm Tùng Dương - 20225825 - Duong.PT225825@sis.hust.edu.vn
Nguyễn Bá Hoàng - 20225844 - Hoang.NB225844@sis.hust.edu.vn</t>
  </si>
  <si>
    <t>https://drive.google.com/open?id=1xXJjTbVSRnwfoMdxzGkfCIy6U3dgIcnp</t>
  </si>
  <si>
    <t>ductruong7d@gmail.com</t>
  </si>
  <si>
    <t>nhungocminh2004@gmail.com</t>
  </si>
  <si>
    <t>0862613118</t>
  </si>
  <si>
    <t xml:space="preserve">Nhữ Ngọc Minh – 20225046 - nhungocminh2004@gmail.com ; Nguyễn Công Phương - 20225069 - congphuongmd2004@gmail.com; Nguyễn Thế Anh-20224920-anhnguyenthe2911@gmail.com; Nguyễn Thế Anh-20224921-anhnta2004@gmail.com;
Phạm Văn Thanh - 20220042 - phamvanthanh.csp@gmail.com; Mai Đức Thịnh - 20220043 - maithinh.lhpnd@gmail.com; Lê Bá Minh Phúc - 20225065 - phucle435@gmail.com; Nguyễn Xuân Bình- 20224930- xuanbinhhd280204@gmail.com; Nguyễn Nam – 20220037 - nam7a3004@gmail.com; Trần Lê Dũng – 20224964 - tranledung2907@gmail.com
</t>
  </si>
  <si>
    <t>https://drive.google.com/open?id=141WsuMZ-6-FGzIzLygvr8l1u5OeqIJaz</t>
  </si>
  <si>
    <t>nnphuchust@gmail.com</t>
  </si>
  <si>
    <t>0978778164</t>
  </si>
  <si>
    <t>Nguyễn Ngọc Phúc - 20220041 - nnphuchust@gmail.com
Lưu Đức Tài - 20225081 -tailuuduc2004@gmail.com</t>
  </si>
  <si>
    <t>https://drive.google.com/open?id=1fIeEeRUBvsRCyAYYBULTTdTHSKjaw3G-</t>
  </si>
  <si>
    <t>Hung.LT225131@sis.hust.edu.vn</t>
  </si>
  <si>
    <t>0383216014</t>
  </si>
  <si>
    <t>Lưu Tuấn Hùng - 20225131 - hung.lt225131@sis.hust.edu.vn
Nguyễn Thành Lâm - 20225139 - lam.nt225139@sis.hust.edu.vn
Vũ Tiến Nam - 20225055 - nam.vt225055@sis.hust.edu.vn
Trần Quang Huy - 20225201 - huy.tq225201@sis.hust.edu.vn</t>
  </si>
  <si>
    <t>https://drive.google.com/open?id=18QJZjrE1G3xdK-oJpZPjDfqtD1Fk8S4T</t>
  </si>
  <si>
    <t>huhjhl.2004@gmail.com</t>
  </si>
  <si>
    <t>ledailam19112004@gmail.com</t>
  </si>
  <si>
    <t>0963718129</t>
  </si>
  <si>
    <t>Lê Đại Lâm        20225982        ledailam19112004@gmail.com
Hoàng Khải Mạnh        20225984        hoanmanh04@gmail.com
Nguyễn Minh Khôi        20226050        nmkhoi20112004@gmail.com
Vũ Hải Đăng        20225962        dangvu.cspk53@gmail.com
Đinh Nguyễn Sơn        20225997        sondinh250104@gmail.com
Vũ Đức Mạnh        20226054        vuducmanhhome@gmail.com
Luân Quang Minh        20225985        luanminhtoan@gmail.com</t>
  </si>
  <si>
    <t>https://drive.google.com/open?id=1fWqxWQUuUiqhHxz__MKd9Hj4IgMjIemP</t>
  </si>
  <si>
    <t>vietpn04@gmail.com</t>
  </si>
  <si>
    <t>0903391107</t>
  </si>
  <si>
    <t>Phạm Nguyên Việt -20225776- Viet.PN225776@sis.hust.edu.vn
Lục Minh Đức - 20225810 - Duc.LM225810@sis.hust.edu.vn
Đỗ Quang Huy -20225854 - Huy.DQ5854@sis.hust.edu.vn
Phan Hoàng Long - 20225738 - Long.ph225738@sis.hust.edu.vn
Trương Công Thái Đức -20225815-Duc.TCT225815@sis.edu.vn</t>
  </si>
  <si>
    <t>https://drive.google.com/open?id=1owKszlvQbpiwLrub51d6-18P424Yq0oL</t>
  </si>
  <si>
    <t>longhienly112@gmail.com</t>
  </si>
  <si>
    <t>0787242222</t>
  </si>
  <si>
    <t>Lý Hiển Long - 20225035 - longhienly112@gmail.com
Nguyễn Đại Dương - 20224966 - Duong.ND224966@sis.hust.edu.vn</t>
  </si>
  <si>
    <t>https://drive.google.com/open?id=1Brqb4le7z63krn-u3zC9SkFY53qyclCB</t>
  </si>
  <si>
    <t>Phạm Gia Khiên</t>
  </si>
  <si>
    <t>0971299721</t>
  </si>
  <si>
    <t>Phạm Gia Khiêm - 20225868 - khiem.pg225868@sis.hust.edu.vn
Nguyễn Đức Tấn Sang - 20225664 - sang.ndt225664@sis.hust.edu.vn
Nguyễn Đình Thành - 20225670 - thanh.nd225670@sis.hust.edu.vn
Vũ Quang Dũng -20225818 - dung.vq225818@sis.hust.edu.vn
Nguyễn Đăng Bảo Lâm - 20225873 - lam.ndb225873@sis.hust.edu.vn
Nguyễn khắc quang - 20225760-quang.nk225760@sis.hust.edu.vn
Bùi Ngọc Hợp- 20225721 -hop.bn225721@sis.hust.edu.vn
Dương Tuấn Nghĩa-20225753-nghiadt225753@sis.hust.edu.vn
Nguyễn Đức Nghĩa -20225895 - nghia.nd225895@sis.hust.edu.vn
Bùi quang tùng - 20225945 - tung.bq225945@sis.hust.edu.vn</t>
  </si>
  <si>
    <t>https://drive.google.com/open?id=1pdiumC-z7OlhmgJMDfummCli15hZGWzZ</t>
  </si>
  <si>
    <t>khiem.pg2004@gmail.com</t>
  </si>
  <si>
    <t>Toan.NK225936@sis.hust.edu.vn</t>
  </si>
  <si>
    <t>0941986938</t>
  </si>
  <si>
    <t>Nguyễn Khánh Toàn - 20225936 - Toan.NK225936@sis.hust.edu.vn
Nguyễn Bùi Tuấn Linh - 20225732 - Linh.NBT225732@sis.hust.edu.vn
Phạm Quốc Cường - 20225604 - Cuong.PQ225604@sis.hust.edu.vn
Hồ Tuấn Huy - 20225856 - Huy.HT225856@sis.hust.edu.vn
Hà Trung Chiến - 20225794 - Chien.HT225794@sis.hust.edu.vn</t>
  </si>
  <si>
    <t>https://drive.google.com/open?id=1ST4Knl6OcTMKGb0XpXUjICFIHvMge1ZK</t>
  </si>
  <si>
    <t>sle43868@gmail.com</t>
  </si>
  <si>
    <t>phucanh05022004@gmail.com</t>
  </si>
  <si>
    <t>0355569857</t>
  </si>
  <si>
    <t>Nguyễn Phúc Anh - 20225784 - anh.np225784@sis.hust.edu.vn
Nguyễn Bình An  - 20225591 - an.nb225591@sis.hust.edu.vn
Đỗ Mạnh Phương - 20225660 - phuong.dm225660@sis.hust.edu.vn
Lê Đồng Cảnh Phú - 20225755 - phu.ldc225755@sis.hust.edu.vn
Đàm Thanh Bách - 20225600 - bach.dt225600@sis.hust.edu.vn
Tô Minh Ánh - 20225787 - minhanhs.2205@gmail.com
Nguyễn Kim Ngọc - 20225655 - nguyenkimngochtm@gmail.com
Lê Thị Ngọc Thảo - 20225673 - thao.ltn225673@sis.hust.edu.vn</t>
  </si>
  <si>
    <t>https://drive.google.com/open?id=1wzI_G7UBrfzjyrhzyeDDCcvQAEl978Y9</t>
  </si>
  <si>
    <t>https://drive.google.com/open?id=1l2_bpPPdiOIDpo7RrcS4tA-_Tt4eBfeK, https://drive.google.com/open?id=1N2i31PsfUMS0sAoacjIUAUxACjRjjrro, https://drive.google.com/open?id=13kj8_HoaZK5CVO_ySTBE2W8fwCVUUr-L, https://drive.google.com/open?id=1LfgYnInFlgKruCNQi-h0K6eBmUJqCqk-</t>
  </si>
  <si>
    <t>Nguyễn : Mừng vì vẫn còn sống và kiên trì
Lê Đồng Cảnh Phú: Cảm ơn IT-E6 đã dịu dàng với tôi
Tô Minh Ánh: Đừng tiếc 200 triệu cho 4 năm học tại IT-E6 vì biết đâu 250 triệu đó sẽ là 300 triệu xứng đáng nhất. #Toi_da_san_sang_tot_nghiep
Lê Thị Ngọc Thảo: Dành cả thanh xuân để đi kiểm chứng xem 1 tháng lương có bằng 1 kỳ học tại IT-E6 hay không</t>
  </si>
  <si>
    <t>Nguyễn Kim Ngọc - Thổi sáo</t>
  </si>
  <si>
    <t>Tiết mục Thổi sáo "Trên đường chiến thắng"</t>
  </si>
  <si>
    <t>nhatanhvh11@gmail.com</t>
  </si>
  <si>
    <t>0916432980</t>
  </si>
  <si>
    <t>Vũ Hoàng Nhật Anh - 20225471 - nhatanhvh11@gmail.com
Trịnh Hoàng Anh - 20225470 - anh.th225470@sis.hust.edu.vn
Bùi Khắc Chiến - 20220059 - chien.bk220059@sis.hust.edu.vn
Trần Quang Minh - 20225512 - minh.tq225512@sis.hust.edu.vn</t>
  </si>
  <si>
    <t>https://drive.google.com/open?id=1Tc9bDcAAW7JoOTn-EBDRuM3WQh8Isbo2</t>
  </si>
  <si>
    <t>kimcuong09102004@gmail.com</t>
  </si>
  <si>
    <t>0962483691</t>
  </si>
  <si>
    <t>Nguyễn Kim Cường - 20224939 - kimcuong09102004@gmail.com
Đỗ Huy Đạt - 20220024 - dohuydat79@gmail.com
Lê Hoàng Anh - 20224918 - lehoanganh12012004@gmail.com
Nguyễn Chí Cường - 20224938 - cuong1532004@gmail.com
Ngô Trí Cảnh - 20220015 - canhngotri1510@gmail.com
Bùi Xuân Tùng - 20224905 - buitung1309@gmail.com
Lại Hoàng Sơn - 20224895 - laihoangson42@gmail.com
Đinh Công Thái - 20224898 - bong1552004@gmail.com
Nguyễn Trung Long - 20224874 - long.nt270504@gmail.com
Nguyễn Duy Khánh - 20225019 - khanh8a04@gmail.com</t>
  </si>
  <si>
    <t>https://drive.google.com/open?id=1Ht_wMyWTza42_lCq5npN_4yKIXeV3WuC</t>
  </si>
  <si>
    <t>https://drive.google.com/open?id=1Eqyr6z950xd1p3Vv4vZRtbiT167zCIY5, https://drive.google.com/open?id=1eEz1VD3iQn3NzSV3m76fOAUxBqPgt0Cn</t>
  </si>
  <si>
    <t>Đinh Công Thái - 古人说不争一世争百世我的志气比古人更大我争的是万世之名
Nguyễn Trung Long - To define is to limit</t>
  </si>
  <si>
    <t>Sáo trúc
Song tấu sáo trúc</t>
  </si>
  <si>
    <t>1. Yêu giang sơn càng yêu mĩ nhân - đơn tấu - Nguyễn Kim Cường
2. Xin hỏi đường ở nơi đâu - song tấu - Đinh Công Thái, Nguyễn Kim Cường
3. RỪNG XANH VANG TIẾNG TALƯ - đơn tấu - Đinh Công Thái</t>
  </si>
  <si>
    <r>
      <rPr/>
      <t xml:space="preserve">beat đơn tấu 1: https://www.youtube.com/watch?v=Zf3KGrJjiis&amp;list=RDZf3KGrJjiis
beat song tấu 2: https://www.youtube.com/watch?v=N1XvCg47kgo&amp;list=RDN1XvCg47kgo
beat đơn tấu 3: </t>
    </r>
    <r>
      <rPr>
        <color rgb="FF1155CC"/>
        <u/>
      </rPr>
      <t>https://www.youtube.com/watch?v=GDpLyFdt7dI</t>
    </r>
  </si>
  <si>
    <t>huyson22092004@gmail.com</t>
  </si>
  <si>
    <t>0332583676</t>
  </si>
  <si>
    <t>Phạm Huy Sơn - 20225080 - huyson22092004@gmail.com
Lê Nhật Hoàng - 20224989 - lenhathoang2004@gmail.com
Trần Tuấn Hùng - 20225000 - tranhungtb14@gmail.com
Vương Văn Thành - 20225094 - vuongthanhsaovang@gmail.com
Đậu Quốc Duy - 20224971 - duy24.it.hust@gmail.com
Vũ Anh Huy - 20220029 -
huy.va220029@sis.hust.edu.vn</t>
  </si>
  <si>
    <t>https://drive.google.com/open?id=1Ma9BDtkF4_xYRQberB6AzSatN3ZYsv4H</t>
  </si>
  <si>
    <t>https://drive.google.com/open?id=1IdulUmOKnTaknRu-LTOZ18GVWEkH0eLz</t>
  </si>
  <si>
    <t>Vương Văn Thành - 4 năm thanh xuân, gửi Bách khoa. Hạnh phúc, gian truân có đủ đầy. Nhưng mà yêu lắm, đoạn đường ấy. Đến giờ, tôi xin cất cánh bay.</t>
  </si>
  <si>
    <t>0343865069</t>
  </si>
  <si>
    <t>Triệu Kinh Quốc - 20225524 - quoc.tk225524@sis.hust.edu.vn
Vũ Quốc Dũng - 20225488 - Dung.VQ225488@sis.hust.edu.vn
Phạm Long Hải - 20225492 - Hai.PL225492@sis.hust.edu.vn
Lê Minh Hải - 20225491- Hai.LM225491@sis.hust.edu.vn
Lại Trí Dũng - 20225486 - Dung.LT225486@sis.hust.edu.vn
Nguyễn Phan Thắng - 20225529 - Thang.NP225529@sis.hust.edu.vn
Lưu Thiện Việt Cường - 20225477 - Cuong.LTV225477@sis.hust.edu.vn
Phùng Tiến Thành - 20225531 - Thanh.PT225531@sis.hust.edu.vn
Bùi Văn Huy - 20225497 - Huy.BV225497@sis.hust.edu.vn</t>
  </si>
  <si>
    <t>https://drive.google.com/open?id=1-O7fZ4aVeCrtdifNYm3SLoogY5Aioo4V</t>
  </si>
  <si>
    <t>quoctk04@gmail.com</t>
  </si>
  <si>
    <t>tungduong123q@gmail.com</t>
  </si>
  <si>
    <t>0986080041</t>
  </si>
  <si>
    <t>Trần Tùng Dương - 20226033 - tungduong123q@gmail.com
Hoàng Trung Hiếu - 20226039 - hieuhieuhieu12@gmail.com
Ngô Minh Đức - 20226028 - nmductzz@gmail.com
Nguyễn Huy Hoàng - 20226041 - nhhoang12122004@gmail.com
Nguyễn Hữu Nam Hòa - 20226040 - nguyenhuunamhoa2004@gmail.com
Nguyễn Việt Anh - 20226012 - anh.tv226012@sis.hust.edu.vn
Nguyễn Đình An - 20226007 - an.nd226007@sis.hust.edu.vn
Lê Hoàng Huy - 20225976 - 13charlottekatakuri@gmail.com</t>
  </si>
  <si>
    <t>https://drive.google.com/open?id=19G7b3DMRzoyeCigSLZyDU9FheoJWMS4s</t>
  </si>
  <si>
    <t>0357624005</t>
  </si>
  <si>
    <t>Dương Hải Anh - 20224915-iamdha0706@gmail.com
Đặng Đình Khải - 20224863-oingucoolname@gmail.com
Trần Khắc Hồng Đức - 20224835-ductrant1k29@gmail.com
Nguyễn Phi Cường Mạnh - 20224875-npcm752004t2k29@gmail.com</t>
  </si>
  <si>
    <t>https://drive.google.com/open?id=1Gv_aW4tGlCx07Y_LhDSGRyCvLQRwhX-J</t>
  </si>
  <si>
    <t>haianhduong0706@gmail.com</t>
  </si>
  <si>
    <t>An.NV220013@sis.hust.edu.vn</t>
  </si>
  <si>
    <t>0866135666</t>
  </si>
  <si>
    <t>Nguyễn Văn An -20220013- an.nv220013@sis.hust.edu.vn
Nguyễn Hồng Đăng - 20220025 - dang.nh220025@sis.hust.edu.vn
Văn Đức Cường - 20220021- cuong.vd220021@sis.hust.edu.vn
Nguyễn Thị Hà Chi-20220016- chi.nth220016@sis.hust.edu.vn
Hà Minh Hiếu - 20220026 - haminhhieu1005@gmail.com
Trương Xuân Thông -20220044- thong.tx220044@sis.hust.edu.vn
Đoàn Duy Tùng - 20224906- tung.dd224906@sis.hust.edu.vn
Trần Đức Chính - 20224935 - chinhtran2004@gmail.com</t>
  </si>
  <si>
    <t>https://drive.google.com/open?id=1nc4OZ2ORKDk7OoDPUIRki9zkttd3eHe4</t>
  </si>
  <si>
    <t>antpvinh666@gmail.com</t>
  </si>
  <si>
    <t>nkien6827@gmail.com</t>
  </si>
  <si>
    <t>0337459518</t>
  </si>
  <si>
    <t>Nguyễn Hữu Kiên - 20225024 - nkien6827@gmail.com
Kha Minh Bảo - 20210098 - Khaminhbao17082003@gmail.com</t>
  </si>
  <si>
    <t>https://drive.google.com/open?id=1jBN_fFg31LI2OcdT286kvVBGiuI-0m1i</t>
  </si>
  <si>
    <t>https://drive.google.com/open?id=1WB1q_oogz2--PXB3irtckpxBH3UsLrjM, https://drive.google.com/open?id=1yy4hkmH61l236xjNG7SkcGxkiajBHlaE</t>
  </si>
  <si>
    <t>Kha Minh Bảo: ONE SoICT!!!!!!
Nguyễn Hữu Kiên: Key to Development, Heart in HUST!!!</t>
  </si>
  <si>
    <t>0355920338</t>
  </si>
  <si>
    <t>1. Lê Thị Quỳnh - 20225917 - quynh.lt225917@sis.hust.edu.vn
2. Vũ Ngọc Đức - 20225816 - duc.vn225816@sis.hust.edu.vn
3. Phạm Duy Đông - 20225608 - dong.pd225608@sis.hust.edu.vn
4. Đoàn Nhật Quang - 20225911 - quang.dn225911@sis.hust.edu.vn
5. Đặng Hải Anh - 20225688 - anh.dh225688@sis.hust.edu.vn
6. Trần Xuân Tú - 20225677 - tu.tx225677@sis.hust.edu.vn</t>
  </si>
  <si>
    <t>https://drive.google.com/open?id=1lD-LtQWCIA8lRGe__EBDsvjzvlOwmdkx</t>
  </si>
  <si>
    <t>quynhle772k4@gmail.com</t>
  </si>
  <si>
    <r>
      <rPr>
        <color rgb="FF1155CC"/>
        <u/>
      </rPr>
      <t>https://drive.google.com/open?id=1ogbpWAU_yH93Kcz71BxZ6We3MQAJr-Ux</t>
    </r>
    <r>
      <rPr/>
      <t>, https://drive.google.com/open?id=1MWqbBUhnJOEOKqNAaGwWrqXbgVeNismF, https://drive.google.com/open?id=1Gz9PNVbDyUGSHEgIQPBKeBRWYxNZJdjC, https://drive.google.com/open?id=1HfCHsbPGQWkk6mYD6F-boNpK8m9q03JL, https://drive.google.com/open?id=162AYqcC_ktHX0CMj1nmAvTNH_y43F9yy, https://drive.google.com/open?id=1SxiGTlMiaVUQ8hDvVrm_5y7nsi7qyRra</t>
    </r>
  </si>
  <si>
    <t xml:space="preserve">Quỳnh Lê: Nếu đại học là một repository, thì mỗi người đều là một commit đáng nhớ. Cảm ơn thầy cô và các bạn đã cùng mình tạo nên phiên bản đẹp nhất của thanh xuân!
Vũ Ngọc Đức: Bốn năm compile tri thức, debug chính mình, để hôm nay sẵn sàng release phiên bản trưởng thành hơn.
Phạm Duy Đông: Hành trình vừa qua nhiều bug, nhưng tuyệt đối không có error.
Đoàn Nhật Quang: IT-E6 đã cho tôi biết thế nào là "All in one night": 1 đêm nhồi nhét giáo trình của 4 tháng mà vẫn qua môn "nhẹ nhàng".
Trần Xuân Tú: Qua 4 năm học, SOICT cho tôi rất nhiều cảm xúc : là niềm vui khi có thêm nhiều bạn bè, là sự tự hào khi được đồng hành cùng trường trong cuộc thi SVBK, là sự hạnh phúc hoặc nỗi buồn khi biết điểm mỗi kỳ học và hơn cả là sự sợ hãi và bất lực mỗi lần nhìn đề thi :)))
ありがとうございました !！
Đặng Hải Anh: Người ngoài ao ước người trong ước ao.
</t>
  </si>
  <si>
    <t>0966938727</t>
  </si>
  <si>
    <t>Phạm Quốc Khánh - 20225345- khanh.pq225345@sis.hust.edu.vn
Nguyễn Tuấn Đạt - 20225278-dat.nt225278@sis.hust.edu.vn
Ngô Hùng Phúc - 20225376- phuc.nh225376@sis.hust.edu.vn
Nguyễn Văn Việt - 20225237- viet.nv225237@sis.hust.edu.vn
Hà Huy Dương - 20225183 - duong.hh225183@sis.hust.edu.vn
Cao Văn Bảo - 20225166 - bao.cv225166@sis.hust.edu.vn
Bùi Chí Thức - 20225230 - thuc.bc225230@sis.hust.edu.vn
Đỗ Sơn Tùng - 20225425-tung.ds225425@sis.hust.edu.vn
Hoàng Đức Khải - 20225341-khai.hd225341@sis.hust.edu.vn
Ngô Minh Quân - 20225383-quan.m225383@sis.hust.edu.vn</t>
  </si>
  <si>
    <t>https://drive.google.com/open?id=14k2cfVs4azfiwH9_yxuwBL4TVMteLNtl</t>
  </si>
  <si>
    <t>ngoquan0904@gmail.com</t>
  </si>
  <si>
    <t>quyenphanhaaoy@gmail.com</t>
  </si>
  <si>
    <t>0354421518</t>
  </si>
  <si>
    <t>Phan Hà Quyên - 20225224 - quyenphanhaaoy@gmail.com
Nguyễn Minh Ngọc - 20225057 - ngocminhgb123@gmail.com
Nguyễn Huy Mạnh - 20225143 - huymanh19px@gmail.com
Phan Thế Toàn - 20225415 - phantoan3009@gmail.com
Phạm Việt Hoà - 20225128 - phamviethoa2416@gmail.com</t>
  </si>
  <si>
    <t>https://drive.google.com/open?id=1vO_KBrs8g5iT5MlL_ntraI5lbFR6ywpV</t>
  </si>
  <si>
    <t>nbdasoict70@gmail.com</t>
  </si>
  <si>
    <t>0705612281</t>
  </si>
  <si>
    <t>Nguyễn Bùi Đức Anh - 20220070 - anh.nbd220070@sis.hust.edu.vn
Khuất Thế Anh - 20226008 - anh.kt226008@sis.hust.edu.vn
Nguyễn Đình Phúc - 20226062 - phuc.nd226062@sis.hust.edu.vn
Nguyễn Trần Ngân Hà - 20225969 - ha.ntn225969@sis.hust.edu.vn
Trương Linh Duyên - 20225968 - duyen.tl225968@sis.hust.edu.vn
Vũ Thái Hưng - 20226046 - hung.vt226046@sis.hust.edu.vn
Trần Anh Khôi - 20225981 - khoi.ta225984@sis.hust.edu.vn
Hoàng Quốc Hưng - 20226043 - hung.hq226043@sis.hust.edu.vn 
Vương Lê Bình Dương - 20226035 - duong.vlb226035@sis.hust.edu.vn</t>
  </si>
  <si>
    <t>https://drive.google.com/open?id=1n6lhxJi65_H83vZsTgVnuHnD8fcsshAT</t>
  </si>
  <si>
    <t>phongviet2912@gmail.com</t>
  </si>
  <si>
    <t>0946861413</t>
  </si>
  <si>
    <t>Nguyễn Việt Phong - 20225901 - phongviet2912@gmail.com
Đặng Minh Hoàng - 20225719 - minhhoang.working137@gmail.com
Nguyễn Lê Minh - 20225651 - leminhnguyen1924@gmail.com
Phan Hoàng Hải - 20225715 - hp0876543219@gmail.com
Đặng Phương Nam - 20225892 - namdang4004@gmail.com
Hoàng Đức Tấn - 20225924 - hoangductan733@gmail.com</t>
  </si>
  <si>
    <t>https://drive.google.com/open?id=1r4RlDAg76VNW9Cj2YZ0KhH_eWvqmIKf1</t>
  </si>
  <si>
    <r>
      <rPr/>
      <t xml:space="preserve">https://drive.google.com/open?id=1JCnZdhrGNS6u0quksE7ydDOXweWGmYmF, https://drive.google.com/open?id=1-xAZFDrcQAIFOWBWIynjXQUftd_N3DmG, </t>
    </r>
    <r>
      <rPr>
        <color rgb="FF1155CC"/>
        <u/>
      </rPr>
      <t>https://drive.google.com/open?id=1aObWz6dCFimRi9rPEOzYczuMIW-sgL_W</t>
    </r>
  </si>
  <si>
    <t>Đặng Minh Hoàng: Bao giờ thì có người yêu?
Hoàng Đức Tấn - HaHaHa
Nguyễn Việt Phong: Nghỉ ngơi thôi!</t>
  </si>
  <si>
    <t>Duc.VN225485@sis.hust.edu.vn</t>
  </si>
  <si>
    <t>0362919270</t>
  </si>
  <si>
    <t>Vũ Như Đức - 20225485 - Duc.VN225485@sis.hust.edu.vn
Bùi Nguyên Khải - 20225501 - Khai.BN225501@sis.hust.edu.vn
Nguyễn Trọng Phương Bách - 20225473 - Bach.NTP225473@sis.hust.edu.vn
Trần Ngọc Quang - 20225523 - Quang.TN225523@sis.hust.edu.vn
Nguyễn Việt Tiến - 20225533 - Tien.NV225533@sis.hust.edu.vn
Vũ Minh Hiếu - 20225494 - Hieu.VM225494@sis.hust.edu.vn
Đoàn Anh Vũ - 20225465 - Vu.DA225465@sis.hust.edu.vn
Vũ Trung Thành - 20220066 - Thanh.VT220066@sis.hust.edu.vn</t>
  </si>
  <si>
    <t>https://drive.google.com/open?id=1XZ2IbJX0ZuX9gaWB_7itp4ib-q06V_0Z</t>
  </si>
  <si>
    <t>vunhuduc2004@gmail.com</t>
  </si>
  <si>
    <t>https://drive.google.com/open?id=15nxI3uuJwdEC4scYIUMCzH4s4gze_fxw, https://drive.google.com/open?id=12v84BvLM5RTU1ylcTU_Jsg1wzQtSp7KW, https://drive.google.com/open?id=1MCL1CqFtHxzBShdm_bKqqEGm1PlYs6LY, https://drive.google.com/open?id=17rVdJdwfi3jgeqazV4iOK3oXwRPPZzgG, https://drive.google.com/open?id=1D9QIYpubzudVgsH2HxTCLoBH8qSqdPQI, https://drive.google.com/open?id=1R8Y-dltDd8p8W-RDw_yUMCXH6hBG030G</t>
  </si>
  <si>
    <t>Vũ Như Đức - "Không cần tiền vì tôi chính là VNĐ"
Đoàn Anh Vũ - "Trai Bách Khoa như chim anh vũ"
Nguyễn Trọng Phương Bách - "Live Laugh Love"
Trần Ngọc Quang - "Không thành công thì cũng thành công nhân"
Bùi Nguyên Khải - "I only get better with time"
Nguyễn Việt Tiến - "Hành trình 4 năm ở Bách Khoa giống như đội bóng mình yêu vậy, lúc thăng hoa, lúc xuống dốc, nhưng có một điều mình luôn tự nhắc bản thân, là không bao giờ bỏ cuộc, giống như cách mình yêu đội bóng đó vậy. Khoảnh khắc mình ở đây, là điểm kết thúc của một hành trình dài nhưng đầy kí ức, mình sẽ luôn mang theo nó trong suốt cuộc đời của mình."</t>
  </si>
  <si>
    <t>dominhtam2912@gmail.com</t>
  </si>
  <si>
    <t>0965309385</t>
  </si>
  <si>
    <t>Đỗ Minh Tâm - 20225668-dominhtam2912@gmail.com
Trần Thị Phương Thảo - 20225766-vuongtuanphong53@gmail.com</t>
  </si>
  <si>
    <t>https://drive.google.com/open?id=1oQMD9zXqJTcjF9n29903Z6SUpg9JGjj4</t>
  </si>
  <si>
    <r>
      <rPr/>
      <t xml:space="preserve">https://drive.google.com/open?id=1pTXyPf_R-ccmhjoLrpPNV_hnf3U5Ly8G, </t>
    </r>
    <r>
      <rPr>
        <color rgb="FF1155CC"/>
        <u/>
      </rPr>
      <t>https://drive.google.com/open?id=1tBNImvzuQ1ZqwHhIN4LY9AeOC0I2yiFV</t>
    </r>
  </si>
  <si>
    <t>Trần Thị Phương Thảo: Tôi có thể chọn lại trade-off parameter khi huấn luyện model nhưng không thể chọn lại teammate
Đỗ Minh Tâm: Cậu đã cố gắng hết lòng, và điều đó đáng để cho nó có một vị trí tử tế trong đời mình rồi</t>
  </si>
  <si>
    <t>0981189756</t>
  </si>
  <si>
    <t>Nguyễn Quang Huy 20225007 huy.nq225007@sis.hust.edu.vn
Nguyễn Minh Hiếu 20224983 hieu.nm224983@sis.hust.edu.vn</t>
  </si>
  <si>
    <t>https://drive.google.com/open?id=1MHXRZGfqGMJXieOA7D4Z3D6gvPbRN3GZ</t>
  </si>
  <si>
    <t>bestxamxihieu@gmail.com</t>
  </si>
  <si>
    <t>0936849516</t>
  </si>
  <si>
    <t>Nguyễn Khánh Duy - 20225830 - duy.nk225830@sis.hust.edu.vn
Lê Minh Nghĩa - 20225894 - nghia.lm225894@sis.hust.edu.vn
Nguyễn Hoài Nam - 20225748 - nam.nh225748@sis.hust.edu.vn
Nguyễn Văn Phú - 20225658 - phu.nv225658@sis.hust.edu.vn
Ngô Việt Bách - 20225789 - bach.nv225789@sis.hust.edu.vn
Vũ Hoàng Việt - 20225777 - viet.vh225777@sis.hust.edu.vn
Hoàng Yến Nhi - 20225898 - nhi.hy225898@sis.hust.edu.vn
Nguyễn Quỳnh Anh - 20225785 - anh.nq225785@sis.hust.edu.vn
Nguyễn Bùi Việt Linh - 20225733 - linh.nbv225733@sis.hust.edu.vn
Trần Lê Anh Minh - 20225652 - minh.tla225652@sis.hust.edu.vn
Lê Minh Đức - 20225610 - duc.lm225610@sis.hust.edu.vn</t>
  </si>
  <si>
    <t>https://drive.google.com/open?id=1su_5IMqsttCIFBY1cfGb1GYjgfONYnTT</t>
  </si>
  <si>
    <t>vietlinh1482004@gmail.com</t>
  </si>
  <si>
    <t>kquocat@gmail.com</t>
  </si>
  <si>
    <t>0329657727</t>
  </si>
  <si>
    <t>Nguyễn Kiến Quốc - 20225153 - 0329657727 - kquocat@gmail.com
Bùi Xuân Đạt  - 20225274 - 0353287980 - buixuandat1802@gmail.com
Vũ Tiến An Nguyên - 20225148 - 0359581210 - vutienannguyen1210@gmail.com
Vũ Việt Cường - 20225270 - 0932227324 - cuongvu513@gmail.com
Vũ Hữu Tiến - 20225231 - 0904689042 - vutien858@gmail.com
Phan Đức Dũng - 20225294 - 0779303169 - dung.pd225294@sis.hust.edu.vn
Nguyễn Trung Hiếu - 20225188 - 0961890489 - hieu07062004@gmail.com
Nguyễn Văn Hoàng - 20225323 - 0971015032 - nguyenvanhoanghust@gmail.com
Đỗ Nhật Minh - 20225209 - 0366091667 - minhblcute26102004@gmail.com
Vũ Đức Trung - 20225161 - 0775207257 - trungvd2011@gmail.com
Nguyễn Chí Quân - 20225385 - 0375929607 - chiquannguyen363@gmail.com
Nguyễn Vũ Thành - 20225403 - 0961515419 - thanh14704@gmail.com</t>
  </si>
  <si>
    <t>https://drive.google.com/open?id=11LJDVmWGeQ6t8xRNAgPF4-xamxYwaALj</t>
  </si>
  <si>
    <t>bachdtm169@gmail.com</t>
  </si>
  <si>
    <t>0983155487</t>
  </si>
  <si>
    <t>Hoàng Bá Bảo - 20226015
Đinh Ngọc Cầm - 20226016
Trần Quang Hưng - 20226045</t>
  </si>
  <si>
    <t>https://drive.google.com/open?id=14tNLyp7_IF_AlgM_40D50HQc5Q9VcetE</t>
  </si>
  <si>
    <t>xuanthanh2201.work@gmail.com</t>
  </si>
  <si>
    <t>0919212004</t>
  </si>
  <si>
    <t>Nguyễn Xuân Thành - 20225460 - Thanh.NX225460@sis.hust.edu.vn
Nguyễn Trí Thanh - 20225457 - Thanh.NT225457@sis.hust.edu.vn
Nguyễn Hoàng Sơn - 20225525 - Son.NH225525@sis.hust.edu.vn
Phan Trần Việt Bách - 20225435 - Bach.PTV225435@sis.hust.edu.vn</t>
  </si>
  <si>
    <t>https://drive.google.com/open?id=1T1abhBJFDZ0yXbrTSt7cjYWTpf50BlnG</t>
  </si>
  <si>
    <t>https://drive.google.com/open?id=1Qc41XDj_Cg1fadNZLJcjJrnA863p2qsj, https://drive.google.com/open?id=1Eml699CpajoTGujF2DoJ1wxDZFead7-s, https://drive.google.com/open?id=19d8U46Fem0uOZw6OBRF1J9Hvt-UVhex2, https://drive.google.com/open?id=17RFVeV1xfR0XRrzFf-L2P6v1jrRMGjCl</t>
  </si>
  <si>
    <t>- Nguyễn Hoàng Sơn: "Whatever happens, happens"
- Nguyễn Xuân Thành: "Every chapter, whether a triumph or a trial, was a lesson"
- Nguyễn Trí Thanh:
"Một bước lấy đà, vạn bước xa,
Bốn năm bền chí, đời nở hoa.
Gian nan thử thách lòng người trẻ,
Vững dạ dựng xây nghiệp nước nhà."</t>
  </si>
  <si>
    <t>hoangnam2004hp@gmail.com</t>
  </si>
  <si>
    <t>0904262833</t>
  </si>
  <si>
    <t>Nguyễn Hoàng Nam - 20225213
Nguyễn Đức Long - 20225036
Trần Hoàng Nhật Minh - 20225366</t>
  </si>
  <si>
    <t>https://drive.google.com/open?id=1IRx2GNvuI-RffIdbd6RVghFOgRarsu7r</t>
  </si>
  <si>
    <t>coc14012004@gmail.com</t>
  </si>
  <si>
    <t>0826440106</t>
  </si>
  <si>
    <t>Phí Hoàng Việt - 20225429 - coc14012004@gmail.com
Vũ Mạnh Hưng - 20225198 - manhhungyb177@gmail.com</t>
  </si>
  <si>
    <t>https://drive.google.com/open?id=147ymqpprI9VNUhp948oufIcF2BjM-9C1</t>
  </si>
  <si>
    <r>
      <rPr/>
      <t xml:space="preserve">https://drive.google.com/open?id=1hbg8jJ9MDGZ-jbjDpUOkO0t3CNulr5FK, </t>
    </r>
    <r>
      <rPr>
        <color rgb="FF1155CC"/>
        <u/>
      </rPr>
      <t>https://drive.google.com/open?id=1lmopCSCeFioX7yvczamsSYemaKlC5Wyi</t>
    </r>
  </si>
  <si>
    <t>Phí Hoàng Việt: Chạy là chạy không nói nhiều
Vũ Mạnh Hưng: Mạch chỉ có thể cháy 1 lần</t>
  </si>
  <si>
    <t>xsdz974@gmail.com</t>
  </si>
  <si>
    <t>0366376911</t>
  </si>
  <si>
    <t>Ong Xuân Sơn-20224897-xsdz974@gmail.com
Nguyễn Đức Danh-20224947-uydanh214@gmail.com
Đỗ Đức Long-20225034-long3172004@gmail.com
Bùi Vũ Đức Nghĩa-20224883-nghiabui5981@gmail.com
Nguyễn Duy Dũng-20224961-dgx3811@gmail.com
Chu Thành Thông-20225096-thongphil18@gmail.com
Lê Phan Việt Cường-20224829-cuongthenao@gmail.com
Trần Quang Minh-20225047-minh.tq225047@sis.hust.edu.vn</t>
  </si>
  <si>
    <t>https://drive.google.com/open?id=1ios4o4-8I87JlhGKM9wT3bxGwM4JaFID</t>
  </si>
  <si>
    <r>
      <rPr/>
      <t xml:space="preserve">https://drive.google.com/open?id=1ODzk2VF1aei62rlWsZ2G25I34HPui6O0, https://drive.google.com/open?id=1zMSMq51fnVZljhzmafaBV4ut1tH5jeKH, https://drive.google.com/open?id=12NDZsC0RPtenh19s2t7zl4yxc2aXDDPJ, https://drive.google.com/open?id=1mEfTbEoJ_GsGghWI9exWq1tAYLcjDeAQ, https://drive.google.com/open?id=10a7FHMXLth9dcR65gP4PvaYDtbx8HXUn, https://drive.google.com/open?id=10Ou5xneKrM7R4QrzSWUTClKfPNQxnJ-N, https://drive.google.com/open?id=1FWx0kWWfE43w57fBngZFPO9lyr8MrduN, </t>
    </r>
    <r>
      <rPr>
        <color rgb="FF1155CC"/>
        <u/>
      </rPr>
      <t>https://drive.google.com/open?id=1nU1Ou1eB6IOAYdAT8e2woBbIfbG1Xvxv</t>
    </r>
  </si>
  <si>
    <t>phunghieu5c@gmail.com</t>
  </si>
  <si>
    <t>0334523106</t>
  </si>
  <si>
    <t>Phùng Công Hiếu - 20224848 - hieu.pc224848@sis.hust.edu.vn
Lê Danh Vinh - 20220051 - vinh.ld220051@sis.hust.edu.vn
Vũ Trường An - 20220058 - an.vt220058@sis.hust.edu.vn
Trần Sơn Tùng - 20220048 - tung.ts220048@sis.hust.edu.vn
Nguyễn Hoàng Việt - 20220050 - viet.nh220050@sis.hust.edu.vn 
Nguyễn Đức Triệu - 20224903 - trieu.nd224903@sis.hust.edu.vn 
Trần Vương Hoàng - 20224855 - hoang.tv224855@sis.hust.edu.vn 
Phạm Quang Hưng - 20220030 - hung.pq220030@sis.hust.edu.vn 
Nguyễn Đăng Phúc - 20220040 - phuc.nd220040@sis.hust.edu.vn 
Hoàng Quốc Hùng - 20224857 - hung.hq224857@sis.hust.edu.vn</t>
  </si>
  <si>
    <t>https://drive.google.com/open?id=1dbHeuZzMyoy7N7pBBPeGHMnx571XCTXw</t>
  </si>
  <si>
    <t>CTTN-Khoa học máy tính - K67</t>
  </si>
  <si>
    <t>Lê Danh Vinh - đơn ca
Vũ Trường An - biểu diễn calis
Trần Sơn Tùng - Nguyễn Hoàng Việt - biểu diễn bình luận game / bóng đá
Nguyễn Đức Triệu - đơn ca
Trần Vương Hoàng - rap
Phạm Quang Hưng - thổi sáo
Nguyễn Đăng Phúc - Hoàng Quốc Hùng - song ca</t>
  </si>
  <si>
    <t>chưa chốt bài hát</t>
  </si>
  <si>
    <t>âm nhạc + ánh sáng + mic</t>
  </si>
  <si>
    <t>0986736868</t>
  </si>
  <si>
    <t>Quản Tuấn Huy - 20225014 - huy.qt225014@sis.hust.edu.vn
Nguyễn Hải Nam - 20225051 - nam.nh225051@sis.hust.edu.vn
Trần Thế Anh - 20224927 - anh.tt224927@sis.hust.edu.vn
Dương Quang Anh - 20224916 - anh.dq224916@sis.hust.edu.vn
Phạm Trung Kiên - 20225026 - kienpham1392004@gmail.com</t>
  </si>
  <si>
    <t>https://drive.google.com/open?id=1EuiM7pGhDal7nr0x2sOZQwGe43icpyfe</t>
  </si>
  <si>
    <t>quan.tuan.huy@gmail.com</t>
  </si>
  <si>
    <t>Tất cả nhóm: Bách Khoa mãi trong tim</t>
  </si>
  <si>
    <t>0368645044</t>
  </si>
  <si>
    <t>Liễu Bảo Bảo - 20224929 - bao.lb224929@sis.hust.edu.vn
Trần Anh Đức - 20220120 - duc.ta220120@sis.hust.edu.vn
Nguyễn Công Hùng - 20224858 - hung.nc224858@sis.hust.edu.vn
Nguyễn Việt Long - 20225037 - long.nv225037@sis.hust.edu.vn
Chu Tuấn Nghĩa - 20225056 - nghia.ct225056@sis.hust.edu.vn
Nguyễn Thành Trung - 20225105 - trung.nt225105@sis.hust.edu.vn
Dương Vũ Hoàng - 20224987 - hoang.dv224987@sis.hust.edu.vn
Trịnh Mạnh Quỳnh - 20226064 - quynh.tm226064@sis.hust.edu.vn
Hà Huy Hoàng - 20224988 - hoang.hh224988@sis.hust.edu.vn</t>
  </si>
  <si>
    <t>https://drive.google.com/open?id=12VFrPPAvP1BzZ3b1oz5AnTiJdffuzJDL</t>
  </si>
  <si>
    <t>bb01668645044@gmail.com</t>
  </si>
  <si>
    <t>huybuile2004@gmail.com</t>
  </si>
  <si>
    <t>0355416076</t>
  </si>
  <si>
    <t>Bùi Lê Huy - 20225005 - huybuile2004@gmail.com
Bùi Lê Hùng - 20224994 - builehunghuy2004@gmail.com
Trương Ngọc Hải - 20225309 - Hai.TN225309@sis.hust.edu.vn
Trần Xuân Phúc - 20225379 - xuanphuctran269@gmail.com</t>
  </si>
  <si>
    <t>https://drive.google.com/open?id=1K1lYkHItWY_JG2jIPEMoE2TkBDKOwOjG</t>
  </si>
  <si>
    <t>toitenlaxuantk@gmail.com</t>
  </si>
  <si>
    <t>0349865048</t>
  </si>
  <si>
    <t xml:space="preserve">Trịnh Vi Giang Xuân - 20225118 - toitenlaxuantk@gmail.com
Bàng Tiến Thành - 20225669 - btthanh2004@gmail.com
</t>
  </si>
  <si>
    <t>https://drive.google.com/open?id=1xYNsUuT--cE3-nV-Ni3g3SiK07tgRPHP</t>
  </si>
  <si>
    <t>Ai ngủ trước trả tiền :v</t>
  </si>
  <si>
    <t>tungvanphi@gmail.com</t>
  </si>
  <si>
    <t>0838698639</t>
  </si>
  <si>
    <t>Nguyễn Hoàng Sơn Tùng - 20225536 - tung.nhs225536@sis.hust.edu.vn
Vũ Tuấn Trường - 20225535 - truong.vt225535@sis.hust.edu.vn</t>
  </si>
  <si>
    <t>https://drive.google.com/open?id=1iC6yKqG9-9i3tnX68oaSVqZ-jp0N-m8b</t>
  </si>
  <si>
    <t>Đi một mình – Kết ngàn tình!</t>
  </si>
  <si>
    <t>vuvietlongpro@gmail.com</t>
  </si>
  <si>
    <t>0964106338</t>
  </si>
  <si>
    <t>https://drive.google.com/open?id=1JQSL7YDmxqNvadIJBidgVozQlvU3mDro</t>
  </si>
  <si>
    <t>vvl310104@gmail.com</t>
  </si>
  <si>
    <t>0846311204</t>
  </si>
  <si>
    <t>https://drive.google.com/open?id=1T31pNQBXqz-VcCxw5Mpl2Vx--UVC8932</t>
  </si>
  <si>
    <t>ntm.cmv@gmail.com</t>
  </si>
  <si>
    <t>https://drive.google.com/open?id=12hV7Qo5CRWbcb4vyzS3QtgyfZq6xcDKT</t>
  </si>
  <si>
    <t>Đi hết một chặng đường, đừng nhìn lại, hãy nhìn những người bên cạnh mình</t>
  </si>
  <si>
    <t>phananhvun@gmail.com</t>
  </si>
  <si>
    <t>0565413428</t>
  </si>
  <si>
    <t>https://drive.google.com/open?id=1LiBJoB7JQ-t8_io9yWBWTZbzHD_hhtU7</t>
  </si>
  <si>
    <t>https://drive.google.com/open?id=122kpkV_4gWp3VivFVNtev1cp98j6VpMv</t>
  </si>
  <si>
    <t>Shoot for the moon. Even if you miss, you'll land amongst the stars.</t>
  </si>
  <si>
    <t>thang.nt3092004@gmail.com</t>
  </si>
  <si>
    <t>0827423931</t>
  </si>
  <si>
    <t>https://drive.google.com/open?id=1RZoiDy25KZ9mIfCktKCRUsQt64tGytgI</t>
  </si>
  <si>
    <t>gargaggr@gmail.com</t>
  </si>
  <si>
    <t>0982280904</t>
  </si>
  <si>
    <t>https://drive.google.com/open?id=1H3hA_3wqEZBuBOOWtnwAx2a1-3jp91I7</t>
  </si>
  <si>
    <t>0826585355</t>
  </si>
  <si>
    <t>https://drive.google.com/open?id=1iY3dUnddzlrbMaAhEunNxZxOa-aHiLWE</t>
  </si>
  <si>
    <t>phamphuonghuy65@gmail.com</t>
  </si>
  <si>
    <t>https://drive.google.com/open?id=1nnmB8nVhvOv4Cj7Ib9xldPzX6cnagOuq</t>
  </si>
  <si>
    <t xml:space="preserve">5 năm học không dài như bạn nghĩ, hãy chuyển động cùng chúng tôi! </t>
  </si>
  <si>
    <t>0779102004</t>
  </si>
  <si>
    <t>https://drive.google.com/open?id=1sNfDmPhnSRuNSfYvcJuW4Ymp_l_71YnO</t>
  </si>
  <si>
    <t>phunghaiminh2004@gmail.com</t>
  </si>
  <si>
    <t>0359956016</t>
  </si>
  <si>
    <t>https://drive.google.com/open?id=1ARJZ0ccYv3CQqnkNZDTNLgGslnax0_Hb</t>
  </si>
  <si>
    <t>hai.k64cntt.bkhn@gmail.com</t>
  </si>
  <si>
    <t>https://drive.google.com/open?id=1ufQaQghLb9tuw3T101IR8615PG8AYmkA</t>
  </si>
  <si>
    <t>Cảm ơn vì đã là một phần trong những năm tháng rực rỡ nhất của thanh xuân</t>
  </si>
  <si>
    <t>Khác</t>
  </si>
  <si>
    <t>không</t>
  </si>
  <si>
    <t xml:space="preserve">Trần Gia Huy </t>
  </si>
  <si>
    <t>giahuy.tran7402@gmail.com</t>
  </si>
  <si>
    <t>0949723970</t>
  </si>
  <si>
    <t>https://drive.google.com/open?id=1N9o8P1gakCaciGmJdeUh5KpEyCLAegS-</t>
  </si>
  <si>
    <t>https://drive.google.com/open?id=1sOFe35tEmja-ngnXT72cDlbUsoIiLG9H</t>
  </si>
  <si>
    <t>git commit -m "Finally graduated!"</t>
  </si>
  <si>
    <t>0988765108</t>
  </si>
  <si>
    <t>https://drive.google.com/open?id=1tPfvRxclF0d_ytO76fba6hpMBDs47y84</t>
  </si>
  <si>
    <t>contactme.haibx@gmail.com</t>
  </si>
  <si>
    <t>0904706826</t>
  </si>
  <si>
    <t>https://drive.google.com/open?id=1NzkAARDeo7W3_bKH9d8FTIJSUd4169qa</t>
  </si>
  <si>
    <t>tail110402@gmail.com</t>
  </si>
  <si>
    <t>0865147832</t>
  </si>
  <si>
    <t>https://drive.google.com/open?id=1Tnd7ReNxCou-S7R0Pa6tauvsntrYoBB_</t>
  </si>
  <si>
    <t>bxson128@gmail.com</t>
  </si>
  <si>
    <t>tuvu100903@gmail.com</t>
  </si>
  <si>
    <t>0819367571</t>
  </si>
  <si>
    <t>https://drive.google.com/open?id=1A2F34dh_y5_wM5lGbshSm8pOcmXCgGq2</t>
  </si>
  <si>
    <t>Khoa học máy tính - K66</t>
  </si>
  <si>
    <t>Ngoc.Tm220038@sis.hust.edu.vn</t>
  </si>
  <si>
    <t>0866137678</t>
  </si>
  <si>
    <t>https://drive.google.com/open?id=1n7rEkq9ukpP3PfAPzw-R1OYD5PmeqnQo</t>
  </si>
  <si>
    <t>tmngoc1108@gmail.com</t>
  </si>
  <si>
    <t>https://drive.google.com/open?id=16t_4oQiBKfcx38qkFY2b5cdGSEv9KC_g</t>
  </si>
  <si>
    <t>phuc.td224891@hust.sis.edu.vn</t>
  </si>
  <si>
    <t>0827331213</t>
  </si>
  <si>
    <t>https://drive.google.com/open?id=1fg8WMBOQGGmum7k1dEY525vly7fgUobH</t>
  </si>
  <si>
    <t>tdphuc.work@gmail.com</t>
  </si>
  <si>
    <t>0844666988</t>
  </si>
  <si>
    <t>https://drive.google.com/open?id=1YoxwR_zUKKIHfP6TRCmKPUYY5we6CZJq</t>
  </si>
  <si>
    <t>hungtran30112004@gmail.com</t>
  </si>
  <si>
    <t>Phuc.DB224889@sis.hust.edu.vn</t>
  </si>
  <si>
    <t>0379843608</t>
  </si>
  <si>
    <t>https://drive.google.com/open?id=191RhaJn5pvAWhnJmqiQA5TK33bZ4_Ezc</t>
  </si>
  <si>
    <t>dinhbaophuc2004@gmail.com</t>
  </si>
  <si>
    <t>https://drive.google.com/open?id=1hE10hLC6tt14cPxIO5_olc0j4CKXaAi_</t>
  </si>
  <si>
    <t xml:space="preserve">Bách khoa khoá six seven </t>
  </si>
  <si>
    <t>nguyenhoangviethung@gmail.com</t>
  </si>
  <si>
    <t>0335305689</t>
  </si>
  <si>
    <t>https://drive.google.com/open?id=1GocY0BEIWjqwHKZJR1LT9s12gnJ0sNQm</t>
  </si>
  <si>
    <t>0362681789</t>
  </si>
  <si>
    <t>https://drive.google.com/open?id=1gt4K3I7acGc77z-bzmA730GPLCsGCAUM</t>
  </si>
  <si>
    <t>ndtducthang2004@gmail.com</t>
  </si>
  <si>
    <t>https://drive.google.com/open?id=1zNV-fLQu2xCF102SPQ9hxlmGQBTsiQ3O</t>
  </si>
  <si>
    <t>Đại học là một hành trình tuyệt vời, nơi ta trưởng thành qua từng thử thách sẵn sàng bước tiếp với niềm tin mới.</t>
  </si>
  <si>
    <t>viduc123hb@gmail.com</t>
  </si>
  <si>
    <t>0963492706</t>
  </si>
  <si>
    <t>https://drive.google.com/open?id=1f_AVYsmPrsdAjTKKgdbScZwWONqSDUDo</t>
  </si>
  <si>
    <t>viduc173hb@gmail.com</t>
  </si>
  <si>
    <t>nguyengiapnf5@gmail.com</t>
  </si>
  <si>
    <t>0964153033</t>
  </si>
  <si>
    <t>https://drive.google.com/open?id=1DVOeLzYR_7csn04IrO_RHsHK17bI5628</t>
  </si>
  <si>
    <t>0328189883</t>
  </si>
  <si>
    <t>https://drive.google.com/open?id=1UiT4DUg31ydFyz38sTaTI3p1Xuf8b6A0</t>
  </si>
  <si>
    <t>hieulinh1277@gmail.com</t>
  </si>
  <si>
    <t>https://drive.google.com/open?id=1_zyoHwwKo3PVpciJbYEBjzumUwLKR-4z</t>
  </si>
  <si>
    <t xml:space="preserve">Nguyễn Tiến Đăng </t>
  </si>
  <si>
    <t>nguyentiendang0106@gmail.com</t>
  </si>
  <si>
    <t>0333519396</t>
  </si>
  <si>
    <t>https://drive.google.com/open?id=19rVdNN2SQtQFMjptyJkDKFVVEBqUhk7W</t>
  </si>
  <si>
    <t xml:space="preserve">Nguyễn Thùy Linh </t>
  </si>
  <si>
    <t>Halinhthao2204@gmail.com</t>
  </si>
  <si>
    <t>0981503224</t>
  </si>
  <si>
    <t>https://drive.google.com/open?id=1xrARjFfI4eYROsn3h_-_QfV894bwVPvE</t>
  </si>
  <si>
    <t>halinhthao2204@gmail.com</t>
  </si>
  <si>
    <t>huy15a3k23@cvp.vn</t>
  </si>
  <si>
    <t>0867956826</t>
  </si>
  <si>
    <t>https://drive.google.com/open?id=1fEmoyGgZCrMkjXt_2-l9DBq35XsDm04L</t>
  </si>
  <si>
    <t>phamduchuy1892004@gmail.com</t>
  </si>
  <si>
    <t>https://drive.google.com/open?id=1S-XgWciSYWi0Af8kPxgoYqAnoooF7gz0</t>
  </si>
  <si>
    <t>Bách Khoa là nhà, Bách Khoa mãi yêu</t>
  </si>
  <si>
    <t>Minh.THN225144@sis.hust.edu.vn</t>
  </si>
  <si>
    <t>0338303098</t>
  </si>
  <si>
    <t>https://drive.google.com/open?id=11n3FdjbYTYt8D9hYAQwSAr-GM2ECz3GE</t>
  </si>
  <si>
    <t>tranhainhatminh2004@gmail.com</t>
  </si>
  <si>
    <t>ttien0181@gmail.com</t>
  </si>
  <si>
    <t>0977296173</t>
  </si>
  <si>
    <t>https://drive.google.com/open?id=19Efwg0SDV2LOPh_3yvKj-7gRNL3qfGrL</t>
  </si>
  <si>
    <t>Thang.VT225396@sis.hust.edu.vn</t>
  </si>
  <si>
    <t>0983096806</t>
  </si>
  <si>
    <t>https://drive.google.com/open?id=1hPPzxdlRVBhaDTGshtlEndJCfcltDrmq</t>
  </si>
  <si>
    <t>thangvuit18@gmail.com</t>
  </si>
  <si>
    <t>https://drive.google.com/open?id=12d1pXmzSBVvJmIDk3gNXnPrLWZ0aOzI3</t>
  </si>
  <si>
    <t>Mang theo tri thức của SOICT, giữ vững sự tử tế và không ngừng tiến về phía trước.</t>
  </si>
  <si>
    <t>khanha1k59@gmail.com</t>
  </si>
  <si>
    <t>0856239030</t>
  </si>
  <si>
    <t>https://drive.google.com/open?id=1mTUi9ECquc3QABunK7oDFvIAeZ_1XxSD</t>
  </si>
  <si>
    <t>https://drive.google.com/open?id=1WpAyj-u3LNNJYX54sO8CNfAYD9ICwZbT</t>
  </si>
  <si>
    <t>im lặng và cố gắng ^^</t>
  </si>
  <si>
    <t>0812909612</t>
  </si>
  <si>
    <t>https://drive.google.com/open?id=1Ch17xB1riXmEXI5rygrKFxq_wbz-hapt</t>
  </si>
  <si>
    <t>dinh1duc2anh3@gmail.com</t>
  </si>
  <si>
    <t>https://drive.google.com/open?id=1jan9mcjbwfWAcaQkWHAn0Woh3F0svXi7</t>
  </si>
  <si>
    <t>Có lẽ điều quý giá nhất mình học được là: nếu muốn làm điều gì đó, đừng chần chừ. Hãy hít một hơi thật sâu, gạt bớt những lo lắng và bắt tay vào làm. Chỉ khi dám làm, dám thất bại rồi rút kinh nghiệm, mình mới có thể tiến bộ. Còn nếu chỉ mãi suy nghĩ, mình sẽ chẳng bao giờ biết mình có thể đi được đến đâu.</t>
  </si>
  <si>
    <t>Đi cùng số 18</t>
  </si>
  <si>
    <t>manha1k48@gmail.com</t>
  </si>
  <si>
    <t>0971501276</t>
  </si>
  <si>
    <t>https://drive.google.com/open?id=1sX02fvE_zoyaxEjxDuUt5BrC2SLqwA5l</t>
  </si>
  <si>
    <t>https://drive.google.com/open?id=1M03yZXmO7XxU2xbRm4nHrgP6GrOIgQD9</t>
  </si>
  <si>
    <t>Cảm ơn Bách Khoa đã cho tôi cơ hội trưởng thành hơn</t>
  </si>
  <si>
    <t>0849495888</t>
  </si>
  <si>
    <t>https://drive.google.com/open?id=19yCRLtFZjCdhMeIj2yd4ZczuwucyCJYa</t>
  </si>
  <si>
    <t>xc200k4@gmail.com</t>
  </si>
  <si>
    <t>0378171204</t>
  </si>
  <si>
    <t>https://drive.google.com/open?id=1ACvMPq4DAELRDsTtnJAwZIOlagraei--</t>
  </si>
  <si>
    <t>tridang2k4@gmail.com</t>
  </si>
  <si>
    <t>htetarkarlinn.edu@gmail.com</t>
  </si>
  <si>
    <t>0867739082</t>
  </si>
  <si>
    <t>https://drive.google.com/open?id=1XDcK9_XXHY5kuArwjuSZnrQ-CZSB2jQI</t>
  </si>
  <si>
    <t>An.td224912@sis.husst.edu.vn</t>
  </si>
  <si>
    <t>0392225886</t>
  </si>
  <si>
    <t>https://drive.google.com/open?id=1wltZlUDlYSLcfLnpmPNHjfGEuUHIM7ll</t>
  </si>
  <si>
    <t>an8112004@gmail.com</t>
  </si>
  <si>
    <t>0911408246</t>
  </si>
  <si>
    <t>https://drive.google.com/open?id=1fxpDih-dq55oiSkXjj2-CbGMBbbwqExX</t>
  </si>
  <si>
    <t>tranhuudao08@gmail.com</t>
  </si>
  <si>
    <t>Trùng</t>
  </si>
  <si>
    <t xml:space="preserve">Trần Thành Vinh </t>
  </si>
  <si>
    <t>vinhthanhtran03102004@gmail.com</t>
  </si>
  <si>
    <t>0329942004</t>
  </si>
  <si>
    <t>https://drive.google.com/open?id=1RuYQLarrIaa9d8lHfrWo-KMzGrkc0h7Q</t>
  </si>
  <si>
    <t>dinhchientv03@gmail.com</t>
  </si>
  <si>
    <t>0862960105</t>
  </si>
  <si>
    <t>https://drive.google.com/open?id=1lKk_P1enyA8VqfghBDkOLjZGjay09u0i</t>
  </si>
  <si>
    <t>dungth2004@gmail.com</t>
  </si>
  <si>
    <t>0961814253</t>
  </si>
  <si>
    <t>https://drive.google.com/open?id=1ZvkDlIAh_r5_aXz-jHvefxvqgMc_XOHR</t>
  </si>
  <si>
    <t>0969486062</t>
  </si>
  <si>
    <t>Xin chân thành cảm ơn SoICT</t>
  </si>
  <si>
    <t>Kỹ thuật máy tính - K66</t>
  </si>
  <si>
    <t>duongducduy825@gmail.com</t>
  </si>
  <si>
    <t>0344088578</t>
  </si>
  <si>
    <t>Dương Đức Duy 20225828
Nguyễn Đức Minh 20225885
Vương Văn Đăng 20225800</t>
  </si>
  <si>
    <t>https://drive.google.com/open?id=1OPyxdzxQ-p2JZSHTXHxbGIudxJ61wGVi</t>
  </si>
  <si>
    <t>lehagiang6104@gmail.com</t>
  </si>
  <si>
    <t>gianglh4973@gmail.com</t>
  </si>
  <si>
    <t>0916189130</t>
  </si>
  <si>
    <t>Lê Thị Hà Giang - 20224973 - gianglh4973@gmail.com
Trần Thị Minh Thu - 20224901 - thu.ttm224901@sis.hust.edu.vn
Nguyễn Quang Huy - 20225010 - huyquangnguyen38@gmail.com
Đặng Ngọc Quý - 20225074 - Quy160104@gmail.com
Lê Trung Kiên - 20225023 - lekien.2004nek@gmail.com
Hoàng Hà Sơn - 20220122 - son.hh220122@sis.hust.edu.vn
Nguyễn Mạnh Hùng - 20224859 - manhhungnguyen.zwh@gmail.com
Nguyễn Quốc Huy - 20225012 -
huyphantom2004@gmail.com</t>
  </si>
  <si>
    <t>https://drive.google.com/open?id=18KQezIjSJ0pl3N6EdIqpEb-6PWYe-zLT</t>
  </si>
  <si>
    <t>donglam0378378@gmail.com</t>
  </si>
  <si>
    <t>0378521299</t>
  </si>
  <si>
    <t>https://drive.google.com/open?id=1y_-ywJ6UAuKz7vFZLwfMZqRmx2p_Yf0Y</t>
  </si>
  <si>
    <t>vietcuong2k182@gmail.com</t>
  </si>
  <si>
    <t>Cuong.tv224941@sis.hust.edu.vn</t>
  </si>
  <si>
    <t>0934280118</t>
  </si>
  <si>
    <t>https://drive.google.com/open?id=1XL0N6WNMejSohP219jkAeYd1K2gXmtYX</t>
  </si>
  <si>
    <t>Cảm ơn thầy cô đã dìu dắt khóa chúng em</t>
  </si>
  <si>
    <t>serendeeznut.pity@gmail.com</t>
  </si>
  <si>
    <t>tknguyen.dec23rd@gmail.com</t>
  </si>
  <si>
    <t>0817526268</t>
  </si>
  <si>
    <t>https://drive.google.com/open?id=1MeAFNON4hUABEXm6SNDPx79O-gK1SBS_</t>
  </si>
  <si>
    <t>hieunguyenthanh204@gmail.com</t>
  </si>
  <si>
    <t>0926022676</t>
  </si>
  <si>
    <t>https://drive.google.com/open?id=1uJfTXardyQxZmhiYFcNrWAZgHCWfM7HJ</t>
  </si>
  <si>
    <t>https://drive.google.com/open?id=1s8qwB25X9-aH8XXlJHNCR7sD8i_7nzN8</t>
  </si>
  <si>
    <t>Cảm ơn vì vẫn còn sống</t>
  </si>
  <si>
    <t>trungleccc@gmail.com</t>
  </si>
  <si>
    <t>0975752715</t>
  </si>
  <si>
    <t>https://drive.google.com/open?id=1xaeB7oW1xUqgVHT-LKs1Ydhy4P5hOcUL</t>
  </si>
  <si>
    <t>hungmanhbui1604@gmail.com</t>
  </si>
  <si>
    <t>0976336958</t>
  </si>
  <si>
    <t>https://drive.google.com/open?id=1bBJo2T4zW8p-HWlZCRfpX6wvHv06chp4</t>
  </si>
  <si>
    <t>Hát đơn ca</t>
  </si>
  <si>
    <t>Phép Màu</t>
  </si>
  <si>
    <t>Beat</t>
  </si>
  <si>
    <t>ductrung27.dt@gmail.com</t>
  </si>
  <si>
    <t>0778399065</t>
  </si>
  <si>
    <t>Vũ Đức Trung - 20220046 - trung.vd220046@sis.hust.edu.vn
Ghép với Nguyễn Thị Thúy Hiền</t>
  </si>
  <si>
    <t>https://drive.google.com/open?id=1D_oiywrnVDFQjMTA0dE0as6xFU_eh24w</t>
  </si>
  <si>
    <t>nhathuyxz2@gmail.com</t>
  </si>
  <si>
    <t xml:space="preserve">Nguyễn Nhật Huy </t>
  </si>
  <si>
    <t>0918626813</t>
  </si>
  <si>
    <t>Nguyễn Nhật Huy - 20225335 - nhathuyxz2@gmail.com 
Lê Xuân Đại - 20225271 - lexuandaibn@gmail.com</t>
  </si>
  <si>
    <t>https://drive.google.com/open?id=1FJmslF7WxELMd7iad3OrGeoavJ_EuHiX</t>
  </si>
  <si>
    <r>
      <rPr>
        <rFont val="Roboto"/>
        <color rgb="FF1155CC"/>
        <u/>
      </rPr>
      <t>https://drive.google.com/open?id=1dWcWboup_n_XnrJ-bdr7BZfYjxb7C316</t>
    </r>
    <r>
      <rPr>
        <rFont val="Roboto"/>
        <color rgb="FF434343"/>
      </rPr>
      <t>, https://drive.google.com/open?id=1l1_efZNucKdZMvNZLUQ4q-GLskRHx8nM</t>
    </r>
  </si>
  <si>
    <t>Nguyễn Nhật Huy - Behind me is endless memories. Ahead of me is an unknown journey.
Lê Xuân Đại - Chúng ta chỉ mất 4 giây để chụp một bức ảnh tốt nghiệp đẹp, tuy nhiên lại mất 4 năm học tập và cả khoảng thời gian dài để lưu giữ tuổi thanh xuân.</t>
  </si>
  <si>
    <t>k4224mk@gmail.com</t>
  </si>
  <si>
    <t>0375999452</t>
  </si>
  <si>
    <t>https://drive.google.com/open?id=1WIX_5fkyIsu9OTyZBT9AN2B0lfC6sPe-</t>
  </si>
  <si>
    <t>vietanhle3012bn@gmail.com</t>
  </si>
  <si>
    <t>0868981492</t>
  </si>
  <si>
    <t>https://drive.google.com/open?id=1wMRg8JDGBvD96A2e2zTtSycEKrB8C3_K</t>
  </si>
  <si>
    <t>thelake2004@gmail.com</t>
  </si>
  <si>
    <t>Giang.DT224972@sis.hust.edu.vn</t>
  </si>
  <si>
    <t>0989233699</t>
  </si>
  <si>
    <t>https://drive.google.com/open?id=1UuByWb1saYJ59VYADSn4i-uYwNIqA5gq</t>
  </si>
  <si>
    <t>hailong2004ptcnn@gmail.com</t>
  </si>
  <si>
    <t>0927146787</t>
  </si>
  <si>
    <t>https://drive.google.com/open?id=1dKI_Os9hUA6CfN0UwXCffIadm11Pv-bk</t>
  </si>
  <si>
    <t>https://drive.google.com/open?id=1kHsBjJkBgcoOPxxAR_TC4ZVJxOFFRFbU</t>
  </si>
  <si>
    <t>Your road will never be smooth, it's up to you to cover the potholes</t>
  </si>
  <si>
    <t>phangiado1107@gmail.com</t>
  </si>
  <si>
    <t>0971801681</t>
  </si>
  <si>
    <t>1. Phan Gia Đô - 20226026 - phangiado1107@gmail.com
2. Nguyễn Công Đạt - 20226022 - ncongdat06@gmail.com
3. Nguyễn Trung Hiếu - 20225971 - hieuhb4321@gmail.com
4. Trần Gia Khánh - 20226048 - trangiakhanht@gmail.com
5. Lê Văn Hậu - 20226038 - lehaulm007@gmail.com
6. Phạm Duy Hoàng - 20226042 - duyhoangpham2610@gmail.com</t>
  </si>
  <si>
    <t>https://drive.google.com/open?id=1gdJjAh3t4pBjM9SV6m1vlfVydtX2R7Ok</t>
  </si>
  <si>
    <t>https://drive.google.com/open?id=1QEy0355PNFkbKgAraur3GYosAPsEDTK8</t>
  </si>
  <si>
    <t>SoICT trong chúng tôi.</t>
  </si>
  <si>
    <t>Rap</t>
  </si>
  <si>
    <t>Lucky Boy</t>
  </si>
  <si>
    <r>
      <rPr>
        <rFont val="Roboto"/>
        <color rgb="FF434343"/>
      </rPr>
      <t xml:space="preserve">Anh chị tắt Echo giúp em và chỉ cần để một chút Reverb. Âm lượng mic lớn hơn beat.
Và cho em hỏi có thể được tập thử trước không ạ ?
Beat: 
</t>
    </r>
    <r>
      <rPr>
        <rFont val="Roboto"/>
        <color rgb="FF1155CC"/>
        <u/>
      </rPr>
      <t>https://drive.google.com/file/d/1Vsel4WgwekiJzUxuji5iDyN5CRRnK_zJ/view?usp=sharing</t>
    </r>
  </si>
  <si>
    <t>huantq14203@gmail.com</t>
  </si>
  <si>
    <t>Huan.TQ215387@sis.hust.edu.vn</t>
  </si>
  <si>
    <t>0373435542</t>
  </si>
  <si>
    <t>https://drive.google.com/open?id=10cXLZDD_47vHlDmLy94-I3dQ-zTB6Ypt</t>
  </si>
  <si>
    <t>hongthom02022004@gmail.com</t>
  </si>
  <si>
    <t>0375185637</t>
  </si>
  <si>
    <t>Phạm Đặng Mai Hương - 20225134 -mhmhuong04@gmail.com                                    
Trần Thị Hồng Thơm - 20225410 - hongthom02022004@gmail.com</t>
  </si>
  <si>
    <t>https://drive.google.com/open?id=1NH12i7xjsG6TYdcnQxe050w_sXq0_fA6</t>
  </si>
  <si>
    <t>phamviethoanhlp@gmail.com</t>
  </si>
  <si>
    <t>0936124016</t>
  </si>
  <si>
    <t>Phạm Việt Hoàng - 20224854 - phamviethoanhlp@gmail.com
Đoàn Mạnh Hùng - 20224995 - doanmanhhung042@gmail.com</t>
  </si>
  <si>
    <t>https://drive.google.com/open?id=1FPCP6Z14SFokvij3czQxM8OHfKgKvQjk</t>
  </si>
  <si>
    <t>haduc28704@gmail.com</t>
  </si>
  <si>
    <t>0832872004</t>
  </si>
  <si>
    <t>https://drive.google.com/open?id=1qd7wdNtlHzPLOeAikknYONN4Cs0proVD</t>
  </si>
  <si>
    <t>tuly6474@gmail.com</t>
  </si>
  <si>
    <t>0969361721</t>
  </si>
  <si>
    <t>https://drive.google.com/open?id=1akVALXYpg8x9oLrQvFlvHVX-QeG6I5FY</t>
  </si>
  <si>
    <t>tatuanpro123@gmail.com</t>
  </si>
  <si>
    <t>Võ Tá Tuấn</t>
  </si>
  <si>
    <t>0857422103</t>
  </si>
  <si>
    <t>Võ Tá Tuấn -20224904 - tatuanpro123@gmail.com
Bùi Đình Phẩm -20220039 - pham.bd220039@sis.hust.edu.vn</t>
  </si>
  <si>
    <t>https://drive.google.com/open?id=1nbF8_AGvMw3YI_319yLMeBYSCFU9cCxS</t>
  </si>
  <si>
    <t>mxthai2303@gmail.com</t>
  </si>
  <si>
    <t>Mxthai2303@gmail.com</t>
  </si>
  <si>
    <t>0921810320</t>
  </si>
  <si>
    <t xml:space="preserve">Mạnh Xuân Thái-20225228-mxthai2303@gmail.com
Nguyễn Văn Hồng Quân-20225151-nonamentt2212004@gmail.com
</t>
  </si>
  <si>
    <t>https://drive.google.com/open?id=1KyiqVFfs-Cf31Tmim8c46qLnM-tYqKdK</t>
  </si>
  <si>
    <t>tungit1huster@gmail.com</t>
  </si>
  <si>
    <t>0855214688</t>
  </si>
  <si>
    <t>https://drive.google.com/open?id=1IZUnUc5kkXbc2R9awLaq0bfkAWtiomcg</t>
  </si>
  <si>
    <t>nthoangnguyen1308@gmail.com</t>
  </si>
  <si>
    <t>Nthoangnguyen1308@gmail.com</t>
  </si>
  <si>
    <t>0375773670</t>
  </si>
  <si>
    <t>https://drive.google.com/open?id=1X8t51WN-v0HfTuSRzCtwf7XnTm9OALps</t>
  </si>
  <si>
    <t>tranducthu200304@gmail.com</t>
  </si>
  <si>
    <t>ducthu20032004@gmail.com</t>
  </si>
  <si>
    <t>0353676268</t>
  </si>
  <si>
    <t>https://drive.google.com/open?id=1YuGmUZZXJ7OBmoatb9-LBp_zEs_7_jZV</t>
  </si>
  <si>
    <t>topdung123@gmail.com</t>
  </si>
  <si>
    <t>Dungnn224962@sis.hust.edu.vn</t>
  </si>
  <si>
    <t>0974258302</t>
  </si>
  <si>
    <t>https://drive.google.com/open?id=1SqSnjNOh-GN7ah5UCgomi5IloP0vGJ7c</t>
  </si>
  <si>
    <t>nttquyen041220@gmail.com</t>
  </si>
  <si>
    <t>0346820558</t>
  </si>
  <si>
    <t>https://drive.google.com/open?id=1_rvtgaeLd0t4-2IceA7VW1RNbcghaahZ</t>
  </si>
  <si>
    <t>Nhn</t>
  </si>
  <si>
    <t>Hh</t>
  </si>
  <si>
    <t>Hhh</t>
  </si>
  <si>
    <t>https://drive.google.com/open?id=1p1LCZiBYEpQYplC_SboDUKNiblq754yl</t>
  </si>
  <si>
    <t>cp08082004@gmail.com</t>
  </si>
  <si>
    <t>https://drive.google.com/open?id=1Bbc-p9FbG3OKHo3KczzSl8oIprgtJ20n</t>
  </si>
  <si>
    <t>dat.tuan.work@gmail.com</t>
  </si>
  <si>
    <t>https://drive.google.com/open?id=1XIfGzkev7RVljrb4rRx21NnMpL9QXBBa</t>
  </si>
  <si>
    <t>https://drive.google.com/open?id=13-iMlSFIYhqyvUnuE7X-pyHPZ9MhKvzP</t>
  </si>
  <si>
    <t>Cứ đi, rồi sẽ đến!</t>
  </si>
  <si>
    <t>danghongminh365@gmail.com</t>
  </si>
  <si>
    <t>https://drive.google.com/open?id=12eT-7l1sF7WbFsi1kExH4zya6GDBgPa_</t>
  </si>
  <si>
    <t>luongkhang448@gmail.com</t>
  </si>
  <si>
    <t>https://drive.google.com/open?id=1f-oTJSN-FB0kzU18iht1tYC2LvHzpc_i</t>
  </si>
  <si>
    <t>hatungduong11112004@gmail.com</t>
  </si>
  <si>
    <t>https://drive.google.com/open?id=1GPuEFx3w_bR9JA-eHYlRPBx4ZlRrIaQF</t>
  </si>
  <si>
    <t>https://drive.google.com/open?id=1D8fh0s9U7yttw0qbOmo-ngdqcM-zYYa_</t>
  </si>
  <si>
    <t>One love one future</t>
  </si>
  <si>
    <t>hieuphamcong2004@gmail.com</t>
  </si>
  <si>
    <t>https://drive.google.com/open?id=1kPaVtM4Uhoq2ypNSCKtXqF4r1XcwitgP</t>
  </si>
  <si>
    <t>hientrithuc58@gmail.com</t>
  </si>
  <si>
    <t>Hientrithuc58@gmail.com</t>
  </si>
  <si>
    <t>https://drive.google.com/open?id=1Jl8vcebyvtwzKxZfmqriCpXwXtFt4Czo</t>
  </si>
  <si>
    <t>shiraishi2612@gmail.com</t>
  </si>
  <si>
    <t>Đỗ Đình Hoàng - 20225445 - hoang.dd225445@sis.hust.edu.vn</t>
  </si>
  <si>
    <t>https://drive.google.com/open?id=1LXZbl4Yvn7mq9_IC5yUerfTK6B4uTLEN</t>
  </si>
  <si>
    <t>https://drive.google.com/open?id=1zmkTI-Zuc72rr6McxiIC5t8sNtEMvhwg</t>
  </si>
  <si>
    <t>Dương Đức Duy 20225828</t>
  </si>
  <si>
    <t>Lê Thị Hà Giang - 20224973 - gianglh4973@gmail.com
Trần Thị Minh Thu - 20224901 - thu.ttm224901@sis.hust.edu.vn
Nguyễn Quang Huy - 20225010 - huyquangnguyen38@gmail.com
Đặng Ngọc Quý - 20225074 - Quy160104@gmail.com
Lê Trung Kiên - 20225023 - lekien.2004nek@gmail.com
Hoàng Hà Sơn - 20220122 - son.hh220122@sis.hust.edu.vn
Nguyễn Mạnh Hùng - 20224859 - manhhungnguyen.zwh@gmail.com
Nguyễn Quốc Huy - 20225012 - huyphantom2004@gmail.com</t>
  </si>
  <si>
    <t>Nguyễn Đức Minh 20225885</t>
  </si>
  <si>
    <t>Ghép Thúy Hiền</t>
  </si>
  <si>
    <t>Vũ Đức Trung - 20220046 - trung.vd220046@sis.hust.edu.vn</t>
  </si>
  <si>
    <t>Vương Văn Đăng 20225800</t>
  </si>
  <si>
    <t>Lê Thị Hà Giang - 20224973 - gianglh4973@gmail.com</t>
  </si>
  <si>
    <t>Trần Thị Minh Thu - 20224901 - thu.ttm224901@sis.hust.edu.vn</t>
  </si>
  <si>
    <t>Phạm Đặng Mai Hương - 20225134 -mhmhuong04@gmail.com                                   
Trần Thị Hồng Thơm - 20225410 - hongthom02022004@gmail.com</t>
  </si>
  <si>
    <t>Nguyễn Quang Huy - 20225010 - huyquangnguyen38@gmail.com</t>
  </si>
  <si>
    <t>Đặng Ngọc Quý - 20225074 - Quy160104@gmail.com</t>
  </si>
  <si>
    <t>Lê Trung Kiên - 20225023 - lekien.2004nek@gmail.com</t>
  </si>
  <si>
    <t xml:space="preserve">Mạnh Xuân Thái-20225228-mxthai2303@gmail.com
Nguyễn Văn Hồng Quân-20225151 - nonamentt2212004@gmail.com
</t>
  </si>
  <si>
    <t>Hoàng Hà Sơn - 20220122 - son.hh220122@sis.hust.edu.vn</t>
  </si>
  <si>
    <t>Nguyễn Mạnh Hùng - 20224859 - manhhungnguyen.zwh@gmail.com</t>
  </si>
  <si>
    <t>Nguyễn Quốc Huy - 20225012 - huyphantom2004@gmail.com</t>
  </si>
  <si>
    <t>Đi kèm Nguyễn Thúy Hiền</t>
  </si>
  <si>
    <t xml:space="preserve">Nguyễn Nhật Huy - 20225335 - nhathuyxz2@gmail.com </t>
  </si>
  <si>
    <t>Lê Xuân Đại - 20225271 - lexuandaibn@gmail.com</t>
  </si>
  <si>
    <t>1. Phan Gia Đô - 20226026 - phangiado1107@gmail.com</t>
  </si>
  <si>
    <t>2. Nguyễn Công Đạt - 20226022 - ncongdat06@gmail.com</t>
  </si>
  <si>
    <t>3. Nguyễn Trung Hiếu - 20225971 - hieuhb4321@gmail.com</t>
  </si>
  <si>
    <t>4. Trần Gia Khánh - 20226048 - trangiakhanht@gmail.com</t>
  </si>
  <si>
    <t>5. Lê Văn Hậu - 20226038 - lehaulm007@gmail.com</t>
  </si>
  <si>
    <t>6. Phạm Duy Hoàng - 20226042 - duyhoangpham2610@gmail.com</t>
  </si>
  <si>
    <t xml:space="preserve">Phạm Đặng Mai Hương - 20225134 -mhmhuong04@gmail.com                                   </t>
  </si>
  <si>
    <t>Trần Thị Hồng Thơm - 20225410 - hongthom02022004@gmail.com</t>
  </si>
  <si>
    <t>Phạm Việt Hoàng - 20224854 - phamviethoanhlp@gmail.com</t>
  </si>
  <si>
    <t>Đoàn Mạnh Hùng - 20224995 - doanmanhhung042@gmail.com</t>
  </si>
  <si>
    <t>Võ Tá Tuấn -20224904 - tatuanpro123@gmail.com</t>
  </si>
  <si>
    <t>Bùi Đình Phẩm -20220039 - pham.bd220039@sis.hust.edu.vn</t>
  </si>
  <si>
    <t>Mạnh Xuân Thái-20225228-mxthai2303@gmail.com</t>
  </si>
  <si>
    <t>Nguyễn Văn Hồng Quân-20225151 - nonamentt2212004@gmail.com</t>
  </si>
  <si>
    <t xml:space="preserve">Nhữ Ngọc Minh – 20225046 - nhungocminh2004@gmail.com ; 
Nguyễn Công Phương - 20225069 - congphuongmd2004@gmail.com; 
Nguyễn Thế Anh-20224920-anhnguyenthe2911@gmail.com; 
Nguyễn Thế Anh-20224921-anhnta2004@gmail.com;
Phạm Văn Thanh - 20220042 - phamvanthanh.csp@gmail.com; 
Mai Đức Thịnh - 20220043 - maithinh.lhpnd@gmail.com; 
Lê Bá Minh Phúc - 20225065 - phucle435@gmail.com; 
Nguyễn Xuân Bình- 20224930- xuanbinhhd280204@gmail.com; 
Nguyễn Nam – 20220037 - nam7a3004@gmail.com; 
Trần Lê Dũng – 20224964 - tranledung2907@gmail.com
</t>
  </si>
  <si>
    <t>Bỏ</t>
  </si>
  <si>
    <t>Phạm Huy Sơn - 20225080 - huyson22092004@gmail.com
Lê Nhật Hoàng - 20224989 - lenhathoang2004@gmail.com
Trần Tuấn Hùng - 20225000 - tranhungtb14@gmail.com
Vương Văn Thành - 20225094 - vuongthanhsaovang@gmail.com
Đậu Quốc Duy - 20224971 - duy24.it.hust@gmail.com
Vũ Anh Huy - 20220029 - huy.va220029@sis.hust.edu.vn</t>
  </si>
  <si>
    <t>bỏ</t>
  </si>
  <si>
    <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</si>
</sst>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
    <numFmt numFmtId="165" formatCode="m/d/yyyy h:mm:ss"/>
  </numFmts>
  <fonts count="42">
    <font>
      <sz val="10.0"/>
      <color rgb="FF000000"/>
      <name val="Arial"/>
      <scheme val="minor"/>
    </font>
    <font>
      <color theme="1"/>
      <name val="Arial"/>
      <scheme val="minor"/>
    </font>
    <font>
      <b/>
      <color theme="1"/>
      <name val="Arial"/>
      <scheme val="minor"/>
    </font>
    <font/>
    <font>
      <b/>
      <sz val="26.0"/>
      <color theme="1"/>
      <name val="Arial"/>
      <scheme val="minor"/>
    </font>
    <font>
      <b/>
      <sz val="16.0"/>
      <color theme="1"/>
      <name val="Arial"/>
      <scheme val="minor"/>
    </font>
    <font>
      <b/>
      <sz val="13.0"/>
      <color theme="1"/>
      <name val="Arial"/>
      <scheme val="minor"/>
    </font>
    <font>
      <b/>
      <color rgb="FFFFFFFF"/>
      <name val="Arial"/>
      <scheme val="minor"/>
    </font>
    <font>
      <b/>
      <sz val="13.0"/>
      <color theme="1"/>
      <name val="Times New Roman"/>
    </font>
    <font>
      <b/>
      <sz val="13.0"/>
      <color rgb="FFFFFFFF"/>
      <name val="Times New Roman"/>
    </font>
    <font>
      <sz val="13.0"/>
      <color rgb="FF000000"/>
      <name val="Times New Roman"/>
    </font>
    <font>
      <color theme="1"/>
      <name val="Arial"/>
    </font>
    <font>
      <sz val="13.0"/>
      <color rgb="FF1F1F1F"/>
      <name val="Times New Roman"/>
    </font>
    <font>
      <color rgb="FF1F1F1F"/>
      <name val="&quot;Google Sans Mono&quot;"/>
    </font>
    <font>
      <sz val="13.0"/>
      <color theme="1"/>
      <name val="Times New Roman"/>
    </font>
    <font>
      <sz val="20.0"/>
      <color rgb="FF000000"/>
      <name val="Times New Roman"/>
    </font>
    <font>
      <sz val="11.0"/>
      <color rgb="FFE2E5E9"/>
      <name val="&quot;Segoe UI Historic&quot;"/>
    </font>
    <font>
      <u/>
      <color rgb="FF0000FF"/>
      <name val="Roboto"/>
    </font>
    <font>
      <u/>
      <color rgb="FF0000FF"/>
      <name val="Roboto"/>
    </font>
    <font>
      <u/>
      <color rgb="FF0000FF"/>
      <name val="Roboto"/>
    </font>
    <font>
      <u/>
      <color rgb="FF0000FF"/>
      <name val="Roboto"/>
    </font>
    <font>
      <u/>
      <color rgb="FF0000FF"/>
      <name val="Roboto"/>
    </font>
    <font>
      <u/>
      <color rgb="FF0000FF"/>
      <name val="Roboto"/>
    </font>
    <font>
      <u/>
      <color rgb="FF434343"/>
      <name val="Roboto"/>
    </font>
    <font>
      <u/>
      <color rgb="FF0000FF"/>
      <name val="Roboto"/>
    </font>
    <font>
      <u/>
      <color rgb="FF434343"/>
      <name val="Roboto"/>
    </font>
    <font>
      <u/>
      <color rgb="FF0000FF"/>
      <name val="Roboto"/>
    </font>
    <font>
      <color rgb="FF434343"/>
      <name val="Roboto"/>
    </font>
    <font>
      <u/>
      <color rgb="FF434343"/>
      <name val="Roboto"/>
    </font>
    <font>
      <u/>
      <color rgb="FF434343"/>
      <name val="Roboto"/>
    </font>
    <font>
      <u/>
      <color rgb="FF434343"/>
      <name val="Roboto"/>
    </font>
    <font>
      <u/>
      <color rgb="FF434343"/>
      <name val="Roboto"/>
    </font>
    <font>
      <u/>
      <color rgb="FF434343"/>
      <name val="Roboto"/>
    </font>
    <font>
      <u/>
      <color rgb="FF434343"/>
      <name val="Roboto"/>
    </font>
    <font>
      <u/>
      <color rgb="FF434343"/>
      <name val="Roboto"/>
    </font>
    <font>
      <u/>
      <color rgb="FF434343"/>
      <name val="Roboto"/>
    </font>
    <font>
      <u/>
      <color rgb="FF434343"/>
      <name val="Roboto"/>
    </font>
    <font>
      <u/>
      <color rgb="FF434343"/>
      <name val="Roboto"/>
    </font>
    <font>
      <u/>
      <color rgb="FF0000FF"/>
      <name val="Roboto"/>
    </font>
    <font>
      <u/>
      <color rgb="FF0000FF"/>
      <name val="Roboto"/>
    </font>
    <font>
      <u/>
      <color rgb="FF0000FF"/>
      <name val="Roboto"/>
    </font>
    <font>
      <u/>
      <color rgb="FF434343"/>
      <name val="Arial"/>
      <scheme val="minor"/>
    </font>
  </fonts>
  <fills count="20">
    <fill>
      <patternFill patternType="none"/>
    </fill>
    <fill>
      <patternFill patternType="lightGray"/>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CFE2F3"/>
        <bgColor rgb="FFCFE2F3"/>
      </patternFill>
    </fill>
    <fill>
      <patternFill patternType="solid">
        <fgColor rgb="FFFF9900"/>
        <bgColor rgb="FFFF9900"/>
      </patternFill>
    </fill>
    <fill>
      <patternFill patternType="solid">
        <fgColor rgb="FF1155CC"/>
        <bgColor rgb="FF1155CC"/>
      </patternFill>
    </fill>
    <fill>
      <patternFill patternType="solid">
        <fgColor rgb="FFFF0000"/>
        <bgColor rgb="FFFF0000"/>
      </patternFill>
    </fill>
    <fill>
      <patternFill patternType="solid">
        <fgColor rgb="FFFFFF00"/>
        <bgColor rgb="FFFFFF00"/>
      </patternFill>
    </fill>
    <fill>
      <patternFill patternType="solid">
        <fgColor rgb="FFFFFFFF"/>
        <bgColor rgb="FFFFFFFF"/>
      </patternFill>
    </fill>
    <fill>
      <patternFill patternType="solid">
        <fgColor rgb="FFE69138"/>
        <bgColor rgb="FFE69138"/>
      </patternFill>
    </fill>
    <fill>
      <patternFill patternType="solid">
        <fgColor rgb="FF073763"/>
        <bgColor rgb="FF073763"/>
      </patternFill>
    </fill>
    <fill>
      <patternFill patternType="solid">
        <fgColor rgb="FFFCE5CD"/>
        <bgColor rgb="FFFCE5CD"/>
      </patternFill>
    </fill>
    <fill>
      <patternFill patternType="solid">
        <fgColor rgb="FFF0F4F9"/>
        <bgColor rgb="FFF0F4F9"/>
      </patternFill>
    </fill>
    <fill>
      <patternFill patternType="solid">
        <fgColor rgb="FF303030"/>
        <bgColor rgb="FF303030"/>
      </patternFill>
    </fill>
    <fill>
      <patternFill patternType="solid">
        <fgColor rgb="FFA4C2F4"/>
        <bgColor rgb="FFA4C2F4"/>
      </patternFill>
    </fill>
    <fill>
      <patternFill patternType="solid">
        <fgColor rgb="FF93C47D"/>
        <bgColor rgb="FF93C47D"/>
      </patternFill>
    </fill>
    <fill>
      <patternFill patternType="solid">
        <fgColor rgb="FFFFD966"/>
        <bgColor rgb="FFFFD966"/>
      </patternFill>
    </fill>
    <fill>
      <patternFill patternType="solid">
        <fgColor rgb="FFF8F9FA"/>
        <bgColor rgb="FFF8F9FA"/>
      </patternFill>
    </fill>
  </fills>
  <borders count="57">
    <border/>
    <border>
      <left style="thin">
        <color rgb="FF000000"/>
      </left>
      <right style="thin">
        <color rgb="FFFFFFFF"/>
      </right>
      <top style="thin">
        <color rgb="FF000000"/>
      </top>
      <bottom style="thin">
        <color rgb="FFFFFFFF"/>
      </bottom>
    </border>
    <border>
      <left style="thin">
        <color rgb="FFFFFFFF"/>
      </left>
      <right style="thin">
        <color rgb="FFFFFFFF"/>
      </right>
      <top style="thin">
        <color rgb="FF000000"/>
      </top>
      <bottom style="thin">
        <color rgb="FFFFFFFF"/>
      </bottom>
    </border>
    <border>
      <left style="thin">
        <color rgb="FFFFFFFF"/>
      </left>
      <top style="thin">
        <color rgb="FF000000"/>
      </top>
      <bottom style="thin">
        <color rgb="FFFFFFFF"/>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top style="thin">
        <color rgb="FF000000"/>
      </top>
    </border>
    <border>
      <right style="thin">
        <color rgb="FFFFFFFF"/>
      </right>
      <top style="thin">
        <color rgb="FF000000"/>
      </top>
      <bottom style="thin">
        <color rgb="FFFFFFFF"/>
      </bottom>
    </border>
    <border>
      <left style="thin">
        <color rgb="FFFFFFFF"/>
      </left>
      <right style="thin">
        <color rgb="FF000000"/>
      </right>
      <top style="thin">
        <color rgb="FF000000"/>
      </top>
      <bottom style="thin">
        <color rgb="FFFFFFFF"/>
      </bottom>
    </border>
    <border>
      <left style="thin">
        <color rgb="FF000000"/>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left style="thin">
        <color rgb="FF000000"/>
      </left>
      <top style="thin">
        <color rgb="FF000000"/>
      </top>
    </border>
    <border>
      <right style="thin">
        <color rgb="FF000000"/>
      </right>
      <top style="thin">
        <color rgb="FF000000"/>
      </top>
    </border>
    <border>
      <right style="thin">
        <color rgb="FFFFFFFF"/>
      </right>
      <bottom style="thin">
        <color rgb="FFFFFFFF"/>
      </bottom>
    </border>
    <border>
      <left style="thin">
        <color rgb="FFFFFFFF"/>
      </left>
      <right style="thin">
        <color rgb="FF000000"/>
      </right>
      <top style="thin">
        <color rgb="FFFFFFFF"/>
      </top>
      <bottom style="thin">
        <color rgb="FFFFFFFF"/>
      </bottom>
    </border>
    <border>
      <left style="thin">
        <color rgb="FFFFFFFF"/>
      </left>
      <bottom style="thin">
        <color rgb="FFFFFFFF"/>
      </bottom>
    </border>
    <border>
      <left style="thin">
        <color rgb="FF000000"/>
      </left>
    </border>
    <border>
      <right style="thin">
        <color rgb="FF000000"/>
      </right>
    </border>
    <border>
      <right style="thin">
        <color rgb="FFFFFFFF"/>
      </right>
      <top style="thin">
        <color rgb="FFFFFFFF"/>
      </top>
      <bottom style="thin">
        <color rgb="FFFFFFFF"/>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rder>
    <border>
      <right style="thin">
        <color rgb="FFFFFFFF"/>
      </right>
    </border>
    <border>
      <left style="thin">
        <color rgb="FFFFFFFF"/>
      </left>
      <right style="thin">
        <color rgb="FF000000"/>
      </right>
      <top style="thin">
        <color rgb="FFFFFFFF"/>
      </top>
    </border>
    <border>
      <left style="thin">
        <color rgb="FF000000"/>
      </left>
      <right style="thin">
        <color rgb="FFFFFFFF"/>
      </right>
      <top style="thin">
        <color rgb="FFFFFFFF"/>
      </top>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FFFFFF"/>
      </left>
      <right style="thin">
        <color rgb="FF000000"/>
      </right>
      <bottom style="thin">
        <color rgb="FFFFFFFF"/>
      </bottom>
    </border>
    <border>
      <left style="thin">
        <color rgb="FF000000"/>
      </left>
      <right style="thin">
        <color rgb="FFFFFFFF"/>
      </right>
      <bottom style="thin">
        <color rgb="FFFFFFFF"/>
      </bottom>
    </border>
    <border>
      <bottom style="thin">
        <color rgb="FFFFFFFF"/>
      </bottom>
    </border>
    <border>
      <left style="thin">
        <color rgb="FFFFFFFF"/>
      </left>
      <right style="thin">
        <color rgb="FFFFFFFF"/>
      </right>
      <bottom style="thin">
        <color rgb="FFFFFFFF"/>
      </bottom>
    </border>
    <border>
      <left style="thin">
        <color rgb="FF000000"/>
      </left>
      <right style="thin">
        <color rgb="FFFFFFFF"/>
      </right>
      <top style="thin">
        <color rgb="FFFFFFFF"/>
      </top>
      <bottom style="thin">
        <color rgb="FF000000"/>
      </bottom>
    </border>
    <border>
      <left style="thin">
        <color rgb="FFFFFFFF"/>
      </left>
      <right style="thin">
        <color rgb="FFFFFFFF"/>
      </right>
      <top style="thin">
        <color rgb="FFFFFFFF"/>
      </top>
      <bottom style="thin">
        <color rgb="FF000000"/>
      </bottom>
    </border>
    <border>
      <left style="thin">
        <color rgb="FFFFFFFF"/>
      </left>
      <right style="thin">
        <color rgb="FF000000"/>
      </right>
      <top style="thin">
        <color rgb="FFFFFFFF"/>
      </top>
      <bottom style="thin">
        <color rgb="FF000000"/>
      </bottom>
    </border>
    <border>
      <left style="thin">
        <color rgb="FF442F65"/>
      </left>
      <right style="thin">
        <color rgb="FF93C47D"/>
      </right>
      <top style="thin">
        <color rgb="FF93C47D"/>
      </top>
      <bottom style="thin">
        <color rgb="FF93C47D"/>
      </bottom>
    </border>
    <border>
      <left style="thin">
        <color rgb="FF93C47D"/>
      </left>
      <right style="thin">
        <color rgb="FF93C47D"/>
      </right>
      <top style="thin">
        <color rgb="FF93C47D"/>
      </top>
      <bottom style="thin">
        <color rgb="FF93C47D"/>
      </bottom>
    </border>
    <border>
      <left style="thin">
        <color rgb="FF93C47D"/>
      </left>
      <right style="thin">
        <color rgb="FF442F65"/>
      </right>
      <top style="thin">
        <color rgb="FF93C47D"/>
      </top>
      <bottom style="thin">
        <color rgb="FF93C47D"/>
      </bottom>
    </border>
    <border>
      <left style="thin">
        <color rgb="FF442F65"/>
      </left>
      <right style="thin">
        <color rgb="FFFF0000"/>
      </right>
      <top style="thin">
        <color rgb="FFFF0000"/>
      </top>
      <bottom style="thin">
        <color rgb="FFFF0000"/>
      </bottom>
    </border>
    <border>
      <left style="thin">
        <color rgb="FFFF0000"/>
      </left>
      <right style="thin">
        <color rgb="FFFF0000"/>
      </right>
      <top style="thin">
        <color rgb="FFFF0000"/>
      </top>
      <bottom style="thin">
        <color rgb="FFFF0000"/>
      </bottom>
    </border>
    <border>
      <left style="thin">
        <color rgb="FFFF0000"/>
      </left>
      <right style="thin">
        <color rgb="FF442F65"/>
      </right>
      <top style="thin">
        <color rgb="FFFF0000"/>
      </top>
      <bottom style="thin">
        <color rgb="FFFF0000"/>
      </bottom>
    </border>
    <border>
      <left style="thin">
        <color rgb="FF442F65"/>
      </left>
      <right style="thin">
        <color rgb="FFFFFFFF"/>
      </right>
      <top style="thin">
        <color rgb="FFFFFFFF"/>
      </top>
      <bottom style="thin">
        <color rgb="FFFFFFFF"/>
      </bottom>
    </border>
    <border>
      <left style="thin">
        <color rgb="FFFFFFFF"/>
      </left>
      <right style="thin">
        <color rgb="FF442F65"/>
      </right>
      <top style="thin">
        <color rgb="FFFFFFFF"/>
      </top>
      <bottom style="thin">
        <color rgb="FFFFFFFF"/>
      </bottom>
    </border>
    <border>
      <left style="thin">
        <color rgb="FF442F65"/>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442F65"/>
      </right>
      <top style="thin">
        <color rgb="FFF8F9FA"/>
      </top>
      <bottom style="thin">
        <color rgb="FFF8F9FA"/>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
      <right style="thin">
        <color rgb="FF93C47D"/>
      </right>
      <top style="thin">
        <color rgb="FF93C47D"/>
      </top>
      <bottom style="thin">
        <color rgb="FF93C47D"/>
      </bottom>
    </border>
  </borders>
  <cellStyleXfs count="1">
    <xf borderId="0" fillId="0" fontId="0" numFmtId="0" applyAlignment="1" applyFont="1"/>
  </cellStyleXfs>
  <cellXfs count="364">
    <xf borderId="0" fillId="0" fontId="0" numFmtId="0" xfId="0" applyAlignment="1" applyFont="1">
      <alignment readingOrder="0" shrinkToFit="0" vertical="bottom" wrapText="0"/>
    </xf>
    <xf borderId="0" fillId="0" fontId="1" numFmtId="0" xfId="0" applyAlignment="1" applyFont="1">
      <alignment horizontal="center" vertical="center"/>
    </xf>
    <xf borderId="1" fillId="0" fontId="1" numFmtId="0" xfId="0" applyAlignment="1" applyBorder="1" applyFont="1">
      <alignment horizontal="center" vertical="center"/>
    </xf>
    <xf borderId="2" fillId="0" fontId="1" numFmtId="0" xfId="0" applyAlignment="1" applyBorder="1" applyFont="1">
      <alignment horizontal="center" vertical="center"/>
    </xf>
    <xf borderId="3" fillId="0" fontId="1" numFmtId="0" xfId="0" applyAlignment="1" applyBorder="1" applyFont="1">
      <alignment horizontal="center" vertical="center"/>
    </xf>
    <xf borderId="4" fillId="0" fontId="2" numFmtId="0" xfId="0" applyAlignment="1" applyBorder="1" applyFont="1">
      <alignment horizontal="center" readingOrder="0" vertical="center"/>
    </xf>
    <xf borderId="5" fillId="2" fontId="2" numFmtId="0" xfId="0" applyAlignment="1" applyBorder="1" applyFill="1" applyFont="1">
      <alignment horizontal="center" readingOrder="0" vertical="center"/>
    </xf>
    <xf borderId="6" fillId="0" fontId="3" numFmtId="0" xfId="0" applyBorder="1" applyFont="1"/>
    <xf borderId="7" fillId="0" fontId="3" numFmtId="0" xfId="0" applyBorder="1" applyFont="1"/>
    <xf borderId="8" fillId="0" fontId="2" numFmtId="0" xfId="0" applyAlignment="1" applyBorder="1" applyFont="1">
      <alignment horizontal="center" vertical="center"/>
    </xf>
    <xf borderId="4" fillId="3" fontId="2" numFmtId="0" xfId="0" applyAlignment="1" applyBorder="1" applyFill="1" applyFont="1">
      <alignment horizontal="center" readingOrder="0" vertical="center"/>
    </xf>
    <xf borderId="9" fillId="0" fontId="1" numFmtId="0" xfId="0" applyAlignment="1" applyBorder="1" applyFont="1">
      <alignment horizontal="center" vertical="center"/>
    </xf>
    <xf borderId="10" fillId="0" fontId="1" numFmtId="0" xfId="0" applyAlignment="1" applyBorder="1" applyFont="1">
      <alignment horizontal="center" vertical="center"/>
    </xf>
    <xf borderId="11" fillId="0" fontId="1" numFmtId="0" xfId="0" applyAlignment="1" applyBorder="1" applyFont="1">
      <alignment horizontal="center" vertical="center"/>
    </xf>
    <xf borderId="12" fillId="0" fontId="1" numFmtId="0" xfId="0" applyAlignment="1" applyBorder="1" applyFont="1">
      <alignment horizontal="center" vertical="center"/>
    </xf>
    <xf borderId="13" fillId="0" fontId="1" numFmtId="0" xfId="0" applyAlignment="1" applyBorder="1" applyFont="1">
      <alignment horizontal="center" vertical="center"/>
    </xf>
    <xf borderId="4" fillId="2" fontId="2" numFmtId="0" xfId="0" applyAlignment="1" applyBorder="1" applyFont="1">
      <alignment horizontal="center" readingOrder="0" vertical="center"/>
    </xf>
    <xf borderId="14" fillId="0" fontId="4" numFmtId="0" xfId="0" applyAlignment="1" applyBorder="1" applyFont="1">
      <alignment horizontal="center" readingOrder="0" vertical="center"/>
    </xf>
    <xf borderId="8" fillId="0" fontId="3" numFmtId="0" xfId="0" applyBorder="1" applyFont="1"/>
    <xf borderId="15" fillId="0" fontId="3" numFmtId="0" xfId="0" applyBorder="1" applyFont="1"/>
    <xf borderId="16" fillId="0" fontId="1" numFmtId="0" xfId="0" applyAlignment="1" applyBorder="1" applyFont="1">
      <alignment horizontal="center" vertical="center"/>
    </xf>
    <xf borderId="17" fillId="0" fontId="1" numFmtId="0" xfId="0" applyAlignment="1" applyBorder="1" applyFont="1">
      <alignment horizontal="center" vertical="center"/>
    </xf>
    <xf borderId="0" fillId="0" fontId="5" numFmtId="0" xfId="0" applyAlignment="1" applyFont="1">
      <alignment horizontal="center" readingOrder="0" vertical="center"/>
    </xf>
    <xf borderId="18" fillId="0" fontId="2" numFmtId="0" xfId="0" applyAlignment="1" applyBorder="1" applyFont="1">
      <alignment horizontal="center" vertical="center"/>
    </xf>
    <xf borderId="19" fillId="0" fontId="3" numFmtId="0" xfId="0" applyBorder="1" applyFont="1"/>
    <xf borderId="20" fillId="0" fontId="3" numFmtId="0" xfId="0" applyBorder="1" applyFont="1"/>
    <xf borderId="16" fillId="0" fontId="2" numFmtId="0" xfId="0" applyAlignment="1" applyBorder="1" applyFont="1">
      <alignment horizontal="center" vertical="center"/>
    </xf>
    <xf borderId="4" fillId="3" fontId="1" numFmtId="0" xfId="0" applyAlignment="1" applyBorder="1" applyFont="1">
      <alignment horizontal="center" vertical="center"/>
    </xf>
    <xf borderId="13" fillId="0" fontId="2" numFmtId="0" xfId="0" applyAlignment="1" applyBorder="1" applyFont="1">
      <alignment horizontal="center" vertical="center"/>
    </xf>
    <xf borderId="21" fillId="0" fontId="2" numFmtId="0" xfId="0" applyAlignment="1" applyBorder="1" applyFont="1">
      <alignment horizontal="center" vertical="center"/>
    </xf>
    <xf borderId="4" fillId="4" fontId="1" numFmtId="0" xfId="0" applyAlignment="1" applyBorder="1" applyFill="1" applyFont="1">
      <alignment horizontal="center" vertical="center"/>
    </xf>
    <xf borderId="4" fillId="0" fontId="1" numFmtId="0" xfId="0" applyAlignment="1" applyBorder="1" applyFont="1">
      <alignment horizontal="center" vertical="center"/>
    </xf>
    <xf borderId="22" fillId="0" fontId="3" numFmtId="0" xfId="0" applyBorder="1" applyFont="1"/>
    <xf borderId="23" fillId="0" fontId="3" numFmtId="0" xfId="0" applyBorder="1" applyFont="1"/>
    <xf borderId="24" fillId="0" fontId="3" numFmtId="0" xfId="0" applyBorder="1" applyFont="1"/>
    <xf borderId="18" fillId="0" fontId="1" numFmtId="0" xfId="0" applyAlignment="1" applyBorder="1" applyFont="1">
      <alignment horizontal="center" vertical="center"/>
    </xf>
    <xf borderId="14" fillId="0" fontId="1" numFmtId="0" xfId="0" applyAlignment="1" applyBorder="1" applyFont="1">
      <alignment horizontal="center" vertical="center"/>
    </xf>
    <xf borderId="21" fillId="0" fontId="1" numFmtId="0" xfId="0" applyAlignment="1" applyBorder="1" applyFont="1">
      <alignment horizontal="center" vertical="center"/>
    </xf>
    <xf borderId="0" fillId="0" fontId="2" numFmtId="0" xfId="0" applyAlignment="1" applyFont="1">
      <alignment horizontal="center" readingOrder="0" vertical="center"/>
    </xf>
    <xf borderId="25" fillId="0" fontId="1" numFmtId="0" xfId="0" applyAlignment="1" applyBorder="1" applyFont="1">
      <alignment horizontal="center" vertical="center"/>
    </xf>
    <xf borderId="26" fillId="0" fontId="3" numFmtId="0" xfId="0" applyBorder="1" applyFont="1"/>
    <xf borderId="27" fillId="0" fontId="3" numFmtId="0" xfId="0" applyBorder="1" applyFont="1"/>
    <xf borderId="26" fillId="0" fontId="1" numFmtId="0" xfId="0" applyAlignment="1" applyBorder="1" applyFont="1">
      <alignment horizontal="center" vertical="center"/>
    </xf>
    <xf borderId="28" fillId="0" fontId="3" numFmtId="0" xfId="0" applyBorder="1" applyFont="1"/>
    <xf borderId="29" fillId="0" fontId="3" numFmtId="0" xfId="0" applyBorder="1" applyFont="1"/>
    <xf borderId="30" fillId="0" fontId="1" numFmtId="0" xfId="0" applyAlignment="1" applyBorder="1" applyFont="1">
      <alignment horizontal="center" vertical="center"/>
    </xf>
    <xf borderId="31" fillId="0" fontId="1" numFmtId="0" xfId="0" applyAlignment="1" applyBorder="1" applyFont="1">
      <alignment horizontal="center" vertical="center"/>
    </xf>
    <xf borderId="32" fillId="3" fontId="2" numFmtId="0" xfId="0" applyAlignment="1" applyBorder="1" applyFont="1">
      <alignment horizontal="center" readingOrder="0" vertical="center"/>
    </xf>
    <xf borderId="32" fillId="0" fontId="6" numFmtId="0" xfId="0" applyAlignment="1" applyBorder="1" applyFont="1">
      <alignment horizontal="center" readingOrder="0" shrinkToFit="0" vertical="center" wrapText="1"/>
    </xf>
    <xf borderId="33" fillId="0" fontId="3" numFmtId="0" xfId="0" applyBorder="1" applyFont="1"/>
    <xf borderId="0" fillId="0" fontId="1" numFmtId="0" xfId="0" applyAlignment="1" applyFont="1">
      <alignment horizontal="center" readingOrder="0" vertical="center"/>
    </xf>
    <xf borderId="0" fillId="0" fontId="1" numFmtId="164" xfId="0" applyAlignment="1" applyFont="1" applyNumberFormat="1">
      <alignment horizontal="center" readingOrder="0" vertical="center"/>
    </xf>
    <xf borderId="34" fillId="0" fontId="3" numFmtId="0" xfId="0" applyBorder="1" applyFont="1"/>
    <xf borderId="35" fillId="0" fontId="1" numFmtId="0" xfId="0" applyAlignment="1" applyBorder="1" applyFont="1">
      <alignment horizontal="center" vertical="center"/>
    </xf>
    <xf borderId="36" fillId="0" fontId="1" numFmtId="0" xfId="0" applyAlignment="1" applyBorder="1" applyFont="1">
      <alignment horizontal="center" vertical="center"/>
    </xf>
    <xf borderId="18" fillId="0" fontId="3" numFmtId="0" xfId="0" applyBorder="1" applyFont="1"/>
    <xf borderId="37" fillId="0" fontId="3" numFmtId="0" xfId="0" applyBorder="1" applyFont="1"/>
    <xf borderId="16" fillId="0" fontId="3" numFmtId="0" xfId="0" applyBorder="1" applyFont="1"/>
    <xf borderId="14" fillId="5" fontId="5" numFmtId="0" xfId="0" applyAlignment="1" applyBorder="1" applyFill="1" applyFont="1">
      <alignment horizontal="center" readingOrder="0" vertical="center"/>
    </xf>
    <xf borderId="32" fillId="6" fontId="2" numFmtId="0" xfId="0" applyAlignment="1" applyBorder="1" applyFill="1" applyFont="1">
      <alignment horizontal="center" readingOrder="0" vertical="center"/>
    </xf>
    <xf borderId="38" fillId="0" fontId="1" numFmtId="0" xfId="0" applyAlignment="1" applyBorder="1" applyFont="1">
      <alignment horizontal="center" vertical="center"/>
    </xf>
    <xf borderId="39" fillId="0" fontId="1" numFmtId="0" xfId="0" applyAlignment="1" applyBorder="1" applyFont="1">
      <alignment horizontal="center" vertical="center"/>
    </xf>
    <xf borderId="40" fillId="0" fontId="1" numFmtId="0" xfId="0" applyAlignment="1" applyBorder="1" applyFont="1">
      <alignment horizontal="center" vertical="center"/>
    </xf>
    <xf borderId="5" fillId="5" fontId="5" numFmtId="0" xfId="0" applyAlignment="1" applyBorder="1" applyFont="1">
      <alignment horizontal="center" readingOrder="0" vertical="center"/>
    </xf>
    <xf borderId="41" fillId="0" fontId="1" numFmtId="0" xfId="0" applyAlignment="1" applyBorder="1" applyFont="1">
      <alignment horizontal="center" vertical="center"/>
    </xf>
    <xf borderId="14" fillId="7" fontId="7" numFmtId="0" xfId="0" applyAlignment="1" applyBorder="1" applyFill="1" applyFont="1">
      <alignment horizontal="center" readingOrder="0" vertical="center"/>
    </xf>
    <xf borderId="8" fillId="7" fontId="7" numFmtId="0" xfId="0" applyAlignment="1" applyBorder="1" applyFont="1">
      <alignment horizontal="center" readingOrder="0" vertical="center"/>
    </xf>
    <xf borderId="8" fillId="7" fontId="7" numFmtId="49" xfId="0" applyAlignment="1" applyBorder="1" applyFont="1" applyNumberFormat="1">
      <alignment horizontal="center" readingOrder="0" vertical="center"/>
    </xf>
    <xf borderId="15" fillId="7" fontId="7" numFmtId="0" xfId="0" applyAlignment="1" applyBorder="1" applyFont="1">
      <alignment horizontal="center" readingOrder="0" vertical="center"/>
    </xf>
    <xf borderId="32" fillId="0" fontId="1" numFmtId="0" xfId="0" applyAlignment="1" applyBorder="1" applyFont="1">
      <alignment horizontal="center" readingOrder="0" vertical="center"/>
    </xf>
    <xf borderId="4" fillId="0" fontId="1" numFmtId="0" xfId="0" applyAlignment="1" applyBorder="1" applyFont="1">
      <alignment horizontal="left" vertical="center"/>
    </xf>
    <xf borderId="32" fillId="0" fontId="1" numFmtId="0" xfId="0" applyAlignment="1" applyBorder="1" applyFont="1">
      <alignment horizontal="center" vertical="center"/>
    </xf>
    <xf borderId="4" fillId="0" fontId="1" numFmtId="0" xfId="0" applyAlignment="1" applyBorder="1" applyFont="1">
      <alignment horizontal="left" readingOrder="0" vertical="center"/>
    </xf>
    <xf borderId="4" fillId="0" fontId="1" numFmtId="0" xfId="0" applyAlignment="1" applyBorder="1" applyFont="1">
      <alignment horizontal="center" readingOrder="0" vertical="center"/>
    </xf>
    <xf borderId="4" fillId="8" fontId="1" numFmtId="0" xfId="0" applyAlignment="1" applyBorder="1" applyFill="1" applyFont="1">
      <alignment horizontal="left" vertical="center"/>
    </xf>
    <xf borderId="4" fillId="8" fontId="1" numFmtId="0" xfId="0" applyAlignment="1" applyBorder="1" applyFont="1">
      <alignment horizontal="center" vertical="center"/>
    </xf>
    <xf borderId="4" fillId="0" fontId="1" numFmtId="0" xfId="0" applyAlignment="1" applyBorder="1" applyFont="1">
      <alignment horizontal="center" readingOrder="0" shrinkToFit="0" vertical="center" wrapText="1"/>
    </xf>
    <xf borderId="32" fillId="3" fontId="1" numFmtId="0" xfId="0" applyAlignment="1" applyBorder="1" applyFont="1">
      <alignment horizontal="center" readingOrder="0" vertical="center"/>
    </xf>
    <xf borderId="4" fillId="3" fontId="1" numFmtId="0" xfId="0" applyAlignment="1" applyBorder="1" applyFont="1">
      <alignment horizontal="left" vertical="center"/>
    </xf>
    <xf borderId="4" fillId="3" fontId="1" numFmtId="49" xfId="0" applyAlignment="1" applyBorder="1" applyFont="1" applyNumberFormat="1">
      <alignment horizontal="center" readingOrder="0" vertical="center"/>
    </xf>
    <xf borderId="4" fillId="3" fontId="1" numFmtId="0" xfId="0" applyAlignment="1" applyBorder="1" applyFont="1">
      <alignment horizontal="center" readingOrder="0" vertical="center"/>
    </xf>
    <xf borderId="4" fillId="3" fontId="1" numFmtId="0" xfId="0" applyAlignment="1" applyBorder="1" applyFont="1">
      <alignment horizontal="left" readingOrder="0" vertical="center"/>
    </xf>
    <xf borderId="0" fillId="0" fontId="1" numFmtId="0" xfId="0" applyAlignment="1" applyFont="1">
      <alignment horizontal="center" shrinkToFit="0" vertical="center" wrapText="0"/>
    </xf>
    <xf borderId="0" fillId="0" fontId="1" numFmtId="0" xfId="0" applyAlignment="1" applyFont="1">
      <alignment horizontal="left" vertical="center"/>
    </xf>
    <xf borderId="4" fillId="9" fontId="1" numFmtId="0" xfId="0" applyAlignment="1" applyBorder="1" applyFill="1" applyFont="1">
      <alignment horizontal="left" vertical="center"/>
    </xf>
    <xf borderId="4" fillId="9" fontId="1" numFmtId="0" xfId="0" applyAlignment="1" applyBorder="1" applyFont="1">
      <alignment horizontal="center" vertical="center"/>
    </xf>
    <xf borderId="4" fillId="0" fontId="1" numFmtId="49" xfId="0" applyAlignment="1" applyBorder="1" applyFont="1" applyNumberFormat="1">
      <alignment horizontal="center" readingOrder="0" vertical="center"/>
    </xf>
    <xf borderId="4" fillId="10" fontId="1" numFmtId="0" xfId="0" applyAlignment="1" applyBorder="1" applyFill="1" applyFont="1">
      <alignment horizontal="left" vertical="center"/>
    </xf>
    <xf borderId="4" fillId="10" fontId="1" numFmtId="0" xfId="0" applyAlignment="1" applyBorder="1" applyFont="1">
      <alignment horizontal="center" vertical="center"/>
    </xf>
    <xf borderId="4" fillId="0" fontId="1" numFmtId="49" xfId="0" applyAlignment="1" applyBorder="1" applyFont="1" applyNumberFormat="1">
      <alignment horizontal="center" vertical="center"/>
    </xf>
    <xf borderId="4" fillId="3" fontId="1" numFmtId="49" xfId="0" applyAlignment="1" applyBorder="1" applyFont="1" applyNumberFormat="1">
      <alignment horizontal="center" vertical="center"/>
    </xf>
    <xf borderId="0" fillId="0" fontId="1" numFmtId="49" xfId="0" applyAlignment="1" applyFont="1" applyNumberFormat="1">
      <alignment horizontal="center" vertical="center"/>
    </xf>
    <xf borderId="0" fillId="11" fontId="8" numFmtId="49" xfId="0" applyAlignment="1" applyFill="1" applyFont="1" applyNumberFormat="1">
      <alignment horizontal="center" readingOrder="0" shrinkToFit="0" vertical="center" wrapText="1"/>
    </xf>
    <xf borderId="0" fillId="11" fontId="8" numFmtId="0" xfId="0" applyAlignment="1" applyFont="1">
      <alignment horizontal="center" readingOrder="0" shrinkToFit="0" vertical="center" wrapText="1"/>
    </xf>
    <xf borderId="0" fillId="12" fontId="9" numFmtId="0" xfId="0" applyAlignment="1" applyFill="1" applyFont="1">
      <alignment horizontal="center" readingOrder="0" shrinkToFit="0" vertical="center" wrapText="1"/>
    </xf>
    <xf borderId="0" fillId="10" fontId="8" numFmtId="0" xfId="0" applyAlignment="1" applyFont="1">
      <alignment horizontal="center" readingOrder="0" shrinkToFit="0" vertical="center" wrapText="1"/>
    </xf>
    <xf borderId="0" fillId="13" fontId="10" numFmtId="49" xfId="0" applyAlignment="1" applyFill="1" applyFont="1" applyNumberFormat="1">
      <alignment horizontal="center" readingOrder="0" shrinkToFit="0" vertical="center" wrapText="1"/>
    </xf>
    <xf borderId="0" fillId="13" fontId="10" numFmtId="0" xfId="0" applyAlignment="1" applyFont="1">
      <alignment horizontal="center" readingOrder="0" shrinkToFit="0" vertical="center" wrapText="1"/>
    </xf>
    <xf borderId="0" fillId="0" fontId="10" numFmtId="0" xfId="0" applyAlignment="1" applyFont="1">
      <alignment horizontal="center" readingOrder="0" shrinkToFit="0" vertical="center" wrapText="1"/>
    </xf>
    <xf borderId="0" fillId="5" fontId="11" numFmtId="0" xfId="0" applyFont="1"/>
    <xf borderId="0" fillId="5" fontId="12" numFmtId="0" xfId="0" applyAlignment="1" applyFont="1">
      <alignment horizontal="center" vertical="bottom"/>
    </xf>
    <xf borderId="0" fillId="5" fontId="12" numFmtId="0" xfId="0" applyAlignment="1" applyFont="1">
      <alignment horizontal="center" shrinkToFit="0" vertical="bottom" wrapText="0"/>
    </xf>
    <xf borderId="0" fillId="5" fontId="10" numFmtId="0" xfId="0" applyAlignment="1" applyFont="1">
      <alignment horizontal="center" readingOrder="0" shrinkToFit="0" vertical="center" wrapText="1"/>
    </xf>
    <xf borderId="0" fillId="5" fontId="12" numFmtId="0" xfId="0" applyAlignment="1" applyFont="1">
      <alignment horizontal="center" readingOrder="0" vertical="center"/>
    </xf>
    <xf borderId="0" fillId="5" fontId="12" numFmtId="0" xfId="0" applyAlignment="1" applyFont="1">
      <alignment horizontal="center" shrinkToFit="0" vertical="center" wrapText="0"/>
    </xf>
    <xf borderId="0" fillId="14" fontId="13" numFmtId="0" xfId="0" applyAlignment="1" applyFill="1" applyFont="1">
      <alignment horizontal="center" shrinkToFit="0" vertical="center" wrapText="0"/>
    </xf>
    <xf borderId="0" fillId="0" fontId="10" numFmtId="0" xfId="0" applyAlignment="1" applyFont="1">
      <alignment horizontal="center" readingOrder="0" shrinkToFit="0" vertical="center" wrapText="0"/>
    </xf>
    <xf borderId="0" fillId="5" fontId="14" numFmtId="0" xfId="0" applyAlignment="1" applyFont="1">
      <alignment horizontal="center" shrinkToFit="0" vertical="bottom" wrapText="0"/>
    </xf>
    <xf borderId="0" fillId="5" fontId="12" numFmtId="0" xfId="0" applyAlignment="1" applyFont="1">
      <alignment horizontal="center"/>
    </xf>
    <xf borderId="0" fillId="5" fontId="12" numFmtId="0" xfId="0" applyAlignment="1" applyFont="1">
      <alignment horizontal="center" shrinkToFit="0" wrapText="0"/>
    </xf>
    <xf borderId="0" fillId="5" fontId="14" numFmtId="0" xfId="0" applyAlignment="1" applyFont="1">
      <alignment horizontal="center" shrinkToFit="0" wrapText="0"/>
    </xf>
    <xf borderId="0" fillId="0" fontId="15" numFmtId="0" xfId="0" applyAlignment="1" applyFont="1">
      <alignment horizontal="center" readingOrder="0" shrinkToFit="0" vertical="center" wrapText="1"/>
    </xf>
    <xf borderId="0" fillId="5" fontId="10" numFmtId="0" xfId="0" applyAlignment="1" applyFont="1">
      <alignment horizontal="center" readingOrder="0" shrinkToFit="0" vertical="center" wrapText="0"/>
    </xf>
    <xf borderId="0" fillId="14" fontId="13" numFmtId="0" xfId="0" applyAlignment="1" applyFont="1">
      <alignment horizontal="center" readingOrder="0" shrinkToFit="0" vertical="center" wrapText="0"/>
    </xf>
    <xf borderId="0" fillId="0" fontId="1" numFmtId="0" xfId="0" applyAlignment="1" applyFont="1">
      <alignment readingOrder="0"/>
    </xf>
    <xf borderId="0" fillId="15" fontId="16" numFmtId="0" xfId="0" applyAlignment="1" applyFill="1" applyFont="1">
      <alignment readingOrder="0"/>
    </xf>
    <xf borderId="0" fillId="13" fontId="10" numFmtId="49" xfId="0" applyAlignment="1" applyFont="1" applyNumberFormat="1">
      <alignment horizontal="center" shrinkToFit="0" vertical="center" wrapText="1"/>
    </xf>
    <xf borderId="0" fillId="13" fontId="10" numFmtId="0" xfId="0" applyAlignment="1" applyFont="1">
      <alignment horizontal="center" shrinkToFit="0" vertical="center" wrapText="1"/>
    </xf>
    <xf borderId="0" fillId="13" fontId="14" numFmtId="49" xfId="0" applyAlignment="1" applyFont="1" applyNumberFormat="1">
      <alignment horizontal="center" shrinkToFit="0" wrapText="1"/>
    </xf>
    <xf borderId="0" fillId="13" fontId="10" numFmtId="0" xfId="0" applyAlignment="1" applyFont="1">
      <alignment horizontal="center" shrinkToFit="0" vertical="center" wrapText="1"/>
    </xf>
    <xf borderId="4" fillId="0" fontId="1" numFmtId="0" xfId="0" applyAlignment="1" applyBorder="1" applyFont="1">
      <alignment horizontal="left" readingOrder="0" shrinkToFit="0" vertical="center" wrapText="0"/>
    </xf>
    <xf borderId="4" fillId="0" fontId="1" numFmtId="49" xfId="0" applyAlignment="1" applyBorder="1" applyFont="1" applyNumberFormat="1">
      <alignment horizontal="left" readingOrder="0" shrinkToFit="0" vertical="center" wrapText="0"/>
    </xf>
    <xf borderId="4" fillId="0" fontId="1" numFmtId="0" xfId="0" applyAlignment="1" applyBorder="1" applyFont="1">
      <alignment horizontal="left" readingOrder="0" shrinkToFit="0" vertical="center" wrapText="0"/>
    </xf>
    <xf borderId="4" fillId="0" fontId="1" numFmtId="49" xfId="0" applyAlignment="1" applyBorder="1" applyFont="1" applyNumberFormat="1">
      <alignment horizontal="left" readingOrder="0" shrinkToFit="0" vertical="center" wrapText="0"/>
    </xf>
    <xf borderId="4" fillId="0" fontId="1" numFmtId="0" xfId="0" applyAlignment="1" applyBorder="1" applyFont="1">
      <alignment horizontal="left" readingOrder="0" shrinkToFit="0" vertical="center" wrapText="0"/>
    </xf>
    <xf borderId="4" fillId="0" fontId="1" numFmtId="0" xfId="0" applyBorder="1" applyFont="1"/>
    <xf borderId="4" fillId="16" fontId="1" numFmtId="165" xfId="0" applyAlignment="1" applyBorder="1" applyFill="1" applyFont="1" applyNumberFormat="1">
      <alignment readingOrder="0" shrinkToFit="0" vertical="center" wrapText="0"/>
    </xf>
    <xf borderId="4" fillId="16" fontId="1" numFmtId="0" xfId="0" applyAlignment="1" applyBorder="1" applyFont="1">
      <alignment readingOrder="0" shrinkToFit="0" vertical="center" wrapText="0"/>
    </xf>
    <xf borderId="4" fillId="16" fontId="1" numFmtId="49" xfId="0" applyAlignment="1" applyBorder="1" applyFont="1" applyNumberFormat="1">
      <alignment shrinkToFit="0" vertical="center" wrapText="0"/>
    </xf>
    <xf borderId="4" fillId="16" fontId="1" numFmtId="0" xfId="0" applyAlignment="1" applyBorder="1" applyFont="1">
      <alignment shrinkToFit="0" vertical="center" wrapText="0"/>
    </xf>
    <xf quotePrefix="1" borderId="4" fillId="16" fontId="1" numFmtId="0" xfId="0" applyAlignment="1" applyBorder="1" applyFont="1">
      <alignment readingOrder="0" shrinkToFit="0" vertical="center" wrapText="0"/>
    </xf>
    <xf borderId="4" fillId="16" fontId="17" numFmtId="0" xfId="0" applyAlignment="1" applyBorder="1" applyFont="1">
      <alignment readingOrder="0" shrinkToFit="0" vertical="center" wrapText="0"/>
    </xf>
    <xf borderId="4" fillId="16" fontId="1" numFmtId="0" xfId="0" applyAlignment="1" applyBorder="1" applyFont="1">
      <alignment readingOrder="0" shrinkToFit="0" vertical="center" wrapText="0"/>
    </xf>
    <xf borderId="4" fillId="16" fontId="1" numFmtId="0" xfId="0" applyAlignment="1" applyBorder="1" applyFont="1">
      <alignment horizontal="center" readingOrder="0" shrinkToFit="0" vertical="center" wrapText="0"/>
    </xf>
    <xf borderId="4" fillId="16" fontId="1" numFmtId="0" xfId="0" applyAlignment="1" applyBorder="1" applyFont="1">
      <alignment shrinkToFit="0" vertical="center" wrapText="0"/>
    </xf>
    <xf borderId="4" fillId="17" fontId="1" numFmtId="0" xfId="0" applyBorder="1" applyFill="1" applyFont="1"/>
    <xf borderId="4" fillId="8" fontId="1" numFmtId="165" xfId="0" applyAlignment="1" applyBorder="1" applyFont="1" applyNumberFormat="1">
      <alignment readingOrder="0" shrinkToFit="0" vertical="center" wrapText="0"/>
    </xf>
    <xf borderId="4" fillId="17" fontId="1" numFmtId="0" xfId="0" applyAlignment="1" applyBorder="1" applyFont="1">
      <alignment readingOrder="0" shrinkToFit="0" vertical="center" wrapText="0"/>
    </xf>
    <xf borderId="4" fillId="17" fontId="1" numFmtId="0" xfId="0" applyAlignment="1" applyBorder="1" applyFont="1">
      <alignment shrinkToFit="0" vertical="center" wrapText="0"/>
    </xf>
    <xf borderId="4" fillId="17" fontId="1" numFmtId="49" xfId="0" applyAlignment="1" applyBorder="1" applyFont="1" applyNumberFormat="1">
      <alignment shrinkToFit="0" vertical="center" wrapText="0"/>
    </xf>
    <xf quotePrefix="1" borderId="4" fillId="17" fontId="1" numFmtId="0" xfId="0" applyAlignment="1" applyBorder="1" applyFont="1">
      <alignment readingOrder="0" shrinkToFit="0" vertical="center" wrapText="0"/>
    </xf>
    <xf borderId="4" fillId="17" fontId="18" numFmtId="0" xfId="0" applyAlignment="1" applyBorder="1" applyFont="1">
      <alignment readingOrder="0" shrinkToFit="0" vertical="center" wrapText="0"/>
    </xf>
    <xf borderId="4" fillId="17" fontId="1" numFmtId="0" xfId="0" applyAlignment="1" applyBorder="1" applyFont="1">
      <alignment readingOrder="0" shrinkToFit="0" vertical="center" wrapText="0"/>
    </xf>
    <xf borderId="4" fillId="17" fontId="1" numFmtId="0" xfId="0" applyAlignment="1" applyBorder="1" applyFont="1">
      <alignment readingOrder="0" shrinkToFit="0" vertical="center" wrapText="0"/>
    </xf>
    <xf borderId="4" fillId="17" fontId="1" numFmtId="0" xfId="0" applyAlignment="1" applyBorder="1" applyFont="1">
      <alignment horizontal="center" readingOrder="0" shrinkToFit="0" vertical="center" wrapText="0"/>
    </xf>
    <xf borderId="4" fillId="17" fontId="1" numFmtId="0" xfId="0" applyAlignment="1" applyBorder="1" applyFont="1">
      <alignment readingOrder="0" shrinkToFit="0" vertical="center" wrapText="0"/>
    </xf>
    <xf borderId="4" fillId="17" fontId="1" numFmtId="0" xfId="0" applyAlignment="1" applyBorder="1" applyFont="1">
      <alignment readingOrder="0" shrinkToFit="0" vertical="center" wrapText="0"/>
    </xf>
    <xf borderId="4" fillId="17" fontId="1" numFmtId="0" xfId="0" applyAlignment="1" applyBorder="1" applyFont="1">
      <alignment shrinkToFit="0" vertical="center" wrapText="0"/>
    </xf>
    <xf borderId="4" fillId="17" fontId="1" numFmtId="0" xfId="0" applyAlignment="1" applyBorder="1" applyFont="1">
      <alignment shrinkToFit="0" vertical="center" wrapText="0"/>
    </xf>
    <xf borderId="4" fillId="4" fontId="1" numFmtId="165" xfId="0" applyAlignment="1" applyBorder="1" applyFont="1" applyNumberFormat="1">
      <alignment readingOrder="0" shrinkToFit="0" vertical="center" wrapText="0"/>
    </xf>
    <xf borderId="4" fillId="4" fontId="1" numFmtId="0" xfId="0" applyAlignment="1" applyBorder="1" applyFont="1">
      <alignment readingOrder="0" shrinkToFit="0" vertical="center" wrapText="0"/>
    </xf>
    <xf borderId="4" fillId="4" fontId="1" numFmtId="0" xfId="0" applyAlignment="1" applyBorder="1" applyFont="1">
      <alignment shrinkToFit="0" vertical="center" wrapText="0"/>
    </xf>
    <xf borderId="4" fillId="4" fontId="1" numFmtId="49" xfId="0" applyAlignment="1" applyBorder="1" applyFont="1" applyNumberFormat="1">
      <alignment shrinkToFit="0" vertical="center" wrapText="0"/>
    </xf>
    <xf quotePrefix="1" borderId="4" fillId="4" fontId="1" numFmtId="0" xfId="0" applyAlignment="1" applyBorder="1" applyFont="1">
      <alignment readingOrder="0" shrinkToFit="0" vertical="center" wrapText="0"/>
    </xf>
    <xf borderId="4" fillId="4" fontId="19" numFmtId="0" xfId="0" applyAlignment="1" applyBorder="1" applyFont="1">
      <alignment readingOrder="0" shrinkToFit="0" vertical="center" wrapText="0"/>
    </xf>
    <xf borderId="4" fillId="4" fontId="1" numFmtId="0" xfId="0" applyAlignment="1" applyBorder="1" applyFont="1">
      <alignment readingOrder="0" shrinkToFit="0" vertical="center" wrapText="0"/>
    </xf>
    <xf borderId="4" fillId="4" fontId="1" numFmtId="0" xfId="0" applyAlignment="1" applyBorder="1" applyFont="1">
      <alignment horizontal="center" readingOrder="0" shrinkToFit="0" vertical="center" wrapText="0"/>
    </xf>
    <xf borderId="4" fillId="4" fontId="1" numFmtId="0" xfId="0" applyAlignment="1" applyBorder="1" applyFont="1">
      <alignment shrinkToFit="0" vertical="center" wrapText="0"/>
    </xf>
    <xf borderId="4" fillId="4" fontId="1" numFmtId="0" xfId="0" applyBorder="1" applyFont="1"/>
    <xf borderId="4" fillId="18" fontId="1" numFmtId="165" xfId="0" applyAlignment="1" applyBorder="1" applyFill="1" applyFont="1" applyNumberFormat="1">
      <alignment readingOrder="0" shrinkToFit="0" vertical="center" wrapText="0"/>
    </xf>
    <xf borderId="4" fillId="18" fontId="1" numFmtId="0" xfId="0" applyAlignment="1" applyBorder="1" applyFont="1">
      <alignment readingOrder="0" shrinkToFit="0" vertical="center" wrapText="0"/>
    </xf>
    <xf borderId="4" fillId="18" fontId="1" numFmtId="0" xfId="0" applyAlignment="1" applyBorder="1" applyFont="1">
      <alignment shrinkToFit="0" vertical="center" wrapText="0"/>
    </xf>
    <xf borderId="4" fillId="18" fontId="1" numFmtId="49" xfId="0" applyAlignment="1" applyBorder="1" applyFont="1" applyNumberFormat="1">
      <alignment shrinkToFit="0" vertical="center" wrapText="0"/>
    </xf>
    <xf quotePrefix="1" borderId="4" fillId="18" fontId="1" numFmtId="0" xfId="0" applyAlignment="1" applyBorder="1" applyFont="1">
      <alignment readingOrder="0" shrinkToFit="0" vertical="center" wrapText="0"/>
    </xf>
    <xf borderId="4" fillId="18" fontId="20" numFmtId="0" xfId="0" applyAlignment="1" applyBorder="1" applyFont="1">
      <alignment readingOrder="0" shrinkToFit="0" vertical="center" wrapText="0"/>
    </xf>
    <xf borderId="4" fillId="18" fontId="1" numFmtId="0" xfId="0" applyAlignment="1" applyBorder="1" applyFont="1">
      <alignment readingOrder="0" shrinkToFit="0" vertical="center" wrapText="0"/>
    </xf>
    <xf borderId="4" fillId="18" fontId="1" numFmtId="0" xfId="0" applyAlignment="1" applyBorder="1" applyFont="1">
      <alignment horizontal="center" readingOrder="0" shrinkToFit="0" vertical="center" wrapText="0"/>
    </xf>
    <xf borderId="4" fillId="18" fontId="1" numFmtId="0" xfId="0" applyAlignment="1" applyBorder="1" applyFont="1">
      <alignment shrinkToFit="0" vertical="center" wrapText="0"/>
    </xf>
    <xf borderId="4" fillId="18" fontId="1" numFmtId="0" xfId="0" applyAlignment="1" applyBorder="1" applyFont="1">
      <alignment readingOrder="0" shrinkToFit="0" vertical="center" wrapText="0"/>
    </xf>
    <xf borderId="0" fillId="8" fontId="1" numFmtId="165" xfId="0" applyAlignment="1" applyFont="1" applyNumberFormat="1">
      <alignment readingOrder="0" shrinkToFit="0" vertical="center" wrapText="0"/>
    </xf>
    <xf borderId="0" fillId="17" fontId="1" numFmtId="0" xfId="0" applyAlignment="1" applyFont="1">
      <alignment readingOrder="0" shrinkToFit="0" vertical="center" wrapText="0"/>
    </xf>
    <xf borderId="0" fillId="17" fontId="1" numFmtId="0" xfId="0" applyAlignment="1" applyFont="1">
      <alignment shrinkToFit="0" vertical="center" wrapText="0"/>
    </xf>
    <xf borderId="0" fillId="17" fontId="1" numFmtId="49" xfId="0" applyAlignment="1" applyFont="1" applyNumberFormat="1">
      <alignment shrinkToFit="0" vertical="center" wrapText="0"/>
    </xf>
    <xf quotePrefix="1" borderId="0" fillId="17" fontId="1" numFmtId="0" xfId="0" applyAlignment="1" applyFont="1">
      <alignment readingOrder="0" shrinkToFit="0" vertical="center" wrapText="0"/>
    </xf>
    <xf borderId="0" fillId="17" fontId="21" numFmtId="0" xfId="0" applyAlignment="1" applyFont="1">
      <alignment readingOrder="0" shrinkToFit="0" vertical="center" wrapText="0"/>
    </xf>
    <xf borderId="0" fillId="17" fontId="1" numFmtId="0" xfId="0" applyAlignment="1" applyFont="1">
      <alignment readingOrder="0" shrinkToFit="0" vertical="center" wrapText="0"/>
    </xf>
    <xf borderId="0" fillId="17" fontId="1" numFmtId="0" xfId="0" applyAlignment="1" applyFont="1">
      <alignment horizontal="center" readingOrder="0" shrinkToFit="0" vertical="center" wrapText="0"/>
    </xf>
    <xf borderId="0" fillId="17" fontId="1" numFmtId="0" xfId="0" applyAlignment="1" applyFont="1">
      <alignment shrinkToFit="0" vertical="center" wrapText="0"/>
    </xf>
    <xf borderId="0" fillId="17" fontId="1" numFmtId="0" xfId="0" applyFont="1"/>
    <xf borderId="0" fillId="18" fontId="1" numFmtId="0" xfId="0" applyFont="1"/>
    <xf borderId="0" fillId="17" fontId="22" numFmtId="0" xfId="0" applyAlignment="1" applyFont="1">
      <alignment readingOrder="0" shrinkToFit="0" vertical="center" wrapText="0"/>
    </xf>
    <xf borderId="0" fillId="17" fontId="23" numFmtId="0" xfId="0" applyAlignment="1" applyFont="1">
      <alignment readingOrder="0" shrinkToFit="0" vertical="center" wrapText="0"/>
    </xf>
    <xf borderId="0" fillId="17" fontId="1" numFmtId="0" xfId="0" applyAlignment="1" applyFont="1">
      <alignment horizontal="center" shrinkToFit="0" vertical="center" wrapText="0"/>
    </xf>
    <xf borderId="0" fillId="4" fontId="1" numFmtId="165" xfId="0" applyAlignment="1" applyFont="1" applyNumberFormat="1">
      <alignment readingOrder="0" shrinkToFit="0" vertical="center" wrapText="0"/>
    </xf>
    <xf borderId="0" fillId="4" fontId="1" numFmtId="0" xfId="0" applyAlignment="1" applyFont="1">
      <alignment readingOrder="0" shrinkToFit="0" vertical="center" wrapText="0"/>
    </xf>
    <xf borderId="0" fillId="4" fontId="1" numFmtId="0" xfId="0" applyAlignment="1" applyFont="1">
      <alignment shrinkToFit="0" vertical="center" wrapText="0"/>
    </xf>
    <xf borderId="0" fillId="4" fontId="1" numFmtId="49" xfId="0" applyAlignment="1" applyFont="1" applyNumberFormat="1">
      <alignment shrinkToFit="0" vertical="center" wrapText="0"/>
    </xf>
    <xf quotePrefix="1" borderId="0" fillId="4" fontId="1" numFmtId="0" xfId="0" applyAlignment="1" applyFont="1">
      <alignment readingOrder="0" shrinkToFit="0" vertical="center" wrapText="0"/>
    </xf>
    <xf borderId="0" fillId="4" fontId="24" numFmtId="0" xfId="0" applyAlignment="1" applyFont="1">
      <alignment readingOrder="0" shrinkToFit="0" vertical="center" wrapText="0"/>
    </xf>
    <xf borderId="0" fillId="4" fontId="1" numFmtId="0" xfId="0" applyAlignment="1" applyFont="1">
      <alignment readingOrder="0" shrinkToFit="0" vertical="center" wrapText="0"/>
    </xf>
    <xf borderId="0" fillId="4" fontId="1" numFmtId="0" xfId="0" applyAlignment="1" applyFont="1">
      <alignment horizontal="center" shrinkToFit="0" vertical="center" wrapText="0"/>
    </xf>
    <xf borderId="0" fillId="4" fontId="1" numFmtId="0" xfId="0" applyAlignment="1" applyFont="1">
      <alignment shrinkToFit="0" vertical="center" wrapText="0"/>
    </xf>
    <xf borderId="0" fillId="4" fontId="1" numFmtId="0" xfId="0" applyFont="1"/>
    <xf borderId="0" fillId="17" fontId="1" numFmtId="49" xfId="0" applyAlignment="1" applyFont="1" applyNumberFormat="1">
      <alignment readingOrder="0" shrinkToFit="0" vertical="center" wrapText="0"/>
    </xf>
    <xf borderId="0" fillId="17" fontId="1" numFmtId="0" xfId="0" applyAlignment="1" applyFont="1">
      <alignment shrinkToFit="0" vertical="center" wrapText="0"/>
    </xf>
    <xf borderId="0" fillId="17" fontId="1" numFmtId="0" xfId="0" applyAlignment="1" applyFont="1">
      <alignment readingOrder="0" shrinkToFit="0" vertical="center" wrapText="0"/>
    </xf>
    <xf borderId="0" fillId="16" fontId="1" numFmtId="0" xfId="0" applyFont="1"/>
    <xf borderId="0" fillId="4" fontId="1" numFmtId="49" xfId="0" applyAlignment="1" applyFont="1" applyNumberFormat="1">
      <alignment readingOrder="0" shrinkToFit="0" vertical="center" wrapText="0"/>
    </xf>
    <xf borderId="0" fillId="4" fontId="25" numFmtId="0" xfId="0" applyAlignment="1" applyFont="1">
      <alignment readingOrder="0" shrinkToFit="0" vertical="center" wrapText="0"/>
    </xf>
    <xf borderId="0" fillId="4" fontId="1" numFmtId="0" xfId="0" applyAlignment="1" applyFont="1">
      <alignment horizontal="center" readingOrder="0" shrinkToFit="0" vertical="center" wrapText="0"/>
    </xf>
    <xf borderId="0" fillId="17" fontId="1" numFmtId="0" xfId="0" applyAlignment="1" applyFont="1">
      <alignment readingOrder="0" shrinkToFit="0" vertical="center" wrapText="0"/>
    </xf>
    <xf borderId="0" fillId="17" fontId="1" numFmtId="0" xfId="0" applyAlignment="1" applyFont="1">
      <alignment readingOrder="0" shrinkToFit="0" vertical="center" wrapText="0"/>
    </xf>
    <xf borderId="0" fillId="8" fontId="1" numFmtId="0" xfId="0" applyAlignment="1" applyFont="1">
      <alignment readingOrder="0" shrinkToFit="0" vertical="center" wrapText="0"/>
    </xf>
    <xf borderId="0" fillId="8" fontId="1" numFmtId="49" xfId="0" applyAlignment="1" applyFont="1" applyNumberFormat="1">
      <alignment readingOrder="0" shrinkToFit="0" vertical="center" wrapText="0"/>
    </xf>
    <xf quotePrefix="1" borderId="0" fillId="8" fontId="1" numFmtId="0" xfId="0" applyAlignment="1" applyFont="1">
      <alignment readingOrder="0" shrinkToFit="0" vertical="center" wrapText="0"/>
    </xf>
    <xf borderId="0" fillId="8" fontId="26" numFmtId="0" xfId="0" applyAlignment="1" applyFont="1">
      <alignment readingOrder="0" shrinkToFit="0" vertical="center" wrapText="0"/>
    </xf>
    <xf borderId="0" fillId="8" fontId="1" numFmtId="0" xfId="0" applyAlignment="1" applyFont="1">
      <alignment shrinkToFit="0" vertical="center" wrapText="0"/>
    </xf>
    <xf borderId="0" fillId="8" fontId="1" numFmtId="0" xfId="0" applyAlignment="1" applyFont="1">
      <alignment readingOrder="0" shrinkToFit="0" vertical="center" wrapText="0"/>
    </xf>
    <xf borderId="0" fillId="8" fontId="1" numFmtId="0" xfId="0" applyAlignment="1" applyFont="1">
      <alignment horizontal="center" readingOrder="0" shrinkToFit="0" vertical="center" wrapText="0"/>
    </xf>
    <xf borderId="0" fillId="8" fontId="1" numFmtId="0" xfId="0" applyAlignment="1" applyFont="1">
      <alignment shrinkToFit="0" vertical="center" wrapText="0"/>
    </xf>
    <xf borderId="0" fillId="8" fontId="1" numFmtId="0" xfId="0" applyFont="1"/>
    <xf borderId="42" fillId="17" fontId="11" numFmtId="165" xfId="0" applyAlignment="1" applyBorder="1" applyFont="1" applyNumberFormat="1">
      <alignment shrinkToFit="0" vertical="center" wrapText="0"/>
    </xf>
    <xf borderId="43" fillId="17" fontId="27" numFmtId="0" xfId="0" applyAlignment="1" applyBorder="1" applyFont="1">
      <alignment shrinkToFit="0" vertical="center" wrapText="0"/>
    </xf>
    <xf borderId="43" fillId="17" fontId="27" numFmtId="0" xfId="0" applyAlignment="1" applyBorder="1" applyFont="1">
      <alignment shrinkToFit="0" vertical="center" wrapText="0"/>
    </xf>
    <xf borderId="43" fillId="17" fontId="27" numFmtId="49" xfId="0" applyAlignment="1" applyBorder="1" applyFont="1" applyNumberFormat="1">
      <alignment horizontal="right" shrinkToFit="0" vertical="center" wrapText="0"/>
    </xf>
    <xf quotePrefix="1" borderId="43" fillId="17" fontId="27" numFmtId="0" xfId="0" applyAlignment="1" applyBorder="1" applyFont="1">
      <alignment shrinkToFit="0" vertical="center" wrapText="0"/>
    </xf>
    <xf borderId="43" fillId="17" fontId="11" numFmtId="0" xfId="0" applyAlignment="1" applyBorder="1" applyFont="1">
      <alignment shrinkToFit="0" vertical="center" wrapText="0"/>
    </xf>
    <xf borderId="43" fillId="17" fontId="11" numFmtId="0" xfId="0" applyAlignment="1" applyBorder="1" applyFont="1">
      <alignment shrinkToFit="0" vertical="center" wrapText="0"/>
    </xf>
    <xf borderId="43" fillId="17" fontId="11" numFmtId="0" xfId="0" applyAlignment="1" applyBorder="1" applyFont="1">
      <alignment shrinkToFit="0" vertical="center" wrapText="0"/>
    </xf>
    <xf borderId="43" fillId="17" fontId="27" numFmtId="0" xfId="0" applyAlignment="1" applyBorder="1" applyFont="1">
      <alignment horizontal="center" shrinkToFit="0" vertical="center" wrapText="0"/>
    </xf>
    <xf borderId="43" fillId="17" fontId="11" numFmtId="0" xfId="0" applyAlignment="1" applyBorder="1" applyFont="1">
      <alignment shrinkToFit="0" vertical="center" wrapText="0"/>
    </xf>
    <xf borderId="44" fillId="17" fontId="11" numFmtId="0" xfId="0" applyAlignment="1" applyBorder="1" applyFont="1">
      <alignment shrinkToFit="0" vertical="center" wrapText="0"/>
    </xf>
    <xf borderId="4" fillId="17" fontId="11" numFmtId="0" xfId="0" applyAlignment="1" applyBorder="1" applyFont="1">
      <alignment vertical="bottom"/>
    </xf>
    <xf borderId="4" fillId="0" fontId="1" numFmtId="49" xfId="0" applyBorder="1" applyFont="1" applyNumberFormat="1"/>
    <xf borderId="45" fillId="8" fontId="27" numFmtId="165" xfId="0" applyAlignment="1" applyBorder="1" applyFont="1" applyNumberFormat="1">
      <alignment horizontal="right" shrinkToFit="0" vertical="center" wrapText="0"/>
    </xf>
    <xf borderId="46" fillId="8" fontId="27" numFmtId="0" xfId="0" applyAlignment="1" applyBorder="1" applyFont="1">
      <alignment shrinkToFit="0" vertical="center" wrapText="0"/>
    </xf>
    <xf borderId="46" fillId="8" fontId="11" numFmtId="0" xfId="0" applyAlignment="1" applyBorder="1" applyFont="1">
      <alignment shrinkToFit="0" vertical="center" wrapText="0"/>
    </xf>
    <xf borderId="46" fillId="8" fontId="11" numFmtId="49" xfId="0" applyAlignment="1" applyBorder="1" applyFont="1" applyNumberFormat="1">
      <alignment shrinkToFit="0" vertical="center" wrapText="0"/>
    </xf>
    <xf borderId="46" fillId="8" fontId="11" numFmtId="0" xfId="0" applyAlignment="1" applyBorder="1" applyFont="1">
      <alignment shrinkToFit="0" vertical="center" wrapText="0"/>
    </xf>
    <xf quotePrefix="1" borderId="46" fillId="8" fontId="27" numFmtId="0" xfId="0" applyAlignment="1" applyBorder="1" applyFont="1">
      <alignment shrinkToFit="0" vertical="center" wrapText="0"/>
    </xf>
    <xf borderId="46" fillId="8" fontId="27" numFmtId="0" xfId="0" applyAlignment="1" applyBorder="1" applyFont="1">
      <alignment horizontal="right" shrinkToFit="0" vertical="center" wrapText="0"/>
    </xf>
    <xf borderId="46" fillId="8" fontId="28" numFmtId="0" xfId="0" applyAlignment="1" applyBorder="1" applyFont="1">
      <alignment shrinkToFit="0" vertical="center" wrapText="0"/>
    </xf>
    <xf borderId="46" fillId="8" fontId="27" numFmtId="0" xfId="0" applyAlignment="1" applyBorder="1" applyFont="1">
      <alignment horizontal="center" shrinkToFit="0" vertical="center" wrapText="0"/>
    </xf>
    <xf borderId="46" fillId="8" fontId="11" numFmtId="0" xfId="0" applyAlignment="1" applyBorder="1" applyFont="1">
      <alignment horizontal="center" shrinkToFit="0" vertical="center" wrapText="0"/>
    </xf>
    <xf borderId="47" fillId="8" fontId="11" numFmtId="0" xfId="0" applyAlignment="1" applyBorder="1" applyFont="1">
      <alignment shrinkToFit="0" vertical="center" wrapText="0"/>
    </xf>
    <xf borderId="0" fillId="8" fontId="11" numFmtId="0" xfId="0" applyAlignment="1" applyFont="1">
      <alignment shrinkToFit="0" vertical="bottom" wrapText="0"/>
    </xf>
    <xf borderId="0" fillId="8" fontId="11" numFmtId="0" xfId="0" applyAlignment="1" applyFont="1">
      <alignment shrinkToFit="0" vertical="bottom" wrapText="0"/>
    </xf>
    <xf borderId="42" fillId="17" fontId="27" numFmtId="165" xfId="0" applyAlignment="1" applyBorder="1" applyFont="1" applyNumberFormat="1">
      <alignment horizontal="right" shrinkToFit="0" vertical="center" wrapText="0"/>
    </xf>
    <xf borderId="43" fillId="17" fontId="11" numFmtId="49" xfId="0" applyAlignment="1" applyBorder="1" applyFont="1" applyNumberFormat="1">
      <alignment shrinkToFit="0" vertical="center" wrapText="0"/>
    </xf>
    <xf quotePrefix="1" borderId="43" fillId="17" fontId="27" numFmtId="0" xfId="0" applyAlignment="1" applyBorder="1" applyFont="1">
      <alignment shrinkToFit="0" vertical="center" wrapText="0"/>
    </xf>
    <xf borderId="43" fillId="17" fontId="27" numFmtId="0" xfId="0" applyAlignment="1" applyBorder="1" applyFont="1">
      <alignment horizontal="right" shrinkToFit="0" vertical="center" wrapText="0"/>
    </xf>
    <xf borderId="43" fillId="17" fontId="29" numFmtId="0" xfId="0" applyAlignment="1" applyBorder="1" applyFont="1">
      <alignment shrinkToFit="0" vertical="center" wrapText="0"/>
    </xf>
    <xf borderId="43" fillId="17" fontId="27" numFmtId="0" xfId="0" applyAlignment="1" applyBorder="1" applyFont="1">
      <alignment horizontal="center" shrinkToFit="0" vertical="center" wrapText="0"/>
    </xf>
    <xf borderId="43" fillId="17" fontId="11" numFmtId="0" xfId="0" applyAlignment="1" applyBorder="1" applyFont="1">
      <alignment horizontal="center" shrinkToFit="0" vertical="center" wrapText="0"/>
    </xf>
    <xf borderId="0" fillId="17" fontId="11" numFmtId="0" xfId="0" applyAlignment="1" applyFont="1">
      <alignment shrinkToFit="0" vertical="bottom" wrapText="0"/>
    </xf>
    <xf borderId="0" fillId="17" fontId="11" numFmtId="0" xfId="0" applyAlignment="1" applyFont="1">
      <alignment shrinkToFit="0" vertical="bottom" wrapText="0"/>
    </xf>
    <xf borderId="43" fillId="17" fontId="30" numFmtId="0" xfId="0" applyAlignment="1" applyBorder="1" applyFont="1">
      <alignment shrinkToFit="0" vertical="center" wrapText="0"/>
    </xf>
    <xf borderId="43" fillId="17" fontId="31" numFmtId="0" xfId="0" applyAlignment="1" applyBorder="1" applyFont="1">
      <alignment shrinkToFit="0" vertical="center" wrapText="0"/>
    </xf>
    <xf borderId="43" fillId="17" fontId="27" numFmtId="0" xfId="0" applyAlignment="1" applyBorder="1" applyFont="1">
      <alignment horizontal="center" shrinkToFit="0" vertical="center" wrapText="0"/>
    </xf>
    <xf borderId="44" fillId="17" fontId="27" numFmtId="0" xfId="0" applyAlignment="1" applyBorder="1" applyFont="1">
      <alignment shrinkToFit="0" vertical="center" wrapText="0"/>
    </xf>
    <xf borderId="44" fillId="17" fontId="11" numFmtId="0" xfId="0" applyAlignment="1" applyBorder="1" applyFont="1">
      <alignment shrinkToFit="0" vertical="center" wrapText="0"/>
    </xf>
    <xf borderId="0" fillId="17" fontId="11" numFmtId="0" xfId="0" applyAlignment="1" applyFont="1">
      <alignment shrinkToFit="0" vertical="bottom" wrapText="0"/>
    </xf>
    <xf borderId="44" fillId="17" fontId="32" numFmtId="0" xfId="0" applyAlignment="1" applyBorder="1" applyFont="1">
      <alignment shrinkToFit="0" vertical="center" wrapText="0"/>
    </xf>
    <xf borderId="48" fillId="10" fontId="27" numFmtId="165" xfId="0" applyAlignment="1" applyBorder="1" applyFont="1" applyNumberFormat="1">
      <alignment horizontal="right" shrinkToFit="0" vertical="center" wrapText="0"/>
    </xf>
    <xf borderId="12" fillId="10" fontId="27" numFmtId="0" xfId="0" applyAlignment="1" applyBorder="1" applyFont="1">
      <alignment shrinkToFit="0" vertical="center" wrapText="0"/>
    </xf>
    <xf borderId="12" fillId="10" fontId="11" numFmtId="0" xfId="0" applyAlignment="1" applyBorder="1" applyFont="1">
      <alignment shrinkToFit="0" vertical="center" wrapText="0"/>
    </xf>
    <xf borderId="12" fillId="10" fontId="11" numFmtId="49" xfId="0" applyAlignment="1" applyBorder="1" applyFont="1" applyNumberFormat="1">
      <alignment shrinkToFit="0" vertical="center" wrapText="0"/>
    </xf>
    <xf borderId="12" fillId="10" fontId="11" numFmtId="0" xfId="0" applyAlignment="1" applyBorder="1" applyFont="1">
      <alignment shrinkToFit="0" vertical="center" wrapText="0"/>
    </xf>
    <xf borderId="12" fillId="10" fontId="27" numFmtId="0" xfId="0" applyAlignment="1" applyBorder="1" applyFont="1">
      <alignment shrinkToFit="0" vertical="center" wrapText="0"/>
    </xf>
    <xf quotePrefix="1" borderId="12" fillId="10" fontId="27" numFmtId="0" xfId="0" applyAlignment="1" applyBorder="1" applyFont="1">
      <alignment shrinkToFit="0" vertical="center" wrapText="0"/>
    </xf>
    <xf borderId="12" fillId="10" fontId="27" numFmtId="0" xfId="0" applyAlignment="1" applyBorder="1" applyFont="1">
      <alignment horizontal="right" shrinkToFit="0" vertical="center" wrapText="0"/>
    </xf>
    <xf borderId="12" fillId="10" fontId="27" numFmtId="0" xfId="0" applyAlignment="1" applyBorder="1" applyFont="1">
      <alignment readingOrder="0" shrinkToFit="0" vertical="center" wrapText="0"/>
    </xf>
    <xf borderId="12" fillId="10" fontId="33" numFmtId="0" xfId="0" applyAlignment="1" applyBorder="1" applyFont="1">
      <alignment shrinkToFit="0" vertical="center" wrapText="0"/>
    </xf>
    <xf borderId="12" fillId="10" fontId="27" numFmtId="0" xfId="0" applyAlignment="1" applyBorder="1" applyFont="1">
      <alignment horizontal="center" shrinkToFit="0" vertical="center" wrapText="0"/>
    </xf>
    <xf borderId="12" fillId="10" fontId="11" numFmtId="0" xfId="0" applyAlignment="1" applyBorder="1" applyFont="1">
      <alignment horizontal="center" shrinkToFit="0" vertical="center" wrapText="0"/>
    </xf>
    <xf borderId="49" fillId="10" fontId="11" numFmtId="0" xfId="0" applyAlignment="1" applyBorder="1" applyFont="1">
      <alignment shrinkToFit="0" vertical="center" wrapText="0"/>
    </xf>
    <xf borderId="0" fillId="0" fontId="11" numFmtId="0" xfId="0" applyAlignment="1" applyFont="1">
      <alignment shrinkToFit="0" vertical="bottom" wrapText="0"/>
    </xf>
    <xf borderId="0" fillId="0" fontId="11" numFmtId="0" xfId="0" applyAlignment="1" applyFont="1">
      <alignment shrinkToFit="0" vertical="bottom" wrapText="0"/>
    </xf>
    <xf borderId="0" fillId="0" fontId="11" numFmtId="0" xfId="0" applyAlignment="1" applyFont="1">
      <alignment shrinkToFit="0" vertical="bottom" wrapText="0"/>
    </xf>
    <xf borderId="50" fillId="19" fontId="27" numFmtId="165" xfId="0" applyAlignment="1" applyBorder="1" applyFill="1" applyFont="1" applyNumberFormat="1">
      <alignment horizontal="right" shrinkToFit="0" vertical="center" wrapText="0"/>
    </xf>
    <xf borderId="51" fillId="19" fontId="27" numFmtId="0" xfId="0" applyAlignment="1" applyBorder="1" applyFont="1">
      <alignment shrinkToFit="0" vertical="center" wrapText="0"/>
    </xf>
    <xf borderId="51" fillId="19" fontId="11" numFmtId="0" xfId="0" applyAlignment="1" applyBorder="1" applyFont="1">
      <alignment shrinkToFit="0" vertical="center" wrapText="0"/>
    </xf>
    <xf borderId="51" fillId="19" fontId="11" numFmtId="49" xfId="0" applyAlignment="1" applyBorder="1" applyFont="1" applyNumberFormat="1">
      <alignment shrinkToFit="0" vertical="center" wrapText="0"/>
    </xf>
    <xf borderId="51" fillId="19" fontId="11" numFmtId="0" xfId="0" applyAlignment="1" applyBorder="1" applyFont="1">
      <alignment shrinkToFit="0" vertical="center" wrapText="0"/>
    </xf>
    <xf borderId="51" fillId="19" fontId="27" numFmtId="0" xfId="0" applyAlignment="1" applyBorder="1" applyFont="1">
      <alignment shrinkToFit="0" vertical="center" wrapText="0"/>
    </xf>
    <xf quotePrefix="1" borderId="51" fillId="19" fontId="27" numFmtId="0" xfId="0" applyAlignment="1" applyBorder="1" applyFont="1">
      <alignment shrinkToFit="0" vertical="center" wrapText="0"/>
    </xf>
    <xf borderId="51" fillId="19" fontId="27" numFmtId="0" xfId="0" applyAlignment="1" applyBorder="1" applyFont="1">
      <alignment horizontal="right" shrinkToFit="0" vertical="center" wrapText="0"/>
    </xf>
    <xf borderId="51" fillId="19" fontId="34" numFmtId="0" xfId="0" applyAlignment="1" applyBorder="1" applyFont="1">
      <alignment shrinkToFit="0" vertical="center" wrapText="0"/>
    </xf>
    <xf borderId="51" fillId="19" fontId="27" numFmtId="0" xfId="0" applyAlignment="1" applyBorder="1" applyFont="1">
      <alignment horizontal="center" shrinkToFit="0" vertical="center" wrapText="0"/>
    </xf>
    <xf borderId="51" fillId="19" fontId="11" numFmtId="0" xfId="0" applyAlignment="1" applyBorder="1" applyFont="1">
      <alignment horizontal="center" shrinkToFit="0" vertical="center" wrapText="0"/>
    </xf>
    <xf borderId="52" fillId="19" fontId="11" numFmtId="0" xfId="0" applyAlignment="1" applyBorder="1" applyFont="1">
      <alignment shrinkToFit="0" vertical="center" wrapText="0"/>
    </xf>
    <xf borderId="12" fillId="10" fontId="27" numFmtId="49" xfId="0" applyAlignment="1" applyBorder="1" applyFont="1" applyNumberFormat="1">
      <alignment horizontal="right" shrinkToFit="0" vertical="center" wrapText="0"/>
    </xf>
    <xf quotePrefix="1" borderId="12" fillId="10" fontId="27" numFmtId="0" xfId="0" applyAlignment="1" applyBorder="1" applyFont="1">
      <alignment shrinkToFit="0" vertical="center" wrapText="0"/>
    </xf>
    <xf borderId="12" fillId="10" fontId="35" numFmtId="0" xfId="0" applyAlignment="1" applyBorder="1" applyFont="1">
      <alignment shrinkToFit="0" vertical="center" wrapText="0"/>
    </xf>
    <xf borderId="12" fillId="10" fontId="11" numFmtId="0" xfId="0" applyAlignment="1" applyBorder="1" applyFont="1">
      <alignment shrinkToFit="0" vertical="center" wrapText="0"/>
    </xf>
    <xf borderId="51" fillId="19" fontId="27" numFmtId="49" xfId="0" applyAlignment="1" applyBorder="1" applyFont="1" applyNumberFormat="1">
      <alignment horizontal="right" shrinkToFit="0" vertical="center" wrapText="0"/>
    </xf>
    <xf quotePrefix="1" borderId="51" fillId="19" fontId="27" numFmtId="0" xfId="0" applyAlignment="1" applyBorder="1" applyFont="1">
      <alignment shrinkToFit="0" vertical="center" wrapText="0"/>
    </xf>
    <xf borderId="51" fillId="19" fontId="36" numFmtId="0" xfId="0" applyAlignment="1" applyBorder="1" applyFont="1">
      <alignment shrinkToFit="0" vertical="center" wrapText="0"/>
    </xf>
    <xf borderId="51" fillId="19" fontId="11" numFmtId="0" xfId="0" applyAlignment="1" applyBorder="1" applyFont="1">
      <alignment shrinkToFit="0" vertical="center" wrapText="0"/>
    </xf>
    <xf borderId="51" fillId="19" fontId="27" numFmtId="0" xfId="0" applyAlignment="1" applyBorder="1" applyFont="1">
      <alignment horizontal="right" readingOrder="0" shrinkToFit="0" vertical="center" wrapText="0"/>
    </xf>
    <xf borderId="51" fillId="19" fontId="27" numFmtId="0" xfId="0" applyAlignment="1" applyBorder="1" applyFont="1">
      <alignment readingOrder="0" shrinkToFit="0" vertical="center" wrapText="0"/>
    </xf>
    <xf borderId="12" fillId="10" fontId="27" numFmtId="0" xfId="0" applyAlignment="1" applyBorder="1" applyFont="1">
      <alignment horizontal="center" shrinkToFit="0" vertical="center" wrapText="0"/>
    </xf>
    <xf borderId="51" fillId="19" fontId="27" numFmtId="49" xfId="0" applyAlignment="1" applyBorder="1" applyFont="1" applyNumberFormat="1">
      <alignment shrinkToFit="0" vertical="center" wrapText="0"/>
    </xf>
    <xf borderId="53" fillId="10" fontId="27" numFmtId="165" xfId="0" applyAlignment="1" applyBorder="1" applyFont="1" applyNumberFormat="1">
      <alignment horizontal="right" readingOrder="0" shrinkToFit="0" vertical="center" wrapText="0"/>
    </xf>
    <xf borderId="54" fillId="10" fontId="27" numFmtId="0" xfId="0" applyAlignment="1" applyBorder="1" applyFont="1">
      <alignment readingOrder="0" shrinkToFit="0" vertical="center" wrapText="0"/>
    </xf>
    <xf borderId="54" fillId="10" fontId="27" numFmtId="49" xfId="0" applyAlignment="1" applyBorder="1" applyFont="1" applyNumberFormat="1">
      <alignment horizontal="right" readingOrder="0" shrinkToFit="0" vertical="center" wrapText="0"/>
    </xf>
    <xf borderId="54" fillId="10" fontId="37" numFmtId="0" xfId="0" applyAlignment="1" applyBorder="1" applyFont="1">
      <alignment readingOrder="0" shrinkToFit="0" vertical="center" wrapText="0"/>
    </xf>
    <xf borderId="54" fillId="10" fontId="11" numFmtId="0" xfId="0" applyAlignment="1" applyBorder="1" applyFont="1">
      <alignment shrinkToFit="0" vertical="center" wrapText="0"/>
    </xf>
    <xf borderId="54" fillId="10" fontId="11" numFmtId="0" xfId="0" applyAlignment="1" applyBorder="1" applyFont="1">
      <alignment shrinkToFit="0" vertical="center" wrapText="0"/>
    </xf>
    <xf borderId="54" fillId="10" fontId="11" numFmtId="0" xfId="0" applyAlignment="1" applyBorder="1" applyFont="1">
      <alignment shrinkToFit="0" vertical="center" wrapText="0"/>
    </xf>
    <xf borderId="54" fillId="10" fontId="27" numFmtId="0" xfId="0" applyAlignment="1" applyBorder="1" applyFont="1">
      <alignment horizontal="center" readingOrder="0" shrinkToFit="0" vertical="center" wrapText="0"/>
    </xf>
    <xf borderId="54" fillId="10" fontId="11" numFmtId="0" xfId="0" applyAlignment="1" applyBorder="1" applyFont="1">
      <alignment horizontal="center" shrinkToFit="0" vertical="center" wrapText="0"/>
    </xf>
    <xf borderId="55" fillId="10" fontId="11" numFmtId="0" xfId="0" applyAlignment="1" applyBorder="1" applyFont="1">
      <alignment shrinkToFit="0" vertical="center" wrapText="0"/>
    </xf>
    <xf borderId="4" fillId="0" fontId="1" numFmtId="165" xfId="0" applyAlignment="1" applyBorder="1" applyFont="1" applyNumberFormat="1">
      <alignment readingOrder="0" shrinkToFit="0" vertical="center" wrapText="0"/>
    </xf>
    <xf borderId="4" fillId="0" fontId="1" numFmtId="0" xfId="0" applyAlignment="1" applyBorder="1" applyFont="1">
      <alignment readingOrder="0" shrinkToFit="0" vertical="center" wrapText="0"/>
    </xf>
    <xf borderId="4" fillId="0" fontId="1" numFmtId="49" xfId="0" applyAlignment="1" applyBorder="1" applyFont="1" applyNumberFormat="1">
      <alignment readingOrder="0" shrinkToFit="0" vertical="center" wrapText="0"/>
    </xf>
    <xf borderId="4" fillId="0" fontId="38" numFmtId="0" xfId="0" applyAlignment="1" applyBorder="1" applyFont="1">
      <alignment readingOrder="0" shrinkToFit="0" vertical="center" wrapText="0"/>
    </xf>
    <xf borderId="4" fillId="0" fontId="1" numFmtId="0" xfId="0" applyAlignment="1" applyBorder="1" applyFont="1">
      <alignment readingOrder="0" shrinkToFit="0" vertical="center" wrapText="0"/>
    </xf>
    <xf borderId="4" fillId="0" fontId="1" numFmtId="0" xfId="0" applyAlignment="1" applyBorder="1" applyFont="1">
      <alignment horizontal="center" readingOrder="0" shrinkToFit="0" vertical="center" wrapText="0"/>
    </xf>
    <xf borderId="4" fillId="0" fontId="1" numFmtId="0" xfId="0" applyAlignment="1" applyBorder="1" applyFont="1">
      <alignment shrinkToFit="0" vertical="center" wrapText="0"/>
    </xf>
    <xf borderId="4" fillId="0" fontId="1" numFmtId="0" xfId="0" applyAlignment="1" applyBorder="1" applyFont="1">
      <alignment shrinkToFit="0" vertical="center" wrapText="0"/>
    </xf>
    <xf borderId="0" fillId="0" fontId="1" numFmtId="165"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readingOrder="0" shrinkToFit="0" vertical="center" wrapText="0"/>
    </xf>
    <xf borderId="0" fillId="0" fontId="39"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shrinkToFit="0" vertical="center" wrapText="0"/>
    </xf>
    <xf borderId="0" fillId="0" fontId="1" numFmtId="49" xfId="0" applyAlignment="1" applyFont="1" applyNumberFormat="1">
      <alignment shrinkToFit="0" vertical="center" wrapText="0"/>
    </xf>
    <xf borderId="0" fillId="0" fontId="40" numFmtId="0" xfId="0" applyAlignment="1" applyFont="1">
      <alignment readingOrder="0" shrinkToFit="0" vertical="center" wrapText="0"/>
    </xf>
    <xf borderId="0" fillId="0" fontId="1" numFmtId="0" xfId="0" applyAlignment="1" applyFont="1">
      <alignment readingOrder="0" shrinkToFit="0" vertical="center" wrapText="0"/>
    </xf>
    <xf borderId="0" fillId="0" fontId="4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42" fillId="0" fontId="11" numFmtId="165" xfId="0" applyAlignment="1" applyBorder="1" applyFont="1" applyNumberFormat="1">
      <alignment shrinkToFit="0" vertical="center" wrapText="0"/>
    </xf>
    <xf borderId="56" fillId="0" fontId="27" numFmtId="0" xfId="0" applyAlignment="1" applyBorder="1" applyFont="1">
      <alignment shrinkToFit="0" vertical="center" wrapText="0"/>
    </xf>
    <xf borderId="43" fillId="0" fontId="27" numFmtId="0" xfId="0" applyAlignment="1" applyBorder="1" applyFont="1">
      <alignment shrinkToFit="0" vertical="center" wrapText="0"/>
    </xf>
    <xf borderId="43" fillId="0" fontId="27" numFmtId="0" xfId="0" applyAlignment="1" applyBorder="1" applyFont="1">
      <alignment shrinkToFit="0" vertical="center" wrapText="0"/>
    </xf>
    <xf borderId="43" fillId="0" fontId="27" numFmtId="49" xfId="0" applyAlignment="1" applyBorder="1" applyFont="1" applyNumberFormat="1">
      <alignment horizontal="right" shrinkToFit="0" vertical="center" wrapText="0"/>
    </xf>
    <xf borderId="43" fillId="0" fontId="11" numFmtId="0" xfId="0" applyAlignment="1" applyBorder="1" applyFont="1">
      <alignment shrinkToFit="0" vertical="center" wrapText="0"/>
    </xf>
    <xf borderId="43" fillId="0" fontId="11" numFmtId="0" xfId="0" applyAlignment="1" applyBorder="1" applyFont="1">
      <alignment shrinkToFit="0" vertical="center" wrapText="0"/>
    </xf>
    <xf borderId="43" fillId="0" fontId="11" numFmtId="0" xfId="0" applyAlignment="1" applyBorder="1" applyFont="1">
      <alignment shrinkToFit="0" vertical="center" wrapText="0"/>
    </xf>
    <xf borderId="43" fillId="0" fontId="27" numFmtId="0" xfId="0" applyAlignment="1" applyBorder="1" applyFont="1">
      <alignment horizontal="center" shrinkToFit="0" vertical="center" wrapText="0"/>
    </xf>
    <xf borderId="43" fillId="0" fontId="11" numFmtId="0" xfId="0" applyAlignment="1" applyBorder="1" applyFont="1">
      <alignment shrinkToFit="0" vertical="center" wrapText="0"/>
    </xf>
    <xf borderId="44" fillId="0" fontId="11" numFmtId="0" xfId="0" applyAlignment="1" applyBorder="1" applyFont="1">
      <alignment shrinkToFit="0" vertical="center" wrapText="0"/>
    </xf>
    <xf borderId="4" fillId="0" fontId="11" numFmtId="0" xfId="0" applyAlignment="1" applyBorder="1" applyFont="1">
      <alignment vertical="bottom"/>
    </xf>
    <xf borderId="4" fillId="9" fontId="1" numFmtId="0" xfId="0" applyAlignment="1" applyBorder="1" applyFont="1">
      <alignment readingOrder="0"/>
    </xf>
    <xf borderId="0" fillId="10" fontId="1" numFmtId="0" xfId="0" applyAlignment="1" applyFont="1">
      <alignment readingOrder="0"/>
    </xf>
    <xf borderId="0" fillId="0" fontId="1" numFmtId="0" xfId="0" applyFont="1"/>
    <xf borderId="46" fillId="8" fontId="27" numFmtId="0" xfId="0" applyAlignment="1" applyBorder="1" applyFont="1">
      <alignment shrinkToFit="0" wrapText="0"/>
    </xf>
    <xf borderId="43" fillId="17" fontId="27" numFmtId="0" xfId="0" applyAlignment="1" applyBorder="1" applyFont="1">
      <alignment readingOrder="0" shrinkToFit="0" wrapText="0"/>
    </xf>
    <xf borderId="43" fillId="17" fontId="27" numFmtId="0" xfId="0" applyAlignment="1" applyBorder="1" applyFont="1">
      <alignment shrinkToFit="0" wrapText="0"/>
    </xf>
    <xf borderId="43" fillId="10" fontId="27" numFmtId="0" xfId="0" applyAlignment="1" applyBorder="1" applyFont="1">
      <alignment readingOrder="0" shrinkToFit="0" wrapText="0"/>
    </xf>
    <xf borderId="43" fillId="19" fontId="27" numFmtId="0" xfId="0" applyAlignment="1" applyBorder="1" applyFont="1">
      <alignment shrinkToFit="0" wrapText="0"/>
    </xf>
    <xf borderId="43" fillId="10" fontId="27" numFmtId="0" xfId="0" applyAlignment="1" applyBorder="1" applyFont="1">
      <alignment shrinkToFit="0" wrapText="0"/>
    </xf>
    <xf borderId="43" fillId="19" fontId="27" numFmtId="0" xfId="0" applyAlignment="1" applyBorder="1" applyFont="1">
      <alignment readingOrder="0" shrinkToFit="0" wrapText="0"/>
    </xf>
    <xf borderId="4" fillId="18" fontId="1" numFmtId="0" xfId="0" applyAlignment="1" applyBorder="1" applyFont="1">
      <alignment readingOrder="0"/>
    </xf>
    <xf borderId="43" fillId="17" fontId="27" numFmtId="49" xfId="0" applyAlignment="1" applyBorder="1" applyFont="1" applyNumberFormat="1">
      <alignment horizontal="right" shrinkToFit="0" wrapText="0"/>
    </xf>
    <xf borderId="0" fillId="9" fontId="1" numFmtId="0" xfId="0" applyAlignment="1" applyFont="1">
      <alignment readingOrder="0"/>
    </xf>
    <xf borderId="12" fillId="17" fontId="27" numFmtId="49" xfId="0" applyAlignment="1" applyBorder="1" applyFont="1" applyNumberFormat="1">
      <alignment horizontal="right" shrinkToFit="0" wrapText="0"/>
    </xf>
    <xf borderId="51" fillId="17" fontId="27" numFmtId="49" xfId="0" applyAlignment="1" applyBorder="1" applyFont="1" applyNumberFormat="1">
      <alignment horizontal="right" shrinkToFit="0" wrapText="0"/>
    </xf>
    <xf borderId="12" fillId="10" fontId="27" numFmtId="49" xfId="0" applyAlignment="1" applyBorder="1" applyFont="1" applyNumberFormat="1">
      <alignment horizontal="right" shrinkToFit="0" wrapText="0"/>
    </xf>
    <xf borderId="51" fillId="19" fontId="27" numFmtId="49" xfId="0" applyAlignment="1" applyBorder="1" applyFont="1" applyNumberFormat="1">
      <alignment horizontal="right" shrinkToFit="0" wrapText="0"/>
    </xf>
    <xf borderId="51" fillId="19" fontId="27" numFmtId="49" xfId="0" applyAlignment="1" applyBorder="1" applyFont="1" applyNumberFormat="1">
      <alignment shrinkToFit="0" wrapText="0"/>
    </xf>
    <xf borderId="54" fillId="10" fontId="27" numFmtId="49" xfId="0" applyAlignment="1" applyBorder="1" applyFont="1" applyNumberFormat="1">
      <alignment horizontal="right" shrinkToFit="0" wrapText="0"/>
    </xf>
    <xf borderId="0" fillId="10" fontId="27" numFmtId="49" xfId="0" applyAlignment="1" applyFont="1" applyNumberFormat="1">
      <alignment horizontal="right" readingOrder="0" shrinkToFit="0" wrapText="0"/>
    </xf>
    <xf borderId="0" fillId="10" fontId="27" numFmtId="0" xfId="0" applyAlignment="1" applyFont="1">
      <alignment horizontal="right" readingOrder="0" shrinkToFit="0" wrapText="0"/>
    </xf>
    <xf borderId="0" fillId="17" fontId="1" numFmtId="0" xfId="0" applyAlignment="1" applyFont="1">
      <alignment readingOrder="0"/>
    </xf>
    <xf borderId="0" fillId="0" fontId="1" numFmtId="49" xfId="0" applyAlignment="1" applyFont="1" applyNumberFormat="1">
      <alignment readingOrder="0"/>
    </xf>
    <xf borderId="0" fillId="10" fontId="1" numFmtId="0" xfId="0" applyFont="1"/>
    <xf borderId="0" fillId="0" fontId="1" numFmtId="49" xfId="0" applyFont="1" applyNumberFormat="1"/>
  </cellXfs>
  <cellStyles count="1">
    <cellStyle xfId="0" name="Normal" builtinId="0"/>
  </cellStyles>
  <dxfs count="10">
    <dxf>
      <font/>
      <fill>
        <patternFill patternType="solid">
          <fgColor rgb="FFB6D7A8"/>
          <bgColor rgb="FFB6D7A8"/>
        </patternFill>
      </fill>
      <border/>
    </dxf>
    <dxf>
      <font/>
      <fill>
        <patternFill patternType="solid">
          <fgColor rgb="FFE06666"/>
          <bgColor rgb="FFE06666"/>
        </patternFill>
      </fill>
      <border/>
    </dxf>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none"/>
      </fill>
      <border/>
    </dxf>
    <dxf>
      <font/>
      <fill>
        <patternFill patternType="solid">
          <fgColor rgb="FFFF0000"/>
          <bgColor rgb="FFFF0000"/>
        </patternFill>
      </fill>
      <border/>
    </dxf>
    <dxf>
      <font/>
      <fill>
        <patternFill patternType="solid">
          <fgColor rgb="FFFFFFFF"/>
          <bgColor rgb="FFFFFFFF"/>
        </patternFill>
      </fill>
      <border/>
    </dxf>
  </dxfs>
  <tableStyles count="5">
    <tableStyle count="4" pivot="0" name="Early Birds-style">
      <tableStyleElement dxfId="3" type="headerRow"/>
      <tableStyleElement dxfId="4" type="firstRowStripe"/>
      <tableStyleElement dxfId="5" type="secondRowStripe"/>
      <tableStyleElement dxfId="6" size="0" type="wholeTable"/>
    </tableStyle>
    <tableStyle count="4" pivot="0" name="Late Owls-style">
      <tableStyleElement dxfId="3" type="headerRow"/>
      <tableStyleElement dxfId="4" type="firstRowStripe"/>
      <tableStyleElement dxfId="5" type="secondRowStripe"/>
      <tableStyleElement dxfId="6" size="0" type="wholeTable"/>
    </tableStyle>
    <tableStyle count="2" pivot="0" name="Check-style">
      <tableStyleElement dxfId="4" type="firstRowStripe"/>
      <tableStyleElement dxfId="5" type="secondRowStripe"/>
    </tableStyle>
    <tableStyle count="2" pivot="0" name="Check-style 2">
      <tableStyleElement dxfId="4" type="firstRowStripe"/>
      <tableStyleElement dxfId="5" type="secondRowStripe"/>
    </tableStyle>
    <tableStyle count="2" pivot="0" name="Check-style 3">
      <tableStyleElement dxfId="5" type="firstRowStripe"/>
      <tableStyleElement dxfId="4" type="secondRowStripe"/>
    </tableStyle>
  </tableStyles>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123825</xdr:colOff>
      <xdr:row>10</xdr:row>
      <xdr:rowOff>-171450</xdr:rowOff>
    </xdr:from>
    <xdr:ext cx="3686175" cy="7810500"/>
    <xdr:grpSp>
      <xdr:nvGrpSpPr>
        <xdr:cNvPr id="2" name="Shape 2" title="Bản vẽ"/>
        <xdr:cNvGrpSpPr/>
      </xdr:nvGrpSpPr>
      <xdr:grpSpPr>
        <a:xfrm>
          <a:off x="2603770" y="258462"/>
          <a:ext cx="2513355" cy="5335313"/>
          <a:chOff x="2603770" y="258462"/>
          <a:chExt cx="2513355" cy="5335313"/>
        </a:xfrm>
      </xdr:grpSpPr>
      <xdr:sp>
        <xdr:nvSpPr>
          <xdr:cNvPr id="3" name="Shape 3"/>
          <xdr:cNvSpPr/>
        </xdr:nvSpPr>
        <xdr:spPr>
          <a:xfrm>
            <a:off x="4619311" y="258462"/>
            <a:ext cx="396900" cy="396900"/>
          </a:xfrm>
          <a:prstGeom prst="flowChartConnector">
            <a:avLst/>
          </a:prstGeom>
          <a:solidFill>
            <a:srgbClr val="C9DAF8"/>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1</a:t>
            </a:r>
            <a:r>
              <a:rPr lang="en-US" sz="274"/>
              <a:t>1</a:t>
            </a:r>
            <a:endParaRPr sz="274"/>
          </a:p>
        </xdr:txBody>
      </xdr:sp>
      <xdr:sp>
        <xdr:nvSpPr>
          <xdr:cNvPr id="4" name="Shape 4"/>
          <xdr:cNvSpPr/>
        </xdr:nvSpPr>
        <xdr:spPr>
          <a:xfrm>
            <a:off x="3947472" y="258462"/>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2</a:t>
            </a:r>
            <a:endParaRPr sz="274"/>
          </a:p>
        </xdr:txBody>
      </xdr:sp>
      <xdr:sp>
        <xdr:nvSpPr>
          <xdr:cNvPr id="5" name="Shape 5"/>
          <xdr:cNvSpPr/>
        </xdr:nvSpPr>
        <xdr:spPr>
          <a:xfrm>
            <a:off x="3275633" y="258462"/>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3</a:t>
            </a:r>
            <a:endParaRPr sz="274"/>
          </a:p>
        </xdr:txBody>
      </xdr:sp>
      <xdr:sp>
        <xdr:nvSpPr>
          <xdr:cNvPr id="6" name="Shape 6"/>
          <xdr:cNvSpPr/>
        </xdr:nvSpPr>
        <xdr:spPr>
          <a:xfrm>
            <a:off x="2603795" y="258462"/>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4</a:t>
            </a:r>
            <a:endParaRPr sz="274"/>
          </a:p>
        </xdr:txBody>
      </xdr:sp>
      <xdr:sp>
        <xdr:nvSpPr>
          <xdr:cNvPr id="7" name="Shape 7"/>
          <xdr:cNvSpPr/>
        </xdr:nvSpPr>
        <xdr:spPr>
          <a:xfrm>
            <a:off x="4619311" y="747041"/>
            <a:ext cx="396900" cy="396900"/>
          </a:xfrm>
          <a:prstGeom prst="flowChartConnector">
            <a:avLst/>
          </a:prstGeom>
          <a:solidFill>
            <a:srgbClr val="FFF2CC"/>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5</a:t>
            </a:r>
            <a:endParaRPr sz="274"/>
          </a:p>
        </xdr:txBody>
      </xdr:sp>
      <xdr:sp>
        <xdr:nvSpPr>
          <xdr:cNvPr id="8" name="Shape 8"/>
          <xdr:cNvSpPr/>
        </xdr:nvSpPr>
        <xdr:spPr>
          <a:xfrm>
            <a:off x="3947472" y="747041"/>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6</a:t>
            </a:r>
            <a:endParaRPr sz="274"/>
          </a:p>
        </xdr:txBody>
      </xdr:sp>
      <xdr:sp>
        <xdr:nvSpPr>
          <xdr:cNvPr id="9" name="Shape 9"/>
          <xdr:cNvSpPr/>
        </xdr:nvSpPr>
        <xdr:spPr>
          <a:xfrm>
            <a:off x="3275633" y="747041"/>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7</a:t>
            </a:r>
            <a:endParaRPr sz="274"/>
          </a:p>
        </xdr:txBody>
      </xdr:sp>
      <xdr:sp>
        <xdr:nvSpPr>
          <xdr:cNvPr id="10" name="Shape 10"/>
          <xdr:cNvSpPr/>
        </xdr:nvSpPr>
        <xdr:spPr>
          <a:xfrm>
            <a:off x="2603795" y="747041"/>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8</a:t>
            </a:r>
            <a:endParaRPr sz="274"/>
          </a:p>
        </xdr:txBody>
      </xdr:sp>
      <xdr:sp>
        <xdr:nvSpPr>
          <xdr:cNvPr id="11" name="Shape 11"/>
          <xdr:cNvSpPr/>
        </xdr:nvSpPr>
        <xdr:spPr>
          <a:xfrm>
            <a:off x="4619311" y="1597167"/>
            <a:ext cx="396900" cy="396900"/>
          </a:xfrm>
          <a:prstGeom prst="flowChartConnector">
            <a:avLst/>
          </a:prstGeom>
          <a:solidFill>
            <a:srgbClr val="FFF2CC"/>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9</a:t>
            </a:r>
            <a:endParaRPr sz="274"/>
          </a:p>
        </xdr:txBody>
      </xdr:sp>
      <xdr:sp>
        <xdr:nvSpPr>
          <xdr:cNvPr id="12" name="Shape 12"/>
          <xdr:cNvSpPr/>
        </xdr:nvSpPr>
        <xdr:spPr>
          <a:xfrm>
            <a:off x="3947472" y="1597167"/>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10</a:t>
            </a:r>
            <a:endParaRPr sz="274"/>
          </a:p>
        </xdr:txBody>
      </xdr:sp>
      <xdr:sp>
        <xdr:nvSpPr>
          <xdr:cNvPr id="13" name="Shape 13"/>
          <xdr:cNvSpPr/>
        </xdr:nvSpPr>
        <xdr:spPr>
          <a:xfrm>
            <a:off x="3275633" y="1597167"/>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11</a:t>
            </a:r>
            <a:endParaRPr sz="274"/>
          </a:p>
        </xdr:txBody>
      </xdr:sp>
      <xdr:sp>
        <xdr:nvSpPr>
          <xdr:cNvPr id="14" name="Shape 14"/>
          <xdr:cNvSpPr/>
        </xdr:nvSpPr>
        <xdr:spPr>
          <a:xfrm>
            <a:off x="4619311" y="2085746"/>
            <a:ext cx="396900" cy="396900"/>
          </a:xfrm>
          <a:prstGeom prst="flowChartConnector">
            <a:avLst/>
          </a:prstGeom>
          <a:solidFill>
            <a:srgbClr val="FFF2CC"/>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12</a:t>
            </a:r>
            <a:endParaRPr sz="274"/>
          </a:p>
        </xdr:txBody>
      </xdr:sp>
      <xdr:sp>
        <xdr:nvSpPr>
          <xdr:cNvPr id="15" name="Shape 15"/>
          <xdr:cNvSpPr/>
        </xdr:nvSpPr>
        <xdr:spPr>
          <a:xfrm>
            <a:off x="3947472" y="2085746"/>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13</a:t>
            </a:r>
            <a:endParaRPr sz="274"/>
          </a:p>
        </xdr:txBody>
      </xdr:sp>
      <xdr:sp>
        <xdr:nvSpPr>
          <xdr:cNvPr id="16" name="Shape 16"/>
          <xdr:cNvSpPr/>
        </xdr:nvSpPr>
        <xdr:spPr>
          <a:xfrm>
            <a:off x="3275633" y="2085746"/>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14</a:t>
            </a:r>
            <a:endParaRPr sz="274"/>
          </a:p>
        </xdr:txBody>
      </xdr:sp>
      <xdr:sp>
        <xdr:nvSpPr>
          <xdr:cNvPr id="17" name="Shape 17"/>
          <xdr:cNvSpPr/>
        </xdr:nvSpPr>
        <xdr:spPr>
          <a:xfrm>
            <a:off x="4619311" y="2935866"/>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15</a:t>
            </a:r>
            <a:endParaRPr sz="274"/>
          </a:p>
        </xdr:txBody>
      </xdr:sp>
      <xdr:sp>
        <xdr:nvSpPr>
          <xdr:cNvPr id="18" name="Shape 18"/>
          <xdr:cNvSpPr/>
        </xdr:nvSpPr>
        <xdr:spPr>
          <a:xfrm>
            <a:off x="3947472" y="2935866"/>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16</a:t>
            </a:r>
            <a:endParaRPr sz="274"/>
          </a:p>
        </xdr:txBody>
      </xdr:sp>
      <xdr:sp>
        <xdr:nvSpPr>
          <xdr:cNvPr id="19" name="Shape 19"/>
          <xdr:cNvSpPr/>
        </xdr:nvSpPr>
        <xdr:spPr>
          <a:xfrm>
            <a:off x="3275633" y="2935866"/>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17</a:t>
            </a:r>
            <a:endParaRPr sz="274"/>
          </a:p>
        </xdr:txBody>
      </xdr:sp>
      <xdr:sp>
        <xdr:nvSpPr>
          <xdr:cNvPr id="20" name="Shape 20"/>
          <xdr:cNvSpPr/>
        </xdr:nvSpPr>
        <xdr:spPr>
          <a:xfrm>
            <a:off x="2603795" y="2935866"/>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18</a:t>
            </a:r>
            <a:endParaRPr sz="274"/>
          </a:p>
        </xdr:txBody>
      </xdr:sp>
      <xdr:sp>
        <xdr:nvSpPr>
          <xdr:cNvPr id="21" name="Shape 21"/>
          <xdr:cNvSpPr/>
        </xdr:nvSpPr>
        <xdr:spPr>
          <a:xfrm>
            <a:off x="4619311" y="3424445"/>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19</a:t>
            </a:r>
            <a:endParaRPr sz="274"/>
          </a:p>
        </xdr:txBody>
      </xdr:sp>
      <xdr:sp>
        <xdr:nvSpPr>
          <xdr:cNvPr id="22" name="Shape 22"/>
          <xdr:cNvSpPr/>
        </xdr:nvSpPr>
        <xdr:spPr>
          <a:xfrm>
            <a:off x="3947472" y="3424445"/>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20</a:t>
            </a:r>
            <a:endParaRPr sz="274"/>
          </a:p>
        </xdr:txBody>
      </xdr:sp>
      <xdr:sp>
        <xdr:nvSpPr>
          <xdr:cNvPr id="23" name="Shape 23"/>
          <xdr:cNvSpPr/>
        </xdr:nvSpPr>
        <xdr:spPr>
          <a:xfrm>
            <a:off x="3275633" y="3424445"/>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21</a:t>
            </a:r>
            <a:endParaRPr sz="274"/>
          </a:p>
        </xdr:txBody>
      </xdr:sp>
      <xdr:sp>
        <xdr:nvSpPr>
          <xdr:cNvPr id="24" name="Shape 24"/>
          <xdr:cNvSpPr/>
        </xdr:nvSpPr>
        <xdr:spPr>
          <a:xfrm>
            <a:off x="2603795" y="3424445"/>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22</a:t>
            </a:r>
            <a:endParaRPr sz="274"/>
          </a:p>
        </xdr:txBody>
      </xdr:sp>
      <xdr:sp>
        <xdr:nvSpPr>
          <xdr:cNvPr id="25" name="Shape 25"/>
          <xdr:cNvSpPr/>
        </xdr:nvSpPr>
        <xdr:spPr>
          <a:xfrm>
            <a:off x="4619311" y="3969511"/>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23</a:t>
            </a:r>
            <a:endParaRPr sz="274"/>
          </a:p>
        </xdr:txBody>
      </xdr:sp>
      <xdr:sp>
        <xdr:nvSpPr>
          <xdr:cNvPr id="26" name="Shape 26"/>
          <xdr:cNvSpPr/>
        </xdr:nvSpPr>
        <xdr:spPr>
          <a:xfrm>
            <a:off x="3947472" y="3969511"/>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24</a:t>
            </a:r>
            <a:endParaRPr sz="274"/>
          </a:p>
        </xdr:txBody>
      </xdr:sp>
      <xdr:sp>
        <xdr:nvSpPr>
          <xdr:cNvPr id="27" name="Shape 27"/>
          <xdr:cNvSpPr/>
        </xdr:nvSpPr>
        <xdr:spPr>
          <a:xfrm>
            <a:off x="3275633" y="3969511"/>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25</a:t>
            </a:r>
            <a:endParaRPr sz="274"/>
          </a:p>
        </xdr:txBody>
      </xdr:sp>
      <xdr:sp>
        <xdr:nvSpPr>
          <xdr:cNvPr id="28" name="Shape 28"/>
          <xdr:cNvSpPr/>
        </xdr:nvSpPr>
        <xdr:spPr>
          <a:xfrm>
            <a:off x="2603795" y="3969511"/>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26</a:t>
            </a:r>
            <a:endParaRPr sz="274"/>
          </a:p>
        </xdr:txBody>
      </xdr:sp>
      <xdr:sp>
        <xdr:nvSpPr>
          <xdr:cNvPr id="29" name="Shape 29"/>
          <xdr:cNvSpPr/>
        </xdr:nvSpPr>
        <xdr:spPr>
          <a:xfrm>
            <a:off x="4619311" y="4514583"/>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27</a:t>
            </a:r>
            <a:endParaRPr sz="274"/>
          </a:p>
        </xdr:txBody>
      </xdr:sp>
      <xdr:sp>
        <xdr:nvSpPr>
          <xdr:cNvPr id="30" name="Shape 30"/>
          <xdr:cNvSpPr/>
        </xdr:nvSpPr>
        <xdr:spPr>
          <a:xfrm>
            <a:off x="3947472" y="4514583"/>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28</a:t>
            </a:r>
            <a:endParaRPr sz="274"/>
          </a:p>
        </xdr:txBody>
      </xdr:sp>
      <xdr:sp>
        <xdr:nvSpPr>
          <xdr:cNvPr id="31" name="Shape 31"/>
          <xdr:cNvSpPr/>
        </xdr:nvSpPr>
        <xdr:spPr>
          <a:xfrm>
            <a:off x="3275633" y="4514583"/>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29</a:t>
            </a:r>
            <a:endParaRPr sz="274"/>
          </a:p>
        </xdr:txBody>
      </xdr:sp>
      <xdr:sp>
        <xdr:nvSpPr>
          <xdr:cNvPr id="32" name="Shape 32"/>
          <xdr:cNvSpPr/>
        </xdr:nvSpPr>
        <xdr:spPr>
          <a:xfrm>
            <a:off x="2603770" y="4514583"/>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30</a:t>
            </a:r>
            <a:endParaRPr sz="274"/>
          </a:p>
        </xdr:txBody>
      </xdr:sp>
      <xdr:sp>
        <xdr:nvSpPr>
          <xdr:cNvPr id="33" name="Shape 33"/>
          <xdr:cNvSpPr/>
        </xdr:nvSpPr>
        <xdr:spPr>
          <a:xfrm>
            <a:off x="4619311" y="5059649"/>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31</a:t>
            </a:r>
            <a:endParaRPr sz="274"/>
          </a:p>
        </xdr:txBody>
      </xdr:sp>
      <xdr:sp>
        <xdr:nvSpPr>
          <xdr:cNvPr id="34" name="Shape 34"/>
          <xdr:cNvSpPr/>
        </xdr:nvSpPr>
        <xdr:spPr>
          <a:xfrm>
            <a:off x="3947472" y="5059649"/>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32</a:t>
            </a:r>
            <a:endParaRPr sz="274"/>
          </a:p>
        </xdr:txBody>
      </xdr:sp>
      <xdr:sp>
        <xdr:nvSpPr>
          <xdr:cNvPr id="35" name="Shape 35"/>
          <xdr:cNvSpPr/>
        </xdr:nvSpPr>
        <xdr:spPr>
          <a:xfrm>
            <a:off x="3275633" y="5059649"/>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33</a:t>
            </a:r>
            <a:endParaRPr sz="274"/>
          </a:p>
        </xdr:txBody>
      </xdr:sp>
      <xdr:sp>
        <xdr:nvSpPr>
          <xdr:cNvPr id="36" name="Shape 36"/>
          <xdr:cNvSpPr/>
        </xdr:nvSpPr>
        <xdr:spPr>
          <a:xfrm>
            <a:off x="2603795" y="5059649"/>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34</a:t>
            </a:r>
            <a:endParaRPr sz="274"/>
          </a:p>
        </xdr:txBody>
      </xdr:sp>
      <xdr:sp>
        <xdr:nvSpPr>
          <xdr:cNvPr id="37" name="Shape 37"/>
          <xdr:cNvSpPr/>
        </xdr:nvSpPr>
        <xdr:spPr>
          <a:xfrm>
            <a:off x="3693750" y="1269900"/>
            <a:ext cx="232500" cy="201300"/>
          </a:xfrm>
          <a:prstGeom prst="triangle">
            <a:avLst>
              <a:gd fmla="val 50000" name="adj"/>
            </a:avLst>
          </a:prstGeom>
          <a:solidFill>
            <a:srgbClr val="FF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38" name="Shape 38"/>
          <xdr:cNvSpPr/>
        </xdr:nvSpPr>
        <xdr:spPr>
          <a:xfrm>
            <a:off x="4884625" y="3768200"/>
            <a:ext cx="232500" cy="201300"/>
          </a:xfrm>
          <a:prstGeom prst="triangle">
            <a:avLst>
              <a:gd fmla="val 50000" name="adj"/>
            </a:avLst>
          </a:prstGeom>
          <a:solidFill>
            <a:srgbClr val="FF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39" name="Shape 39"/>
          <xdr:cNvSpPr/>
        </xdr:nvSpPr>
        <xdr:spPr>
          <a:xfrm>
            <a:off x="4884625" y="5392475"/>
            <a:ext cx="232500" cy="201300"/>
          </a:xfrm>
          <a:prstGeom prst="triangle">
            <a:avLst>
              <a:gd fmla="val 50000" name="adj"/>
            </a:avLst>
          </a:prstGeom>
          <a:solidFill>
            <a:srgbClr val="FF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grpSp>
    <xdr:clientData fLocksWithSheet="0"/>
  </xdr:oneCellAnchor>
  <xdr:oneCellAnchor>
    <xdr:from>
      <xdr:col>8</xdr:col>
      <xdr:colOff>238125</xdr:colOff>
      <xdr:row>10</xdr:row>
      <xdr:rowOff>-161925</xdr:rowOff>
    </xdr:from>
    <xdr:ext cx="2752725" cy="7810500"/>
    <xdr:grpSp>
      <xdr:nvGrpSpPr>
        <xdr:cNvPr id="2" name="Shape 2" title="Bản vẽ"/>
        <xdr:cNvGrpSpPr/>
      </xdr:nvGrpSpPr>
      <xdr:grpSpPr>
        <a:xfrm>
          <a:off x="3158950" y="258462"/>
          <a:ext cx="1857261" cy="5332813"/>
          <a:chOff x="3158950" y="258462"/>
          <a:chExt cx="1857261" cy="5332813"/>
        </a:xfrm>
      </xdr:grpSpPr>
      <xdr:sp>
        <xdr:nvSpPr>
          <xdr:cNvPr id="40" name="Shape 40"/>
          <xdr:cNvSpPr/>
        </xdr:nvSpPr>
        <xdr:spPr>
          <a:xfrm>
            <a:off x="4619311" y="258462"/>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37</a:t>
            </a:r>
            <a:endParaRPr sz="274"/>
          </a:p>
        </xdr:txBody>
      </xdr:sp>
      <xdr:sp>
        <xdr:nvSpPr>
          <xdr:cNvPr id="41" name="Shape 41"/>
          <xdr:cNvSpPr/>
        </xdr:nvSpPr>
        <xdr:spPr>
          <a:xfrm>
            <a:off x="3947472" y="258462"/>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36</a:t>
            </a:r>
            <a:endParaRPr sz="274"/>
          </a:p>
        </xdr:txBody>
      </xdr:sp>
      <xdr:sp>
        <xdr:nvSpPr>
          <xdr:cNvPr id="42" name="Shape 42"/>
          <xdr:cNvSpPr/>
        </xdr:nvSpPr>
        <xdr:spPr>
          <a:xfrm>
            <a:off x="3275633" y="258462"/>
            <a:ext cx="396900" cy="396900"/>
          </a:xfrm>
          <a:prstGeom prst="flowChartConnector">
            <a:avLst/>
          </a:prstGeom>
          <a:solidFill>
            <a:srgbClr val="FFF2CC"/>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35</a:t>
            </a:r>
            <a:endParaRPr sz="274"/>
          </a:p>
        </xdr:txBody>
      </xdr:sp>
      <xdr:sp>
        <xdr:nvSpPr>
          <xdr:cNvPr id="43" name="Shape 43"/>
          <xdr:cNvSpPr/>
        </xdr:nvSpPr>
        <xdr:spPr>
          <a:xfrm>
            <a:off x="4619311" y="747041"/>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40</a:t>
            </a:r>
            <a:endParaRPr sz="274"/>
          </a:p>
        </xdr:txBody>
      </xdr:sp>
      <xdr:sp>
        <xdr:nvSpPr>
          <xdr:cNvPr id="44" name="Shape 44"/>
          <xdr:cNvSpPr/>
        </xdr:nvSpPr>
        <xdr:spPr>
          <a:xfrm>
            <a:off x="3947472" y="747041"/>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39</a:t>
            </a:r>
            <a:endParaRPr sz="274"/>
          </a:p>
        </xdr:txBody>
      </xdr:sp>
      <xdr:sp>
        <xdr:nvSpPr>
          <xdr:cNvPr id="45" name="Shape 45"/>
          <xdr:cNvSpPr/>
        </xdr:nvSpPr>
        <xdr:spPr>
          <a:xfrm>
            <a:off x="3275633" y="747041"/>
            <a:ext cx="396900" cy="396900"/>
          </a:xfrm>
          <a:prstGeom prst="flowChartConnector">
            <a:avLst/>
          </a:prstGeom>
          <a:solidFill>
            <a:srgbClr val="FFF2CC"/>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38</a:t>
            </a:r>
            <a:endParaRPr sz="274"/>
          </a:p>
        </xdr:txBody>
      </xdr:sp>
      <xdr:sp>
        <xdr:nvSpPr>
          <xdr:cNvPr id="46" name="Shape 46"/>
          <xdr:cNvSpPr/>
        </xdr:nvSpPr>
        <xdr:spPr>
          <a:xfrm>
            <a:off x="4619311" y="1597167"/>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43</a:t>
            </a:r>
            <a:endParaRPr sz="274"/>
          </a:p>
        </xdr:txBody>
      </xdr:sp>
      <xdr:sp>
        <xdr:nvSpPr>
          <xdr:cNvPr id="47" name="Shape 47"/>
          <xdr:cNvSpPr/>
        </xdr:nvSpPr>
        <xdr:spPr>
          <a:xfrm>
            <a:off x="3947472" y="1597167"/>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42</a:t>
            </a:r>
            <a:endParaRPr sz="274"/>
          </a:p>
        </xdr:txBody>
      </xdr:sp>
      <xdr:sp>
        <xdr:nvSpPr>
          <xdr:cNvPr id="48" name="Shape 48"/>
          <xdr:cNvSpPr/>
        </xdr:nvSpPr>
        <xdr:spPr>
          <a:xfrm>
            <a:off x="3275633" y="1597167"/>
            <a:ext cx="396900" cy="396900"/>
          </a:xfrm>
          <a:prstGeom prst="flowChartConnector">
            <a:avLst/>
          </a:prstGeom>
          <a:solidFill>
            <a:srgbClr val="FFF2CC"/>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41</a:t>
            </a:r>
            <a:endParaRPr sz="274"/>
          </a:p>
        </xdr:txBody>
      </xdr:sp>
      <xdr:sp>
        <xdr:nvSpPr>
          <xdr:cNvPr id="49" name="Shape 49"/>
          <xdr:cNvSpPr/>
        </xdr:nvSpPr>
        <xdr:spPr>
          <a:xfrm>
            <a:off x="3947472" y="2085746"/>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45</a:t>
            </a:r>
            <a:endParaRPr sz="274"/>
          </a:p>
        </xdr:txBody>
      </xdr:sp>
      <xdr:sp>
        <xdr:nvSpPr>
          <xdr:cNvPr id="50" name="Shape 50"/>
          <xdr:cNvSpPr/>
        </xdr:nvSpPr>
        <xdr:spPr>
          <a:xfrm>
            <a:off x="3275633" y="2085746"/>
            <a:ext cx="396900" cy="396900"/>
          </a:xfrm>
          <a:prstGeom prst="flowChartConnector">
            <a:avLst/>
          </a:prstGeom>
          <a:solidFill>
            <a:srgbClr val="FFF2CC"/>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44</a:t>
            </a:r>
            <a:endParaRPr sz="274"/>
          </a:p>
        </xdr:txBody>
      </xdr:sp>
      <xdr:sp>
        <xdr:nvSpPr>
          <xdr:cNvPr id="51" name="Shape 51"/>
          <xdr:cNvSpPr/>
        </xdr:nvSpPr>
        <xdr:spPr>
          <a:xfrm>
            <a:off x="4619311" y="2935866"/>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48</a:t>
            </a:r>
            <a:endParaRPr sz="274"/>
          </a:p>
        </xdr:txBody>
      </xdr:sp>
      <xdr:sp>
        <xdr:nvSpPr>
          <xdr:cNvPr id="52" name="Shape 52"/>
          <xdr:cNvSpPr/>
        </xdr:nvSpPr>
        <xdr:spPr>
          <a:xfrm>
            <a:off x="3947472" y="2935866"/>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47</a:t>
            </a:r>
            <a:endParaRPr sz="274"/>
          </a:p>
        </xdr:txBody>
      </xdr:sp>
      <xdr:sp>
        <xdr:nvSpPr>
          <xdr:cNvPr id="53" name="Shape 53"/>
          <xdr:cNvSpPr/>
        </xdr:nvSpPr>
        <xdr:spPr>
          <a:xfrm>
            <a:off x="3275633" y="2935866"/>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46</a:t>
            </a:r>
            <a:endParaRPr sz="274"/>
          </a:p>
        </xdr:txBody>
      </xdr:sp>
      <xdr:sp>
        <xdr:nvSpPr>
          <xdr:cNvPr id="54" name="Shape 54"/>
          <xdr:cNvSpPr/>
        </xdr:nvSpPr>
        <xdr:spPr>
          <a:xfrm>
            <a:off x="4619311" y="3424445"/>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51</a:t>
            </a:r>
            <a:endParaRPr sz="274"/>
          </a:p>
        </xdr:txBody>
      </xdr:sp>
      <xdr:sp>
        <xdr:nvSpPr>
          <xdr:cNvPr id="55" name="Shape 55"/>
          <xdr:cNvSpPr/>
        </xdr:nvSpPr>
        <xdr:spPr>
          <a:xfrm>
            <a:off x="3947472" y="3424445"/>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50</a:t>
            </a:r>
            <a:endParaRPr sz="274"/>
          </a:p>
        </xdr:txBody>
      </xdr:sp>
      <xdr:sp>
        <xdr:nvSpPr>
          <xdr:cNvPr id="56" name="Shape 56"/>
          <xdr:cNvSpPr/>
        </xdr:nvSpPr>
        <xdr:spPr>
          <a:xfrm>
            <a:off x="3275633" y="3424445"/>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49</a:t>
            </a:r>
            <a:endParaRPr sz="274"/>
          </a:p>
        </xdr:txBody>
      </xdr:sp>
      <xdr:sp>
        <xdr:nvSpPr>
          <xdr:cNvPr id="57" name="Shape 57"/>
          <xdr:cNvSpPr/>
        </xdr:nvSpPr>
        <xdr:spPr>
          <a:xfrm>
            <a:off x="4619311" y="3969511"/>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54</a:t>
            </a:r>
            <a:endParaRPr sz="274"/>
          </a:p>
        </xdr:txBody>
      </xdr:sp>
      <xdr:sp>
        <xdr:nvSpPr>
          <xdr:cNvPr id="58" name="Shape 58"/>
          <xdr:cNvSpPr/>
        </xdr:nvSpPr>
        <xdr:spPr>
          <a:xfrm>
            <a:off x="3947472" y="3969511"/>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53</a:t>
            </a:r>
            <a:endParaRPr sz="274"/>
          </a:p>
        </xdr:txBody>
      </xdr:sp>
      <xdr:sp>
        <xdr:nvSpPr>
          <xdr:cNvPr id="59" name="Shape 59"/>
          <xdr:cNvSpPr/>
        </xdr:nvSpPr>
        <xdr:spPr>
          <a:xfrm>
            <a:off x="3275633" y="3969511"/>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52</a:t>
            </a:r>
            <a:endParaRPr sz="274"/>
          </a:p>
        </xdr:txBody>
      </xdr:sp>
      <xdr:sp>
        <xdr:nvSpPr>
          <xdr:cNvPr id="60" name="Shape 60"/>
          <xdr:cNvSpPr/>
        </xdr:nvSpPr>
        <xdr:spPr>
          <a:xfrm>
            <a:off x="4619311" y="4514583"/>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57</a:t>
            </a:r>
            <a:endParaRPr sz="274"/>
          </a:p>
        </xdr:txBody>
      </xdr:sp>
      <xdr:sp>
        <xdr:nvSpPr>
          <xdr:cNvPr id="61" name="Shape 61"/>
          <xdr:cNvSpPr/>
        </xdr:nvSpPr>
        <xdr:spPr>
          <a:xfrm>
            <a:off x="3947472" y="4514583"/>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56</a:t>
            </a:r>
            <a:endParaRPr sz="274"/>
          </a:p>
        </xdr:txBody>
      </xdr:sp>
      <xdr:sp>
        <xdr:nvSpPr>
          <xdr:cNvPr id="62" name="Shape 62"/>
          <xdr:cNvSpPr/>
        </xdr:nvSpPr>
        <xdr:spPr>
          <a:xfrm>
            <a:off x="3275633" y="4514583"/>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55</a:t>
            </a:r>
            <a:endParaRPr sz="274"/>
          </a:p>
        </xdr:txBody>
      </xdr:sp>
      <xdr:sp>
        <xdr:nvSpPr>
          <xdr:cNvPr id="63" name="Shape 63"/>
          <xdr:cNvSpPr/>
        </xdr:nvSpPr>
        <xdr:spPr>
          <a:xfrm>
            <a:off x="4619311" y="5059649"/>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60</a:t>
            </a:r>
            <a:endParaRPr sz="274"/>
          </a:p>
        </xdr:txBody>
      </xdr:sp>
      <xdr:sp>
        <xdr:nvSpPr>
          <xdr:cNvPr id="64" name="Shape 64"/>
          <xdr:cNvSpPr/>
        </xdr:nvSpPr>
        <xdr:spPr>
          <a:xfrm>
            <a:off x="3947472" y="5059649"/>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59</a:t>
            </a:r>
            <a:endParaRPr sz="274"/>
          </a:p>
        </xdr:txBody>
      </xdr:sp>
      <xdr:sp>
        <xdr:nvSpPr>
          <xdr:cNvPr id="65" name="Shape 65"/>
          <xdr:cNvSpPr/>
        </xdr:nvSpPr>
        <xdr:spPr>
          <a:xfrm>
            <a:off x="3275633" y="5059649"/>
            <a:ext cx="396900" cy="396900"/>
          </a:xfrm>
          <a:prstGeom prst="flowChartConnector">
            <a:avLst/>
          </a:prstGeom>
          <a:solidFill>
            <a:srgbClr val="FFFFFF"/>
          </a:solidFill>
          <a:ln cap="flat" cmpd="sng" w="7450">
            <a:solidFill>
              <a:srgbClr val="000000"/>
            </a:solidFill>
            <a:prstDash val="solid"/>
            <a:round/>
            <a:headEnd len="sm" w="sm" type="none"/>
            <a:tailEnd len="sm" w="sm" type="none"/>
          </a:ln>
        </xdr:spPr>
        <xdr:txBody>
          <a:bodyPr anchorCtr="0" anchor="ctr" bIns="17875" lIns="17875" spcFirstLastPara="1" rIns="17875" wrap="square" tIns="17875">
            <a:noAutofit/>
          </a:bodyPr>
          <a:lstStyle/>
          <a:p>
            <a:pPr indent="0" lvl="0" marL="0" rtl="0" algn="ctr">
              <a:spcBef>
                <a:spcPts val="0"/>
              </a:spcBef>
              <a:spcAft>
                <a:spcPts val="0"/>
              </a:spcAft>
              <a:buNone/>
            </a:pPr>
            <a:r>
              <a:rPr lang="en-US" sz="1500"/>
              <a:t>58</a:t>
            </a:r>
            <a:endParaRPr sz="274"/>
          </a:p>
        </xdr:txBody>
      </xdr:sp>
      <xdr:sp>
        <xdr:nvSpPr>
          <xdr:cNvPr id="66" name="Shape 66"/>
          <xdr:cNvSpPr/>
        </xdr:nvSpPr>
        <xdr:spPr>
          <a:xfrm>
            <a:off x="4386800" y="1269913"/>
            <a:ext cx="232500" cy="201300"/>
          </a:xfrm>
          <a:prstGeom prst="triangle">
            <a:avLst>
              <a:gd fmla="val 50000" name="adj"/>
            </a:avLst>
          </a:prstGeom>
          <a:solidFill>
            <a:srgbClr val="FF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7" name="Shape 67"/>
          <xdr:cNvSpPr/>
        </xdr:nvSpPr>
        <xdr:spPr>
          <a:xfrm>
            <a:off x="3158950" y="3786000"/>
            <a:ext cx="232500" cy="201300"/>
          </a:xfrm>
          <a:prstGeom prst="triangle">
            <a:avLst>
              <a:gd fmla="val 50000" name="adj"/>
            </a:avLst>
          </a:prstGeom>
          <a:solidFill>
            <a:srgbClr val="FF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8" name="Shape 68"/>
          <xdr:cNvSpPr/>
        </xdr:nvSpPr>
        <xdr:spPr>
          <a:xfrm>
            <a:off x="3158950" y="5389975"/>
            <a:ext cx="232500" cy="201300"/>
          </a:xfrm>
          <a:prstGeom prst="triangle">
            <a:avLst>
              <a:gd fmla="val 50000" name="adj"/>
            </a:avLst>
          </a:prstGeom>
          <a:solidFill>
            <a:srgbClr val="FF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grpSp>
    <xdr:clientData fLocksWithSheet="0"/>
  </xdr:oneCellAnchor>
  <xdr:oneCellAnchor>
    <xdr:from>
      <xdr:col>14</xdr:col>
      <xdr:colOff>914400</xdr:colOff>
      <xdr:row>7</xdr:row>
      <xdr:rowOff>171450</xdr:rowOff>
    </xdr:from>
    <xdr:ext cx="228600" cy="209550"/>
    <xdr:sp>
      <xdr:nvSpPr>
        <xdr:cNvPr id="69" name="Shape 69"/>
        <xdr:cNvSpPr/>
      </xdr:nvSpPr>
      <xdr:spPr>
        <a:xfrm>
          <a:off x="3880225" y="2009700"/>
          <a:ext cx="402300" cy="348000"/>
        </a:xfrm>
        <a:prstGeom prst="triangle">
          <a:avLst>
            <a:gd fmla="val 50000" name="adj"/>
          </a:avLst>
        </a:prstGeom>
        <a:solidFill>
          <a:srgbClr val="FF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Z107" displayName="Form_Responses" name="Form_Responses" id="1">
  <autoFilter ref="$A$1:$Z$107"/>
  <tableColumns count="26">
    <tableColumn name="Dấu thời gian" id="1"/>
    <tableColumn name="Bạn đăng ký tham dự theo nhóm (tối thiểu 2 người) hay đăng ký tham dự cá nhân?" id="2"/>
    <tableColumn name="Họ và tên " id="3"/>
    <tableColumn name="MSSV " id="4"/>
    <tableColumn name="Email " id="5"/>
    <tableColumn name="Số điện thoại" id="6"/>
    <tableColumn name="Hóa đơn chuyển khoản " id="7"/>
    <tableColumn name="Họ và tên người đại diện " id="8"/>
    <tableColumn name="Email người đại diện " id="9"/>
    <tableColumn name="Số điện thoại người đại diện " id="10"/>
    <tableColumn name="Nhóm bạn tham dự " id="11"/>
    <tableColumn name="Hóa đơn chuyển khoản  2" id="12"/>
    <tableColumn name="Điểm số" id="13"/>
    <tableColumn name="Địa chỉ email" id="14"/>
    <tableColumn name="Số bạn tham dự: (2,3,..)" id="15"/>
    <tableColumn name="Upload ảnh:_x000a_(lưu ý với form nộp theo nhóm, các ảnh cá nhân phải được upload với tên file có dạng: tên_mssv_lớp_khóa)" id="16"/>
    <tableColumn name="Quote:_x000a_(lưu ý với form nộp theo nhóm, vui lòng ghi tên trước câu quote của mình)" id="17"/>
    <tableColumn name="Bạn thuộc chương trình đào tạo và khóa nào?" id="18"/>
    <tableColumn name="Đã up ảnh + quote" id="19"/>
    <tableColumn name="Thể loại:_x000a_VD: Hát (đơn ca, song ca, tốp ca), Nhảy, Múa,..." id="20"/>
    <tableColumn name="Tên tiết mục:" id="21"/>
    <tableColumn name="Mô tả yêu cầu kỹ thuật cho tiết mục:" id="22"/>
    <tableColumn name="Bạn có muốn đăng kí tiết mục văn nghệ không? (Nếu không thì điền không, nếu có thì mô tả chi tiết tiết mục)" id="23"/>
    <tableColumn name="Bạn có muốn đăng kí tiết mục văn nghệ không? (Nếu không thì điền không, nếu có thì mô tả chi tiết tiết mục) 2" id="24"/>
    <tableColumn name="Đã import vào hệ thống" id="25"/>
    <tableColumn name="Ghi chú" id="26"/>
  </tableColumns>
  <tableStyleInfo name="Early Birds-style" showColumnStripes="0" showFirstColumn="1" showLastColumn="1" showRowStripes="1"/>
</table>
</file>

<file path=xl/tables/table2.xml><?xml version="1.0" encoding="utf-8"?>
<table xmlns="http://schemas.openxmlformats.org/spreadsheetml/2006/main" ref="A1:AA107" displayName="Form_Responses_2" name="Form_Responses_2" id="2">
  <autoFilter ref="$A$1:$AA$107"/>
  <tableColumns count="27">
    <tableColumn name="Dấu thời gian" id="1"/>
    <tableColumn name="Email" id="2"/>
    <tableColumn name="Họ và tên " id="3"/>
    <tableColumn name="Bạn đăng ký tham dự theo nhóm (tối thiểu 2 người) hay đăng ký tham dự cá nhân?" id="4"/>
    <tableColumn name="MSSV " id="5"/>
    <tableColumn name="Email " id="6"/>
    <tableColumn name="Số điện thoại" id="7"/>
    <tableColumn name="Hóa đơn chuyển khoản " id="8"/>
    <tableColumn name="Họ và tên người đại diện " id="9"/>
    <tableColumn name="Email người đại diện " id="10"/>
    <tableColumn name="Số điện thoại người đại diện " id="11"/>
    <tableColumn name="Nhóm bạn tham dự " id="12"/>
    <tableColumn name="Hóa đơn chuyển khoản  2" id="13"/>
    <tableColumn name="Điểm số" id="14"/>
    <tableColumn name="Địa chỉ email" id="15"/>
    <tableColumn name="Số bạn tham dự: (2,3,..)" id="16"/>
    <tableColumn name="Upload ảnh:_x000a_(lưu ý với form nộp theo nhóm, các ảnh cá nhân phải được upload với tên file có dạng: tên_mssv_lớp_khóa)" id="17"/>
    <tableColumn name="Quote:_x000a_(lưu ý với form nộp theo nhóm, vui lòng ghi tên trước câu quote của mình)" id="18"/>
    <tableColumn name="Bạn thuộc chương trình đào tạo và khóa nào?" id="19"/>
    <tableColumn name="Đã up ảnh + quote" id="20"/>
    <tableColumn name="Thể loại:_x000a_VD: Hát (đơn ca, song ca, tốp ca), Nhảy, Múa,..." id="21"/>
    <tableColumn name="Tên tiết mục:" id="22"/>
    <tableColumn name="Mô tả yêu cầu kỹ thuật cho tiết mục:" id="23"/>
    <tableColumn name="Bạn có muốn đăng kí tiết mục văn nghệ không? (Nếu không thì điền không, nếu có thì mô tả chi tiết tiết mục)" id="24"/>
    <tableColumn name="Bạn có muốn đăng kí tiết mục văn nghệ không? (Nếu không thì điền không, nếu có thì mô tả chi tiết tiết mục) 2" id="25"/>
    <tableColumn name="Đã import vào hệ thống" id="26"/>
    <tableColumn name="Ghi chú" id="27"/>
  </tableColumns>
  <tableStyleInfo name="Late Owls-style" showColumnStripes="0" showFirstColumn="1" showLastColumn="1" showRowStripes="1"/>
</table>
</file>

<file path=xl/tables/table3.xml><?xml version="1.0" encoding="utf-8"?>
<table xmlns="http://schemas.openxmlformats.org/spreadsheetml/2006/main" headerRowCount="0" ref="A1:B66" displayName="Table_1" name="Table_1" id="3">
  <tableColumns count="2">
    <tableColumn name="Column1" id="1"/>
    <tableColumn name="Column2" id="2"/>
  </tableColumns>
  <tableStyleInfo name="Check-style" showColumnStripes="0" showFirstColumn="1" showLastColumn="1" showRowStripes="1"/>
</table>
</file>

<file path=xl/tables/table4.xml><?xml version="1.0" encoding="utf-8"?>
<table xmlns="http://schemas.openxmlformats.org/spreadsheetml/2006/main" headerRowCount="0" ref="L1:L9" displayName="Table_2" name="Table_2" id="4">
  <tableColumns count="1">
    <tableColumn name="Column1" id="1"/>
  </tableColumns>
  <tableStyleInfo name="Check-style 2" showColumnStripes="0" showFirstColumn="1" showLastColumn="1" showRowStripes="1"/>
</table>
</file>

<file path=xl/tables/table5.xml><?xml version="1.0" encoding="utf-8"?>
<table xmlns="http://schemas.openxmlformats.org/spreadsheetml/2006/main" headerRowCount="0" ref="P28:P56" displayName="Table_3" name="Table_3" id="5">
  <tableColumns count="1">
    <tableColumn name="Column1" id="1"/>
  </tableColumns>
  <tableStyleInfo name="Check-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rive.google.com/open?id=1ST4Knl6OcTMKGb0XpXUjICFIHvMge1ZK" TargetMode="External"/><Relationship Id="rId42" Type="http://schemas.openxmlformats.org/officeDocument/2006/relationships/hyperlink" Target="https://drive.google.com/open?id=1Tc9bDcAAW7JoOTn-EBDRuM3WQh8Isbo2" TargetMode="External"/><Relationship Id="rId41" Type="http://schemas.openxmlformats.org/officeDocument/2006/relationships/hyperlink" Target="https://drive.google.com/open?id=1wzI_G7UBrfzjyrhzyeDDCcvQAEl978Y9" TargetMode="External"/><Relationship Id="rId44" Type="http://schemas.openxmlformats.org/officeDocument/2006/relationships/hyperlink" Target="https://www.youtube.com/watch?v=GDpLyFdt7dI" TargetMode="External"/><Relationship Id="rId43" Type="http://schemas.openxmlformats.org/officeDocument/2006/relationships/hyperlink" Target="https://drive.google.com/open?id=1Ht_wMyWTza42_lCq5npN_4yKIXeV3WuC" TargetMode="External"/><Relationship Id="rId46" Type="http://schemas.openxmlformats.org/officeDocument/2006/relationships/hyperlink" Target="https://drive.google.com/open?id=1IdulUmOKnTaknRu-LTOZ18GVWEkH0eLz" TargetMode="External"/><Relationship Id="rId45" Type="http://schemas.openxmlformats.org/officeDocument/2006/relationships/hyperlink" Target="https://drive.google.com/open?id=1Ma9BDtkF4_xYRQberB6AzSatN3ZYsv4H" TargetMode="External"/><Relationship Id="rId107" Type="http://schemas.openxmlformats.org/officeDocument/2006/relationships/hyperlink" Target="https://drive.google.com/open?id=1UiT4DUg31ydFyz38sTaTI3p1Xuf8b6A0" TargetMode="External"/><Relationship Id="rId106" Type="http://schemas.openxmlformats.org/officeDocument/2006/relationships/hyperlink" Target="https://drive.google.com/open?id=1DVOeLzYR_7csn04IrO_RHsHK17bI5628" TargetMode="External"/><Relationship Id="rId105" Type="http://schemas.openxmlformats.org/officeDocument/2006/relationships/hyperlink" Target="https://drive.google.com/open?id=1f_AVYsmPrsdAjTKKgdbScZwWONqSDUDo" TargetMode="External"/><Relationship Id="rId104" Type="http://schemas.openxmlformats.org/officeDocument/2006/relationships/hyperlink" Target="https://drive.google.com/open?id=1zNV-fLQu2xCF102SPQ9hxlmGQBTsiQ3O" TargetMode="External"/><Relationship Id="rId109" Type="http://schemas.openxmlformats.org/officeDocument/2006/relationships/hyperlink" Target="https://drive.google.com/open?id=19rVdNN2SQtQFMjptyJkDKFVVEBqUhk7W" TargetMode="External"/><Relationship Id="rId108" Type="http://schemas.openxmlformats.org/officeDocument/2006/relationships/hyperlink" Target="https://drive.google.com/open?id=1_zyoHwwKo3PVpciJbYEBjzumUwLKR-4z" TargetMode="External"/><Relationship Id="rId48" Type="http://schemas.openxmlformats.org/officeDocument/2006/relationships/hyperlink" Target="https://drive.google.com/open?id=19G7b3DMRzoyeCigSLZyDU9FheoJWMS4s" TargetMode="External"/><Relationship Id="rId47" Type="http://schemas.openxmlformats.org/officeDocument/2006/relationships/hyperlink" Target="https://drive.google.com/open?id=1-O7fZ4aVeCrtdifNYm3SLoogY5Aioo4V" TargetMode="External"/><Relationship Id="rId49" Type="http://schemas.openxmlformats.org/officeDocument/2006/relationships/hyperlink" Target="https://drive.google.com/open?id=1Gv_aW4tGlCx07Y_LhDSGRyCvLQRwhX-J" TargetMode="External"/><Relationship Id="rId103" Type="http://schemas.openxmlformats.org/officeDocument/2006/relationships/hyperlink" Target="https://drive.google.com/open?id=1gt4K3I7acGc77z-bzmA730GPLCsGCAUM" TargetMode="External"/><Relationship Id="rId102" Type="http://schemas.openxmlformats.org/officeDocument/2006/relationships/hyperlink" Target="https://drive.google.com/open?id=1GocY0BEIWjqwHKZJR1LT9s12gnJ0sNQm" TargetMode="External"/><Relationship Id="rId101" Type="http://schemas.openxmlformats.org/officeDocument/2006/relationships/hyperlink" Target="https://drive.google.com/open?id=1hE10hLC6tt14cPxIO5_olc0j4CKXaAi_" TargetMode="External"/><Relationship Id="rId100" Type="http://schemas.openxmlformats.org/officeDocument/2006/relationships/hyperlink" Target="https://drive.google.com/open?id=191RhaJn5pvAWhnJmqiQA5TK33bZ4_Ezc" TargetMode="External"/><Relationship Id="rId31" Type="http://schemas.openxmlformats.org/officeDocument/2006/relationships/hyperlink" Target="https://drive.google.com/open?id=1Rc64IoS2o1tmkb0KXXu2Wa7LZJWyFeJS" TargetMode="External"/><Relationship Id="rId30" Type="http://schemas.openxmlformats.org/officeDocument/2006/relationships/hyperlink" Target="https://drive.google.com/open?id=1dqMB3F0Ma-e9ofE2uNx8hRx54HCHIguA" TargetMode="External"/><Relationship Id="rId33" Type="http://schemas.openxmlformats.org/officeDocument/2006/relationships/hyperlink" Target="https://drive.google.com/open?id=141WsuMZ-6-FGzIzLygvr8l1u5OeqIJaz" TargetMode="External"/><Relationship Id="rId32" Type="http://schemas.openxmlformats.org/officeDocument/2006/relationships/hyperlink" Target="https://drive.google.com/open?id=1xXJjTbVSRnwfoMdxzGkfCIy6U3dgIcnp" TargetMode="External"/><Relationship Id="rId35" Type="http://schemas.openxmlformats.org/officeDocument/2006/relationships/hyperlink" Target="https://drive.google.com/open?id=18QJZjrE1G3xdK-oJpZPjDfqtD1Fk8S4T" TargetMode="External"/><Relationship Id="rId34" Type="http://schemas.openxmlformats.org/officeDocument/2006/relationships/hyperlink" Target="https://drive.google.com/open?id=1fIeEeRUBvsRCyAYYBULTTdTHSKjaw3G-" TargetMode="External"/><Relationship Id="rId37" Type="http://schemas.openxmlformats.org/officeDocument/2006/relationships/hyperlink" Target="https://drive.google.com/open?id=1owKszlvQbpiwLrub51d6-18P424Yq0oL" TargetMode="External"/><Relationship Id="rId36" Type="http://schemas.openxmlformats.org/officeDocument/2006/relationships/hyperlink" Target="https://drive.google.com/open?id=1fWqxWQUuUiqhHxz__MKd9Hj4IgMjIemP" TargetMode="External"/><Relationship Id="rId39" Type="http://schemas.openxmlformats.org/officeDocument/2006/relationships/hyperlink" Target="https://drive.google.com/open?id=1pdiumC-z7OlhmgJMDfummCli15hZGWzZ" TargetMode="External"/><Relationship Id="rId38" Type="http://schemas.openxmlformats.org/officeDocument/2006/relationships/hyperlink" Target="https://drive.google.com/open?id=1Brqb4le7z63krn-u3zC9SkFY53qyclCB" TargetMode="External"/><Relationship Id="rId20" Type="http://schemas.openxmlformats.org/officeDocument/2006/relationships/hyperlink" Target="https://drive.google.com/open?id=1bGxm6cOi80QJBA1yRPUX9_HSaaz0QbQT" TargetMode="External"/><Relationship Id="rId22" Type="http://schemas.openxmlformats.org/officeDocument/2006/relationships/hyperlink" Target="https://drive.google.com/open?id=1yR07hclq0Q314hD-Tuhj9DQwXwci67iQ" TargetMode="External"/><Relationship Id="rId21" Type="http://schemas.openxmlformats.org/officeDocument/2006/relationships/hyperlink" Target="https://drive.google.com/open?id=13fnkqc8SYrPHQ0DPFZu--yksVWm-rrVO" TargetMode="External"/><Relationship Id="rId24" Type="http://schemas.openxmlformats.org/officeDocument/2006/relationships/hyperlink" Target="https://drive.google.com/open?id=1uFbNc0Tl0Jol1YA0g20eOZCPayCwoFia" TargetMode="External"/><Relationship Id="rId23" Type="http://schemas.openxmlformats.org/officeDocument/2006/relationships/hyperlink" Target="https://drive.google.com/open?id=13AFElip4hSR79AoUFKsUEi8A8YP3-rRP" TargetMode="External"/><Relationship Id="rId129" Type="http://schemas.openxmlformats.org/officeDocument/2006/relationships/hyperlink" Target="https://drive.google.com/open?id=1lKk_P1enyA8VqfghBDkOLjZGjay09u0i" TargetMode="External"/><Relationship Id="rId128" Type="http://schemas.openxmlformats.org/officeDocument/2006/relationships/hyperlink" Target="https://drive.google.com/open?id=1RuYQLarrIaa9d8lHfrWo-KMzGrkc0h7Q" TargetMode="External"/><Relationship Id="rId127" Type="http://schemas.openxmlformats.org/officeDocument/2006/relationships/hyperlink" Target="https://drive.google.com/open?id=1fxpDih-dq55oiSkXjj2-CbGMBbbwqExX" TargetMode="External"/><Relationship Id="rId126" Type="http://schemas.openxmlformats.org/officeDocument/2006/relationships/hyperlink" Target="https://drive.google.com/open?id=1wltZlUDlYSLcfLnpmPNHjfGEuUHIM7ll" TargetMode="External"/><Relationship Id="rId26" Type="http://schemas.openxmlformats.org/officeDocument/2006/relationships/hyperlink" Target="https://drive.google.com/open?id=1RAAKZBxkGMC9Xaf-IalYH4MsbhE0cUcv" TargetMode="External"/><Relationship Id="rId121" Type="http://schemas.openxmlformats.org/officeDocument/2006/relationships/hyperlink" Target="https://drive.google.com/open?id=1sX02fvE_zoyaxEjxDuUt5BrC2SLqwA5l" TargetMode="External"/><Relationship Id="rId25" Type="http://schemas.openxmlformats.org/officeDocument/2006/relationships/hyperlink" Target="https://drive.google.com/open?id=1O0RunUi_0gtlKQ_BWj32KV1sZ3mEJkdz" TargetMode="External"/><Relationship Id="rId120" Type="http://schemas.openxmlformats.org/officeDocument/2006/relationships/hyperlink" Target="https://drive.google.com/open?id=1jan9mcjbwfWAcaQkWHAn0Woh3F0svXi7" TargetMode="External"/><Relationship Id="rId28" Type="http://schemas.openxmlformats.org/officeDocument/2006/relationships/hyperlink" Target="https://drive.google.com/open?id=1webpt8WSdjEU2oUblKJlKB9sqGaxh-XA" TargetMode="External"/><Relationship Id="rId27" Type="http://schemas.openxmlformats.org/officeDocument/2006/relationships/hyperlink" Target="https://drive.google.com/open?id=1ljVzMo4rbAr3moBPIKUol6Mxx43s6zRQ" TargetMode="External"/><Relationship Id="rId125" Type="http://schemas.openxmlformats.org/officeDocument/2006/relationships/hyperlink" Target="https://drive.google.com/open?id=1XDcK9_XXHY5kuArwjuSZnrQ-CZSB2jQI" TargetMode="External"/><Relationship Id="rId29" Type="http://schemas.openxmlformats.org/officeDocument/2006/relationships/hyperlink" Target="https://drive.google.com/open?id=1fybx7yJp4hxlpiX_fiZVBz5Mk9fZYXbJ" TargetMode="External"/><Relationship Id="rId124" Type="http://schemas.openxmlformats.org/officeDocument/2006/relationships/hyperlink" Target="https://drive.google.com/open?id=1ACvMPq4DAELRDsTtnJAwZIOlagraei--" TargetMode="External"/><Relationship Id="rId123" Type="http://schemas.openxmlformats.org/officeDocument/2006/relationships/hyperlink" Target="https://drive.google.com/open?id=19yCRLtFZjCdhMeIj2yd4ZczuwucyCJYa" TargetMode="External"/><Relationship Id="rId122" Type="http://schemas.openxmlformats.org/officeDocument/2006/relationships/hyperlink" Target="https://drive.google.com/open?id=1M03yZXmO7XxU2xbRm4nHrgP6GrOIgQD9" TargetMode="External"/><Relationship Id="rId95" Type="http://schemas.openxmlformats.org/officeDocument/2006/relationships/hyperlink" Target="https://drive.google.com/open?id=1A2F34dh_y5_wM5lGbshSm8pOcmXCgGq2" TargetMode="External"/><Relationship Id="rId94" Type="http://schemas.openxmlformats.org/officeDocument/2006/relationships/hyperlink" Target="https://drive.google.com/open?id=1Tnd7ReNxCou-S7R0Pa6tauvsntrYoBB_" TargetMode="External"/><Relationship Id="rId97" Type="http://schemas.openxmlformats.org/officeDocument/2006/relationships/hyperlink" Target="https://drive.google.com/open?id=16t_4oQiBKfcx38qkFY2b5cdGSEv9KC_g" TargetMode="External"/><Relationship Id="rId96" Type="http://schemas.openxmlformats.org/officeDocument/2006/relationships/hyperlink" Target="https://drive.google.com/open?id=1n7rEkq9ukpP3PfAPzw-R1OYD5PmeqnQo" TargetMode="External"/><Relationship Id="rId11" Type="http://schemas.openxmlformats.org/officeDocument/2006/relationships/hyperlink" Target="https://drive.google.com/open?id=18aVMOHnggXR6_3g9EPYXbO_KY644EEGK" TargetMode="External"/><Relationship Id="rId99" Type="http://schemas.openxmlformats.org/officeDocument/2006/relationships/hyperlink" Target="https://drive.google.com/open?id=1YoxwR_zUKKIHfP6TRCmKPUYY5we6CZJq" TargetMode="External"/><Relationship Id="rId10" Type="http://schemas.openxmlformats.org/officeDocument/2006/relationships/hyperlink" Target="https://drive.google.com/open?id=10tCqxwlPtPz4EY6PDBm5Co2zV0GQ_VPf" TargetMode="External"/><Relationship Id="rId98" Type="http://schemas.openxmlformats.org/officeDocument/2006/relationships/hyperlink" Target="https://drive.google.com/open?id=1fg8WMBOQGGmum7k1dEY525vly7fgUobH" TargetMode="External"/><Relationship Id="rId13" Type="http://schemas.openxmlformats.org/officeDocument/2006/relationships/hyperlink" Target="https://drive.google.com/open?id=1Qv8ACv0fh8h_W8qyCJNEZlyw9g0Q-8T0" TargetMode="External"/><Relationship Id="rId12" Type="http://schemas.openxmlformats.org/officeDocument/2006/relationships/hyperlink" Target="https://drive.google.com/open?id=1He2W1i6fQh1sFrc9etVMg2a7SVoneeAD" TargetMode="External"/><Relationship Id="rId91" Type="http://schemas.openxmlformats.org/officeDocument/2006/relationships/hyperlink" Target="https://drive.google.com/open?id=1sOFe35tEmja-ngnXT72cDlbUsoIiLG9H" TargetMode="External"/><Relationship Id="rId90" Type="http://schemas.openxmlformats.org/officeDocument/2006/relationships/hyperlink" Target="https://drive.google.com/open?id=1N9o8P1gakCaciGmJdeUh5KpEyCLAegS-" TargetMode="External"/><Relationship Id="rId93" Type="http://schemas.openxmlformats.org/officeDocument/2006/relationships/hyperlink" Target="https://drive.google.com/open?id=1NzkAARDeo7W3_bKH9d8FTIJSUd4169qa" TargetMode="External"/><Relationship Id="rId92" Type="http://schemas.openxmlformats.org/officeDocument/2006/relationships/hyperlink" Target="https://drive.google.com/open?id=1tPfvRxclF0d_ytO76fba6hpMBDs47y84" TargetMode="External"/><Relationship Id="rId118" Type="http://schemas.openxmlformats.org/officeDocument/2006/relationships/hyperlink" Target="https://drive.google.com/open?id=1WpAyj-u3LNNJYX54sO8CNfAYD9ICwZbT" TargetMode="External"/><Relationship Id="rId117" Type="http://schemas.openxmlformats.org/officeDocument/2006/relationships/hyperlink" Target="https://drive.google.com/open?id=1mTUi9ECquc3QABunK7oDFvIAeZ_1XxSD" TargetMode="External"/><Relationship Id="rId116" Type="http://schemas.openxmlformats.org/officeDocument/2006/relationships/hyperlink" Target="https://drive.google.com/open?id=12d1pXmzSBVvJmIDk3gNXnPrLWZ0aOzI3" TargetMode="External"/><Relationship Id="rId115" Type="http://schemas.openxmlformats.org/officeDocument/2006/relationships/hyperlink" Target="https://drive.google.com/open?id=1hPPzxdlRVBhaDTGshtlEndJCfcltDrmq" TargetMode="External"/><Relationship Id="rId119" Type="http://schemas.openxmlformats.org/officeDocument/2006/relationships/hyperlink" Target="https://drive.google.com/open?id=1Ch17xB1riXmEXI5rygrKFxq_wbz-hapt" TargetMode="External"/><Relationship Id="rId15" Type="http://schemas.openxmlformats.org/officeDocument/2006/relationships/hyperlink" Target="https://drive.google.com/open?id=1yliqzEXf6B-aool2s1TnQct3CEGrWRlC" TargetMode="External"/><Relationship Id="rId110" Type="http://schemas.openxmlformats.org/officeDocument/2006/relationships/hyperlink" Target="https://drive.google.com/open?id=1xrARjFfI4eYROsn3h_-_QfV894bwVPvE" TargetMode="External"/><Relationship Id="rId14" Type="http://schemas.openxmlformats.org/officeDocument/2006/relationships/hyperlink" Target="https://drive.google.com/open?id=1nWeE5Ln47w2nXSfTMkp4dKjClo6gOuZP" TargetMode="External"/><Relationship Id="rId17" Type="http://schemas.openxmlformats.org/officeDocument/2006/relationships/hyperlink" Target="https://drive.google.com/open?id=123EyldZflGXH_VE6K9OhwrJKalbO1ahH" TargetMode="External"/><Relationship Id="rId16" Type="http://schemas.openxmlformats.org/officeDocument/2006/relationships/hyperlink" Target="https://drive.google.com/open?id=1JVgultzofwjQ54sos-Gsc2ABEDoCh8kT" TargetMode="External"/><Relationship Id="rId19" Type="http://schemas.openxmlformats.org/officeDocument/2006/relationships/hyperlink" Target="https://drive.google.com/open?id=15t2o3QaKiQGfDbKZqTbUyKcHeNj1ZtC-" TargetMode="External"/><Relationship Id="rId114" Type="http://schemas.openxmlformats.org/officeDocument/2006/relationships/hyperlink" Target="https://drive.google.com/open?id=19Efwg0SDV2LOPh_3yvKj-7gRNL3qfGrL" TargetMode="External"/><Relationship Id="rId18" Type="http://schemas.openxmlformats.org/officeDocument/2006/relationships/hyperlink" Target="https://drive.google.com/open?id=12655AZHxLBz7EizyqgpyLKyDP2NwMZxP" TargetMode="External"/><Relationship Id="rId113" Type="http://schemas.openxmlformats.org/officeDocument/2006/relationships/hyperlink" Target="https://drive.google.com/open?id=11n3FdjbYTYt8D9hYAQwSAr-GM2ECz3GE" TargetMode="External"/><Relationship Id="rId112" Type="http://schemas.openxmlformats.org/officeDocument/2006/relationships/hyperlink" Target="https://drive.google.com/open?id=1S-XgWciSYWi0Af8kPxgoYqAnoooF7gz0" TargetMode="External"/><Relationship Id="rId111" Type="http://schemas.openxmlformats.org/officeDocument/2006/relationships/hyperlink" Target="https://drive.google.com/open?id=1fEmoyGgZCrMkjXt_2-l9DBq35XsDm04L" TargetMode="External"/><Relationship Id="rId84" Type="http://schemas.openxmlformats.org/officeDocument/2006/relationships/hyperlink" Target="https://drive.google.com/open?id=1H3hA_3wqEZBuBOOWtnwAx2a1-3jp91I7" TargetMode="External"/><Relationship Id="rId83" Type="http://schemas.openxmlformats.org/officeDocument/2006/relationships/hyperlink" Target="https://drive.google.com/open?id=1RZoiDy25KZ9mIfCktKCRUsQt64tGytgI" TargetMode="External"/><Relationship Id="rId86" Type="http://schemas.openxmlformats.org/officeDocument/2006/relationships/hyperlink" Target="https://drive.google.com/open?id=1nnmB8nVhvOv4Cj7Ib9xldPzX6cnagOuq" TargetMode="External"/><Relationship Id="rId85" Type="http://schemas.openxmlformats.org/officeDocument/2006/relationships/hyperlink" Target="https://drive.google.com/open?id=1iY3dUnddzlrbMaAhEunNxZxOa-aHiLWE" TargetMode="External"/><Relationship Id="rId88" Type="http://schemas.openxmlformats.org/officeDocument/2006/relationships/hyperlink" Target="https://drive.google.com/open?id=1ARJZ0ccYv3CQqnkNZDTNLgGslnax0_Hb" TargetMode="External"/><Relationship Id="rId87" Type="http://schemas.openxmlformats.org/officeDocument/2006/relationships/hyperlink" Target="https://drive.google.com/open?id=1sNfDmPhnSRuNSfYvcJuW4Ymp_l_71YnO" TargetMode="External"/><Relationship Id="rId89" Type="http://schemas.openxmlformats.org/officeDocument/2006/relationships/hyperlink" Target="https://drive.google.com/open?id=1ufQaQghLb9tuw3T101IR8615PG8AYmkA" TargetMode="External"/><Relationship Id="rId80" Type="http://schemas.openxmlformats.org/officeDocument/2006/relationships/hyperlink" Target="https://drive.google.com/open?id=12hV7Qo5CRWbcb4vyzS3QtgyfZq6xcDKT" TargetMode="External"/><Relationship Id="rId82" Type="http://schemas.openxmlformats.org/officeDocument/2006/relationships/hyperlink" Target="https://drive.google.com/open?id=122kpkV_4gWp3VivFVNtev1cp98j6VpMv" TargetMode="External"/><Relationship Id="rId81" Type="http://schemas.openxmlformats.org/officeDocument/2006/relationships/hyperlink" Target="https://drive.google.com/open?id=1LiBJoB7JQ-t8_io9yWBWTZbzHD_hhtU7" TargetMode="External"/><Relationship Id="rId1" Type="http://schemas.openxmlformats.org/officeDocument/2006/relationships/hyperlink" Target="https://drive.google.com/open?id=1nUDfu-YStbOwWdI253f2k5S5YXe-OGvt" TargetMode="External"/><Relationship Id="rId2" Type="http://schemas.openxmlformats.org/officeDocument/2006/relationships/hyperlink" Target="https://drive.google.com/open?id=1_VFnHUIgsdAXjaU01ivlf5SXy-4gzBbb" TargetMode="External"/><Relationship Id="rId3" Type="http://schemas.openxmlformats.org/officeDocument/2006/relationships/hyperlink" Target="https://drive.google.com/open?id=14rIMl1Q9JbdSVhmdLpOiFyTyT6OD1h1m" TargetMode="External"/><Relationship Id="rId4" Type="http://schemas.openxmlformats.org/officeDocument/2006/relationships/hyperlink" Target="https://drive.google.com/open?id=1jZRRJXa0mJJiw239JWGATk6ytz2i5RR0" TargetMode="External"/><Relationship Id="rId9" Type="http://schemas.openxmlformats.org/officeDocument/2006/relationships/hyperlink" Target="https://drive.google.com/open?id=18Fp2TUYo4xBDNIEXPOwhsUCbLQ-rJcht" TargetMode="External"/><Relationship Id="rId5" Type="http://schemas.openxmlformats.org/officeDocument/2006/relationships/hyperlink" Target="https://drive.google.com/open?id=1l0Dz44jkfaJJtAoo6-lyprGKSkYdy7iA" TargetMode="External"/><Relationship Id="rId6" Type="http://schemas.openxmlformats.org/officeDocument/2006/relationships/hyperlink" Target="https://drive.google.com/open?id=13fEgqmFtKx3SDb3581nzRB5apN5jDZQa" TargetMode="External"/><Relationship Id="rId7" Type="http://schemas.openxmlformats.org/officeDocument/2006/relationships/hyperlink" Target="https://drive.google.com/open?id=1qGNwF74umAMjicP41EmxsgMFzMmjS5_V" TargetMode="External"/><Relationship Id="rId8" Type="http://schemas.openxmlformats.org/officeDocument/2006/relationships/hyperlink" Target="https://drive.google.com/open?id=1J3e2fCq9RC0WxZ57YYfvjc_xBOIbS53F" TargetMode="External"/><Relationship Id="rId73" Type="http://schemas.openxmlformats.org/officeDocument/2006/relationships/hyperlink" Target="https://drive.google.com/open?id=1EuiM7pGhDal7nr0x2sOZQwGe43icpyfe" TargetMode="External"/><Relationship Id="rId72" Type="http://schemas.openxmlformats.org/officeDocument/2006/relationships/hyperlink" Target="https://drive.google.com/open?id=1dbHeuZzMyoy7N7pBBPeGHMnx571XCTXw" TargetMode="External"/><Relationship Id="rId75" Type="http://schemas.openxmlformats.org/officeDocument/2006/relationships/hyperlink" Target="https://drive.google.com/open?id=1K1lYkHItWY_JG2jIPEMoE2TkBDKOwOjG" TargetMode="External"/><Relationship Id="rId74" Type="http://schemas.openxmlformats.org/officeDocument/2006/relationships/hyperlink" Target="https://drive.google.com/open?id=12VFrPPAvP1BzZ3b1oz5AnTiJdffuzJDL" TargetMode="External"/><Relationship Id="rId77" Type="http://schemas.openxmlformats.org/officeDocument/2006/relationships/hyperlink" Target="https://drive.google.com/open?id=1iC6yKqG9-9i3tnX68oaSVqZ-jp0N-m8b" TargetMode="External"/><Relationship Id="rId76" Type="http://schemas.openxmlformats.org/officeDocument/2006/relationships/hyperlink" Target="https://drive.google.com/open?id=1xYNsUuT--cE3-nV-Ni3g3SiK07tgRPHP" TargetMode="External"/><Relationship Id="rId79" Type="http://schemas.openxmlformats.org/officeDocument/2006/relationships/hyperlink" Target="https://drive.google.com/open?id=1T31pNQBXqz-VcCxw5Mpl2Vx--UVC8932" TargetMode="External"/><Relationship Id="rId78" Type="http://schemas.openxmlformats.org/officeDocument/2006/relationships/hyperlink" Target="https://drive.google.com/open?id=1JQSL7YDmxqNvadIJBidgVozQlvU3mDro" TargetMode="External"/><Relationship Id="rId71" Type="http://schemas.openxmlformats.org/officeDocument/2006/relationships/hyperlink" Target="https://drive.google.com/open?id=1nU1Ou1eB6IOAYdAT8e2woBbIfbG1Xvxv" TargetMode="External"/><Relationship Id="rId70" Type="http://schemas.openxmlformats.org/officeDocument/2006/relationships/hyperlink" Target="https://drive.google.com/open?id=1ios4o4-8I87JlhGKM9wT3bxGwM4JaFID" TargetMode="External"/><Relationship Id="rId131" Type="http://schemas.openxmlformats.org/officeDocument/2006/relationships/drawing" Target="../drawings/drawing4.xml"/><Relationship Id="rId130" Type="http://schemas.openxmlformats.org/officeDocument/2006/relationships/hyperlink" Target="https://drive.google.com/open?id=1ZvkDlIAh_r5_aXz-jHvefxvqgMc_XOHR" TargetMode="External"/><Relationship Id="rId133" Type="http://schemas.openxmlformats.org/officeDocument/2006/relationships/table" Target="../tables/table1.xml"/><Relationship Id="rId62" Type="http://schemas.openxmlformats.org/officeDocument/2006/relationships/hyperlink" Target="https://drive.google.com/open?id=1MHXRZGfqGMJXieOA7D4Z3D6gvPbRN3GZ" TargetMode="External"/><Relationship Id="rId61" Type="http://schemas.openxmlformats.org/officeDocument/2006/relationships/hyperlink" Target="https://drive.google.com/open?id=1tBNImvzuQ1ZqwHhIN4LY9AeOC0I2yiFV" TargetMode="External"/><Relationship Id="rId64" Type="http://schemas.openxmlformats.org/officeDocument/2006/relationships/hyperlink" Target="https://drive.google.com/open?id=11LJDVmWGeQ6t8xRNAgPF4-xamxYwaALj" TargetMode="External"/><Relationship Id="rId63" Type="http://schemas.openxmlformats.org/officeDocument/2006/relationships/hyperlink" Target="https://drive.google.com/open?id=1su_5IMqsttCIFBY1cfGb1GYjgfONYnTT" TargetMode="External"/><Relationship Id="rId66" Type="http://schemas.openxmlformats.org/officeDocument/2006/relationships/hyperlink" Target="https://drive.google.com/open?id=1T1abhBJFDZ0yXbrTSt7cjYWTpf50BlnG" TargetMode="External"/><Relationship Id="rId65" Type="http://schemas.openxmlformats.org/officeDocument/2006/relationships/hyperlink" Target="https://drive.google.com/open?id=14tNLyp7_IF_AlgM_40D50HQc5Q9VcetE" TargetMode="External"/><Relationship Id="rId68" Type="http://schemas.openxmlformats.org/officeDocument/2006/relationships/hyperlink" Target="https://drive.google.com/open?id=147ymqpprI9VNUhp948oufIcF2BjM-9C1" TargetMode="External"/><Relationship Id="rId67" Type="http://schemas.openxmlformats.org/officeDocument/2006/relationships/hyperlink" Target="https://drive.google.com/open?id=1IRx2GNvuI-RffIdbd6RVghFOgRarsu7r" TargetMode="External"/><Relationship Id="rId60" Type="http://schemas.openxmlformats.org/officeDocument/2006/relationships/hyperlink" Target="https://drive.google.com/open?id=1oQMD9zXqJTcjF9n29903Z6SUpg9JGjj4" TargetMode="External"/><Relationship Id="rId69" Type="http://schemas.openxmlformats.org/officeDocument/2006/relationships/hyperlink" Target="https://drive.google.com/open?id=1lmopCSCeFioX7yvczamsSYemaKlC5Wyi" TargetMode="External"/><Relationship Id="rId51" Type="http://schemas.openxmlformats.org/officeDocument/2006/relationships/hyperlink" Target="https://drive.google.com/open?id=1jBN_fFg31LI2OcdT286kvVBGiuI-0m1i" TargetMode="External"/><Relationship Id="rId50" Type="http://schemas.openxmlformats.org/officeDocument/2006/relationships/hyperlink" Target="https://drive.google.com/open?id=1nc4OZ2ORKDk7OoDPUIRki9zkttd3eHe4" TargetMode="External"/><Relationship Id="rId53" Type="http://schemas.openxmlformats.org/officeDocument/2006/relationships/hyperlink" Target="https://drive.google.com/open?id=1ogbpWAU_yH93Kcz71BxZ6We3MQAJr-Ux" TargetMode="External"/><Relationship Id="rId52" Type="http://schemas.openxmlformats.org/officeDocument/2006/relationships/hyperlink" Target="https://drive.google.com/open?id=1lD-LtQWCIA8lRGe__EBDsvjzvlOwmdkx" TargetMode="External"/><Relationship Id="rId55" Type="http://schemas.openxmlformats.org/officeDocument/2006/relationships/hyperlink" Target="https://drive.google.com/open?id=1vO_KBrs8g5iT5MlL_ntraI5lbFR6ywpV" TargetMode="External"/><Relationship Id="rId54" Type="http://schemas.openxmlformats.org/officeDocument/2006/relationships/hyperlink" Target="https://drive.google.com/open?id=14k2cfVs4azfiwH9_yxuwBL4TVMteLNtl" TargetMode="External"/><Relationship Id="rId57" Type="http://schemas.openxmlformats.org/officeDocument/2006/relationships/hyperlink" Target="https://drive.google.com/open?id=1r4RlDAg76VNW9Cj2YZ0KhH_eWvqmIKf1" TargetMode="External"/><Relationship Id="rId56" Type="http://schemas.openxmlformats.org/officeDocument/2006/relationships/hyperlink" Target="https://drive.google.com/open?id=1n6lhxJi65_H83vZsTgVnuHnD8fcsshAT" TargetMode="External"/><Relationship Id="rId59" Type="http://schemas.openxmlformats.org/officeDocument/2006/relationships/hyperlink" Target="https://drive.google.com/open?id=1XZ2IbJX0ZuX9gaWB_7itp4ib-q06V_0Z" TargetMode="External"/><Relationship Id="rId58" Type="http://schemas.openxmlformats.org/officeDocument/2006/relationships/hyperlink" Target="https://drive.google.com/open?id=1aObWz6dCFimRi9rPEOzYczuMIW-sgL_W"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rive.google.com/open?id=1D8fh0s9U7yttw0qbOmo-ngdqcM-zYYa_" TargetMode="External"/><Relationship Id="rId42" Type="http://schemas.openxmlformats.org/officeDocument/2006/relationships/hyperlink" Target="https://drive.google.com/open?id=1Jl8vcebyvtwzKxZfmqriCpXwXtFt4Czo" TargetMode="External"/><Relationship Id="rId41" Type="http://schemas.openxmlformats.org/officeDocument/2006/relationships/hyperlink" Target="https://drive.google.com/open?id=1kPaVtM4Uhoq2ypNSCKtXqF4r1XcwitgP" TargetMode="External"/><Relationship Id="rId44" Type="http://schemas.openxmlformats.org/officeDocument/2006/relationships/hyperlink" Target="https://drive.google.com/open?id=1zmkTI-Zuc72rr6McxiIC5t8sNtEMvhwg" TargetMode="External"/><Relationship Id="rId43" Type="http://schemas.openxmlformats.org/officeDocument/2006/relationships/hyperlink" Target="https://drive.google.com/open?id=1LXZbl4Yvn7mq9_IC5yUerfTK6B4uTLEN" TargetMode="External"/><Relationship Id="rId45" Type="http://schemas.openxmlformats.org/officeDocument/2006/relationships/drawing" Target="../drawings/drawing5.xml"/><Relationship Id="rId47" Type="http://schemas.openxmlformats.org/officeDocument/2006/relationships/table" Target="../tables/table2.xml"/><Relationship Id="rId31" Type="http://schemas.openxmlformats.org/officeDocument/2006/relationships/hyperlink" Target="https://drive.google.com/open?id=1SqSnjNOh-GN7ah5UCgomi5IloP0vGJ7c" TargetMode="External"/><Relationship Id="rId30" Type="http://schemas.openxmlformats.org/officeDocument/2006/relationships/hyperlink" Target="https://drive.google.com/open?id=1YuGmUZZXJ7OBmoatb9-LBp_zEs_7_jZV" TargetMode="External"/><Relationship Id="rId33" Type="http://schemas.openxmlformats.org/officeDocument/2006/relationships/hyperlink" Target="https://drive.google.com/open?id=1p1LCZiBYEpQYplC_SboDUKNiblq754yl" TargetMode="External"/><Relationship Id="rId32" Type="http://schemas.openxmlformats.org/officeDocument/2006/relationships/hyperlink" Target="https://drive.google.com/open?id=1_rvtgaeLd0t4-2IceA7VW1RNbcghaahZ" TargetMode="External"/><Relationship Id="rId35" Type="http://schemas.openxmlformats.org/officeDocument/2006/relationships/hyperlink" Target="https://drive.google.com/open?id=1XIfGzkev7RVljrb4rRx21NnMpL9QXBBa" TargetMode="External"/><Relationship Id="rId34" Type="http://schemas.openxmlformats.org/officeDocument/2006/relationships/hyperlink" Target="https://drive.google.com/open?id=1Bbc-p9FbG3OKHo3KczzSl8oIprgtJ20n" TargetMode="External"/><Relationship Id="rId37" Type="http://schemas.openxmlformats.org/officeDocument/2006/relationships/hyperlink" Target="https://drive.google.com/open?id=12eT-7l1sF7WbFsi1kExH4zya6GDBgPa_" TargetMode="External"/><Relationship Id="rId36" Type="http://schemas.openxmlformats.org/officeDocument/2006/relationships/hyperlink" Target="https://drive.google.com/open?id=13-iMlSFIYhqyvUnuE7X-pyHPZ9MhKvzP" TargetMode="External"/><Relationship Id="rId39" Type="http://schemas.openxmlformats.org/officeDocument/2006/relationships/hyperlink" Target="https://drive.google.com/open?id=1GPuEFx3w_bR9JA-eHYlRPBx4ZlRrIaQF" TargetMode="External"/><Relationship Id="rId38" Type="http://schemas.openxmlformats.org/officeDocument/2006/relationships/hyperlink" Target="https://drive.google.com/open?id=1f-oTJSN-FB0kzU18iht1tYC2LvHzpc_i" TargetMode="External"/><Relationship Id="rId20" Type="http://schemas.openxmlformats.org/officeDocument/2006/relationships/hyperlink" Target="https://drive.google.com/file/d/1Vsel4WgwekiJzUxuji5iDyN5CRRnK_zJ/view?usp=sharing" TargetMode="External"/><Relationship Id="rId22" Type="http://schemas.openxmlformats.org/officeDocument/2006/relationships/hyperlink" Target="https://drive.google.com/open?id=1NH12i7xjsG6TYdcnQxe050w_sXq0_fA6" TargetMode="External"/><Relationship Id="rId21" Type="http://schemas.openxmlformats.org/officeDocument/2006/relationships/hyperlink" Target="https://drive.google.com/open?id=10cXLZDD_47vHlDmLy94-I3dQ-zTB6Ypt" TargetMode="External"/><Relationship Id="rId24" Type="http://schemas.openxmlformats.org/officeDocument/2006/relationships/hyperlink" Target="https://drive.google.com/open?id=1qd7wdNtlHzPLOeAikknYONN4Cs0proVD" TargetMode="External"/><Relationship Id="rId23" Type="http://schemas.openxmlformats.org/officeDocument/2006/relationships/hyperlink" Target="https://drive.google.com/open?id=1FPCP6Z14SFokvij3czQxM8OHfKgKvQjk" TargetMode="External"/><Relationship Id="rId26" Type="http://schemas.openxmlformats.org/officeDocument/2006/relationships/hyperlink" Target="https://drive.google.com/open?id=1nbF8_AGvMw3YI_319yLMeBYSCFU9cCxS" TargetMode="External"/><Relationship Id="rId25" Type="http://schemas.openxmlformats.org/officeDocument/2006/relationships/hyperlink" Target="https://drive.google.com/open?id=1akVALXYpg8x9oLrQvFlvHVX-QeG6I5FY" TargetMode="External"/><Relationship Id="rId28" Type="http://schemas.openxmlformats.org/officeDocument/2006/relationships/hyperlink" Target="https://drive.google.com/open?id=1IZUnUc5kkXbc2R9awLaq0bfkAWtiomcg" TargetMode="External"/><Relationship Id="rId27" Type="http://schemas.openxmlformats.org/officeDocument/2006/relationships/hyperlink" Target="https://drive.google.com/open?id=1KyiqVFfs-Cf31Tmim8c46qLnM-tYqKdK" TargetMode="External"/><Relationship Id="rId29" Type="http://schemas.openxmlformats.org/officeDocument/2006/relationships/hyperlink" Target="https://drive.google.com/open?id=1X8t51WN-v0HfTuSRzCtwf7XnTm9OALps" TargetMode="External"/><Relationship Id="rId11" Type="http://schemas.openxmlformats.org/officeDocument/2006/relationships/hyperlink" Target="https://drive.google.com/open?id=1FJmslF7WxELMd7iad3OrGeoavJ_EuHiX" TargetMode="External"/><Relationship Id="rId10" Type="http://schemas.openxmlformats.org/officeDocument/2006/relationships/hyperlink" Target="https://drive.google.com/open?id=1D_oiywrnVDFQjMTA0dE0as6xFU_eh24w" TargetMode="External"/><Relationship Id="rId13" Type="http://schemas.openxmlformats.org/officeDocument/2006/relationships/hyperlink" Target="https://drive.google.com/open?id=1WIX_5fkyIsu9OTyZBT9AN2B0lfC6sPe-" TargetMode="External"/><Relationship Id="rId12" Type="http://schemas.openxmlformats.org/officeDocument/2006/relationships/hyperlink" Target="https://drive.google.com/open?id=1dWcWboup_n_XnrJ-bdr7BZfYjxb7C316" TargetMode="External"/><Relationship Id="rId15" Type="http://schemas.openxmlformats.org/officeDocument/2006/relationships/hyperlink" Target="https://drive.google.com/open?id=1UuByWb1saYJ59VYADSn4i-uYwNIqA5gq" TargetMode="External"/><Relationship Id="rId14" Type="http://schemas.openxmlformats.org/officeDocument/2006/relationships/hyperlink" Target="https://drive.google.com/open?id=1wMRg8JDGBvD96A2e2zTtSycEKrB8C3_K" TargetMode="External"/><Relationship Id="rId17" Type="http://schemas.openxmlformats.org/officeDocument/2006/relationships/hyperlink" Target="https://drive.google.com/open?id=1kHsBjJkBgcoOPxxAR_TC4ZVJxOFFRFbU" TargetMode="External"/><Relationship Id="rId16" Type="http://schemas.openxmlformats.org/officeDocument/2006/relationships/hyperlink" Target="https://drive.google.com/open?id=1dKI_Os9hUA6CfN0UwXCffIadm11Pv-bk" TargetMode="External"/><Relationship Id="rId19" Type="http://schemas.openxmlformats.org/officeDocument/2006/relationships/hyperlink" Target="https://drive.google.com/open?id=1QEy0355PNFkbKgAraur3GYosAPsEDTK8" TargetMode="External"/><Relationship Id="rId18" Type="http://schemas.openxmlformats.org/officeDocument/2006/relationships/hyperlink" Target="https://drive.google.com/open?id=1gdJjAh3t4pBjM9SV6m1vlfVydtX2R7Ok" TargetMode="External"/><Relationship Id="rId1" Type="http://schemas.openxmlformats.org/officeDocument/2006/relationships/hyperlink" Target="https://drive.google.com/open?id=1OPyxdzxQ-p2JZSHTXHxbGIudxJ61wGVi" TargetMode="External"/><Relationship Id="rId2" Type="http://schemas.openxmlformats.org/officeDocument/2006/relationships/hyperlink" Target="https://drive.google.com/open?id=18KQezIjSJ0pl3N6EdIqpEb-6PWYe-zLT" TargetMode="External"/><Relationship Id="rId3" Type="http://schemas.openxmlformats.org/officeDocument/2006/relationships/hyperlink" Target="https://drive.google.com/open?id=1y_-ywJ6UAuKz7vFZLwfMZqRmx2p_Yf0Y" TargetMode="External"/><Relationship Id="rId4" Type="http://schemas.openxmlformats.org/officeDocument/2006/relationships/hyperlink" Target="https://drive.google.com/open?id=1XL0N6WNMejSohP219jkAeYd1K2gXmtYX" TargetMode="External"/><Relationship Id="rId9" Type="http://schemas.openxmlformats.org/officeDocument/2006/relationships/hyperlink" Target="https://drive.google.com/open?id=1bBJo2T4zW8p-HWlZCRfpX6wvHv06chp4" TargetMode="External"/><Relationship Id="rId5" Type="http://schemas.openxmlformats.org/officeDocument/2006/relationships/hyperlink" Target="https://drive.google.com/open?id=1MeAFNON4hUABEXm6SNDPx79O-gK1SBS_" TargetMode="External"/><Relationship Id="rId6" Type="http://schemas.openxmlformats.org/officeDocument/2006/relationships/hyperlink" Target="https://drive.google.com/open?id=1uJfTXardyQxZmhiYFcNrWAZgHCWfM7HJ" TargetMode="External"/><Relationship Id="rId7" Type="http://schemas.openxmlformats.org/officeDocument/2006/relationships/hyperlink" Target="https://drive.google.com/open?id=1s8qwB25X9-aH8XXlJHNCR7sD8i_7nzN8" TargetMode="External"/><Relationship Id="rId8" Type="http://schemas.openxmlformats.org/officeDocument/2006/relationships/hyperlink" Target="https://drive.google.com/open?id=1xaeB7oW1xUqgVHT-LKs1Ydhy4P5hOcUL"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5" Type="http://schemas.openxmlformats.org/officeDocument/2006/relationships/table" Target="../tables/table3.xml"/><Relationship Id="rId6" Type="http://schemas.openxmlformats.org/officeDocument/2006/relationships/table" Target="../tables/table4.xml"/><Relationship Id="rId7"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25"/>
    <col customWidth="1" min="13" max="13" width="6.75"/>
    <col customWidth="1" min="15" max="15" width="16.25"/>
    <col customWidth="1" min="16" max="16" width="19.0"/>
  </cols>
  <sheetData>
    <row r="1">
      <c r="A1" s="1"/>
      <c r="B1" s="1"/>
      <c r="C1" s="1"/>
      <c r="D1" s="1"/>
      <c r="E1" s="1"/>
      <c r="F1" s="1"/>
      <c r="G1" s="1"/>
      <c r="H1" s="1"/>
      <c r="I1" s="1"/>
      <c r="J1" s="1"/>
      <c r="K1" s="1"/>
      <c r="L1" s="1"/>
      <c r="M1" s="1"/>
      <c r="N1" s="1"/>
      <c r="O1" s="1"/>
      <c r="P1" s="1"/>
      <c r="Q1" s="1"/>
      <c r="R1" s="1"/>
      <c r="S1" s="1"/>
      <c r="T1" s="1"/>
      <c r="U1" s="1"/>
      <c r="V1" s="1"/>
      <c r="W1" s="1"/>
      <c r="X1" s="1"/>
      <c r="Y1" s="1"/>
      <c r="Z1" s="1"/>
    </row>
    <row r="2">
      <c r="A2" s="1"/>
      <c r="B2" s="2"/>
      <c r="C2" s="3"/>
      <c r="D2" s="4"/>
      <c r="E2" s="5" t="s">
        <v>0</v>
      </c>
      <c r="F2" s="6" t="s">
        <v>1</v>
      </c>
      <c r="G2" s="7"/>
      <c r="H2" s="7"/>
      <c r="I2" s="8"/>
      <c r="J2" s="9"/>
      <c r="K2" s="10" t="s">
        <v>2</v>
      </c>
      <c r="L2" s="11"/>
      <c r="M2" s="12"/>
      <c r="N2" s="1"/>
      <c r="O2" s="1"/>
      <c r="P2" s="1"/>
      <c r="Q2" s="1"/>
      <c r="R2" s="1"/>
      <c r="S2" s="1"/>
      <c r="T2" s="1"/>
      <c r="U2" s="1"/>
      <c r="V2" s="1"/>
      <c r="W2" s="1"/>
      <c r="X2" s="1"/>
      <c r="Y2" s="1"/>
      <c r="Z2" s="1"/>
    </row>
    <row r="3">
      <c r="A3" s="1"/>
      <c r="B3" s="13"/>
      <c r="C3" s="14"/>
      <c r="D3" s="15"/>
      <c r="E3" s="16" t="s">
        <v>1</v>
      </c>
      <c r="F3" s="17" t="s">
        <v>3</v>
      </c>
      <c r="G3" s="18"/>
      <c r="H3" s="18"/>
      <c r="I3" s="19"/>
      <c r="J3" s="16" t="s">
        <v>1</v>
      </c>
      <c r="K3" s="20"/>
      <c r="L3" s="14"/>
      <c r="M3" s="21"/>
      <c r="N3" s="1"/>
      <c r="O3" s="22" t="s">
        <v>4</v>
      </c>
      <c r="P3" s="1"/>
      <c r="Q3" s="1"/>
      <c r="R3" s="1"/>
      <c r="S3" s="1"/>
      <c r="T3" s="1"/>
      <c r="U3" s="1"/>
      <c r="V3" s="1"/>
      <c r="W3" s="1"/>
      <c r="X3" s="1"/>
      <c r="Y3" s="1"/>
      <c r="Z3" s="1"/>
    </row>
    <row r="4">
      <c r="A4" s="1"/>
      <c r="B4" s="13"/>
      <c r="C4" s="14"/>
      <c r="D4" s="14"/>
      <c r="E4" s="23"/>
      <c r="F4" s="24"/>
      <c r="I4" s="25"/>
      <c r="J4" s="26"/>
      <c r="K4" s="14"/>
      <c r="L4" s="14"/>
      <c r="M4" s="21"/>
      <c r="N4" s="1"/>
      <c r="O4" s="27"/>
      <c r="P4" s="5" t="s">
        <v>5</v>
      </c>
      <c r="Q4" s="1"/>
      <c r="R4" s="1"/>
      <c r="S4" s="1"/>
      <c r="T4" s="1"/>
      <c r="U4" s="1"/>
      <c r="V4" s="1"/>
      <c r="W4" s="1"/>
      <c r="X4" s="1"/>
      <c r="Y4" s="1"/>
      <c r="Z4" s="1"/>
    </row>
    <row r="5">
      <c r="A5" s="1"/>
      <c r="B5" s="13"/>
      <c r="C5" s="14"/>
      <c r="D5" s="14"/>
      <c r="E5" s="28"/>
      <c r="F5" s="24"/>
      <c r="I5" s="25"/>
      <c r="J5" s="29"/>
      <c r="K5" s="14"/>
      <c r="L5" s="14"/>
      <c r="M5" s="21"/>
      <c r="N5" s="1"/>
      <c r="O5" s="30"/>
      <c r="P5" s="5" t="s">
        <v>6</v>
      </c>
      <c r="Q5" s="1"/>
      <c r="R5" s="1"/>
      <c r="S5" s="1"/>
      <c r="T5" s="1"/>
      <c r="U5" s="1"/>
      <c r="V5" s="1"/>
      <c r="W5" s="1"/>
      <c r="X5" s="1"/>
      <c r="Y5" s="1"/>
      <c r="Z5" s="1"/>
    </row>
    <row r="6">
      <c r="A6" s="1"/>
      <c r="B6" s="13"/>
      <c r="C6" s="14"/>
      <c r="D6" s="14"/>
      <c r="E6" s="28"/>
      <c r="F6" s="24"/>
      <c r="I6" s="25"/>
      <c r="J6" s="29"/>
      <c r="K6" s="14"/>
      <c r="L6" s="14"/>
      <c r="M6" s="21"/>
      <c r="N6" s="1"/>
      <c r="O6" s="31"/>
      <c r="P6" s="5" t="s">
        <v>7</v>
      </c>
      <c r="Q6" s="1"/>
      <c r="R6" s="1"/>
      <c r="S6" s="1"/>
      <c r="T6" s="1"/>
      <c r="U6" s="1"/>
      <c r="V6" s="1"/>
      <c r="W6" s="1"/>
      <c r="X6" s="1"/>
      <c r="Y6" s="1"/>
      <c r="Z6" s="1"/>
    </row>
    <row r="7">
      <c r="A7" s="1"/>
      <c r="B7" s="13"/>
      <c r="C7" s="14"/>
      <c r="D7" s="14"/>
      <c r="E7" s="28"/>
      <c r="F7" s="32"/>
      <c r="G7" s="33"/>
      <c r="H7" s="33"/>
      <c r="I7" s="34"/>
      <c r="J7" s="29"/>
      <c r="K7" s="14"/>
      <c r="L7" s="14"/>
      <c r="M7" s="21"/>
      <c r="N7" s="1"/>
      <c r="O7" s="1"/>
      <c r="P7" s="1"/>
      <c r="Q7" s="1"/>
      <c r="R7" s="1"/>
      <c r="S7" s="1"/>
      <c r="T7" s="1"/>
      <c r="U7" s="1"/>
      <c r="V7" s="1"/>
      <c r="W7" s="1"/>
      <c r="X7" s="1"/>
    </row>
    <row r="8">
      <c r="A8" s="1"/>
      <c r="B8" s="13"/>
      <c r="C8" s="14"/>
      <c r="D8" s="14"/>
      <c r="E8" s="14"/>
      <c r="F8" s="35"/>
      <c r="G8" s="36"/>
      <c r="H8" s="19"/>
      <c r="I8" s="20"/>
      <c r="J8" s="14"/>
      <c r="K8" s="14"/>
      <c r="L8" s="14"/>
      <c r="M8" s="21"/>
      <c r="N8" s="1"/>
      <c r="O8" s="1"/>
      <c r="P8" s="1"/>
      <c r="Q8" s="1"/>
      <c r="R8" s="1"/>
      <c r="S8" s="1"/>
      <c r="T8" s="1"/>
      <c r="U8" s="1"/>
      <c r="V8" s="1"/>
      <c r="W8" s="1"/>
      <c r="X8" s="1"/>
    </row>
    <row r="9">
      <c r="A9" s="1"/>
      <c r="B9" s="13"/>
      <c r="C9" s="14"/>
      <c r="D9" s="14"/>
      <c r="E9" s="14"/>
      <c r="F9" s="15"/>
      <c r="G9" s="24"/>
      <c r="H9" s="25"/>
      <c r="I9" s="37"/>
      <c r="J9" s="14"/>
      <c r="K9" s="14"/>
      <c r="L9" s="14"/>
      <c r="M9" s="21"/>
      <c r="N9" s="1"/>
      <c r="O9" s="1"/>
      <c r="P9" s="38" t="s">
        <v>8</v>
      </c>
      <c r="Q9" s="1"/>
      <c r="R9" s="1"/>
      <c r="S9" s="1"/>
      <c r="T9" s="1"/>
      <c r="U9" s="1"/>
      <c r="V9" s="1"/>
      <c r="W9" s="1"/>
      <c r="X9" s="1"/>
      <c r="Y9" s="1"/>
      <c r="Z9" s="1"/>
    </row>
    <row r="10">
      <c r="A10" s="1"/>
      <c r="B10" s="13"/>
      <c r="C10" s="39"/>
      <c r="D10" s="40"/>
      <c r="E10" s="40"/>
      <c r="F10" s="41"/>
      <c r="G10" s="24"/>
      <c r="H10" s="25"/>
      <c r="I10" s="42"/>
      <c r="J10" s="40"/>
      <c r="K10" s="40"/>
      <c r="L10" s="41"/>
      <c r="M10" s="21"/>
      <c r="N10" s="1"/>
      <c r="O10" s="1"/>
      <c r="P10" s="1"/>
      <c r="Q10" s="1"/>
      <c r="R10" s="1"/>
      <c r="S10" s="1"/>
      <c r="T10" s="1"/>
      <c r="U10" s="1"/>
      <c r="V10" s="1"/>
      <c r="W10" s="1"/>
      <c r="X10" s="1"/>
      <c r="Y10" s="1"/>
      <c r="Z10" s="1"/>
    </row>
    <row r="11">
      <c r="A11" s="1"/>
      <c r="B11" s="13"/>
      <c r="C11" s="43"/>
      <c r="F11" s="44"/>
      <c r="G11" s="24"/>
      <c r="H11" s="25"/>
      <c r="L11" s="44"/>
      <c r="M11" s="21"/>
      <c r="N11" s="1"/>
      <c r="O11" s="1"/>
      <c r="P11" s="1"/>
      <c r="Q11" s="1"/>
      <c r="R11" s="1"/>
      <c r="S11" s="1"/>
      <c r="T11" s="1"/>
      <c r="U11" s="1"/>
      <c r="V11" s="1"/>
      <c r="W11" s="1"/>
      <c r="X11" s="1"/>
      <c r="Y11" s="1"/>
      <c r="Z11" s="1"/>
    </row>
    <row r="12">
      <c r="A12" s="1"/>
      <c r="B12" s="13"/>
      <c r="C12" s="43"/>
      <c r="F12" s="44"/>
      <c r="G12" s="24"/>
      <c r="H12" s="25"/>
      <c r="L12" s="44"/>
      <c r="M12" s="21"/>
      <c r="N12" s="1"/>
      <c r="O12" s="1"/>
      <c r="P12" s="1"/>
      <c r="Q12" s="1"/>
      <c r="R12" s="1"/>
      <c r="S12" s="1"/>
      <c r="T12" s="1"/>
      <c r="U12" s="1"/>
      <c r="V12" s="1"/>
      <c r="W12" s="1"/>
      <c r="X12" s="1"/>
      <c r="Y12" s="1"/>
      <c r="Z12" s="1"/>
    </row>
    <row r="13">
      <c r="A13" s="1"/>
      <c r="B13" s="13"/>
      <c r="C13" s="43"/>
      <c r="F13" s="44"/>
      <c r="G13" s="24"/>
      <c r="H13" s="25"/>
      <c r="L13" s="44"/>
      <c r="M13" s="21"/>
      <c r="N13" s="1"/>
      <c r="O13" s="1"/>
      <c r="P13" s="1"/>
      <c r="Q13" s="1"/>
      <c r="R13" s="1"/>
      <c r="S13" s="1"/>
      <c r="T13" s="1"/>
      <c r="U13" s="1"/>
      <c r="V13" s="1"/>
      <c r="W13" s="1"/>
      <c r="X13" s="1"/>
      <c r="Y13" s="1"/>
      <c r="Z13" s="1"/>
    </row>
    <row r="14">
      <c r="A14" s="1"/>
      <c r="B14" s="13"/>
      <c r="C14" s="43"/>
      <c r="F14" s="44"/>
      <c r="G14" s="24"/>
      <c r="H14" s="25"/>
      <c r="L14" s="44"/>
      <c r="M14" s="21"/>
      <c r="N14" s="1"/>
      <c r="O14" s="1"/>
      <c r="P14" s="1"/>
      <c r="Q14" s="1"/>
      <c r="R14" s="1"/>
      <c r="S14" s="1"/>
      <c r="T14" s="1"/>
      <c r="U14" s="1"/>
      <c r="V14" s="1"/>
      <c r="W14" s="1"/>
      <c r="X14" s="1"/>
      <c r="Y14" s="1"/>
      <c r="Z14" s="1"/>
    </row>
    <row r="15">
      <c r="A15" s="1"/>
      <c r="B15" s="13"/>
      <c r="C15" s="43"/>
      <c r="F15" s="44"/>
      <c r="G15" s="24"/>
      <c r="H15" s="25"/>
      <c r="L15" s="44"/>
      <c r="M15" s="21"/>
      <c r="N15" s="1"/>
      <c r="O15" s="1"/>
      <c r="P15" s="1"/>
      <c r="Q15" s="1"/>
      <c r="R15" s="1"/>
      <c r="S15" s="1"/>
      <c r="T15" s="1"/>
      <c r="U15" s="1"/>
      <c r="V15" s="1"/>
      <c r="W15" s="1"/>
      <c r="X15" s="1"/>
      <c r="Y15" s="1"/>
      <c r="Z15" s="1"/>
    </row>
    <row r="16">
      <c r="A16" s="1"/>
      <c r="B16" s="13"/>
      <c r="C16" s="43"/>
      <c r="F16" s="44"/>
      <c r="G16" s="24"/>
      <c r="H16" s="25"/>
      <c r="L16" s="44"/>
      <c r="M16" s="45"/>
      <c r="N16" s="1"/>
      <c r="O16" s="1"/>
      <c r="P16" s="1"/>
      <c r="Q16" s="1"/>
      <c r="R16" s="1"/>
      <c r="S16" s="1"/>
      <c r="T16" s="1"/>
      <c r="U16" s="1"/>
      <c r="V16" s="1"/>
      <c r="W16" s="1"/>
      <c r="X16" s="1"/>
      <c r="Y16" s="1"/>
      <c r="Z16" s="1"/>
    </row>
    <row r="17">
      <c r="A17" s="1"/>
      <c r="B17" s="46"/>
      <c r="C17" s="43"/>
      <c r="F17" s="44"/>
      <c r="G17" s="24"/>
      <c r="H17" s="25"/>
      <c r="L17" s="44"/>
      <c r="M17" s="47" t="s">
        <v>2</v>
      </c>
      <c r="N17" s="1"/>
      <c r="O17" s="1"/>
      <c r="P17" s="1"/>
      <c r="Q17" s="1"/>
      <c r="R17" s="1"/>
      <c r="S17" s="1"/>
      <c r="T17" s="1"/>
      <c r="U17" s="1"/>
      <c r="V17" s="1"/>
      <c r="W17" s="1"/>
      <c r="X17" s="1"/>
      <c r="Y17" s="1"/>
      <c r="Z17" s="1"/>
    </row>
    <row r="18">
      <c r="A18" s="1"/>
      <c r="B18" s="48" t="s">
        <v>9</v>
      </c>
      <c r="C18" s="43"/>
      <c r="F18" s="44"/>
      <c r="G18" s="24"/>
      <c r="H18" s="25"/>
      <c r="L18" s="44"/>
      <c r="M18" s="49"/>
      <c r="N18" s="1"/>
      <c r="O18" s="1"/>
      <c r="P18" s="1"/>
      <c r="Q18" s="1"/>
      <c r="R18" s="50"/>
      <c r="S18" s="1"/>
      <c r="T18" s="1"/>
      <c r="U18" s="1"/>
      <c r="V18" s="1"/>
      <c r="W18" s="1"/>
      <c r="X18" s="1"/>
      <c r="Y18" s="1"/>
      <c r="Z18" s="1"/>
    </row>
    <row r="19">
      <c r="A19" s="1"/>
      <c r="B19" s="49"/>
      <c r="C19" s="43"/>
      <c r="F19" s="44"/>
      <c r="G19" s="24"/>
      <c r="H19" s="25"/>
      <c r="L19" s="44"/>
      <c r="M19" s="49"/>
      <c r="N19" s="1"/>
      <c r="O19" s="1"/>
      <c r="P19" s="50"/>
      <c r="Q19" s="51"/>
      <c r="R19" s="50"/>
      <c r="S19" s="50"/>
      <c r="T19" s="1"/>
      <c r="U19" s="1"/>
      <c r="V19" s="1"/>
      <c r="W19" s="1"/>
      <c r="X19" s="1"/>
      <c r="Y19" s="1"/>
      <c r="Z19" s="1"/>
    </row>
    <row r="20">
      <c r="A20" s="1"/>
      <c r="B20" s="49"/>
      <c r="C20" s="43"/>
      <c r="F20" s="44"/>
      <c r="G20" s="24"/>
      <c r="H20" s="25"/>
      <c r="L20" s="44"/>
      <c r="M20" s="52"/>
      <c r="N20" s="1"/>
      <c r="O20" s="1"/>
      <c r="P20" s="50"/>
      <c r="Q20" s="50"/>
      <c r="R20" s="50"/>
      <c r="S20" s="1"/>
      <c r="T20" s="1"/>
      <c r="U20" s="1"/>
      <c r="V20" s="1"/>
      <c r="W20" s="1"/>
      <c r="X20" s="1"/>
      <c r="Y20" s="1"/>
      <c r="Z20" s="1"/>
    </row>
    <row r="21">
      <c r="A21" s="1"/>
      <c r="B21" s="49"/>
      <c r="C21" s="43"/>
      <c r="F21" s="44"/>
      <c r="G21" s="24"/>
      <c r="H21" s="25"/>
      <c r="L21" s="44"/>
      <c r="M21" s="53"/>
      <c r="N21" s="1"/>
      <c r="O21" s="1"/>
      <c r="P21" s="50"/>
      <c r="Q21" s="50"/>
      <c r="R21" s="1"/>
      <c r="S21" s="1"/>
      <c r="T21" s="1"/>
      <c r="U21" s="1"/>
      <c r="V21" s="1"/>
      <c r="W21" s="1"/>
      <c r="X21" s="1"/>
      <c r="Y21" s="1"/>
      <c r="Z21" s="1"/>
    </row>
    <row r="22">
      <c r="A22" s="1"/>
      <c r="B22" s="49"/>
      <c r="C22" s="43"/>
      <c r="F22" s="44"/>
      <c r="G22" s="24"/>
      <c r="H22" s="25"/>
      <c r="L22" s="44"/>
      <c r="M22" s="21"/>
      <c r="N22" s="1"/>
      <c r="O22" s="1"/>
      <c r="P22" s="50"/>
      <c r="Q22" s="50"/>
      <c r="R22" s="1"/>
      <c r="S22" s="1"/>
      <c r="T22" s="1"/>
      <c r="U22" s="1"/>
      <c r="V22" s="1"/>
      <c r="W22" s="1"/>
      <c r="X22" s="1"/>
      <c r="Y22" s="1"/>
      <c r="Z22" s="1"/>
    </row>
    <row r="23">
      <c r="A23" s="1"/>
      <c r="B23" s="49"/>
      <c r="C23" s="43"/>
      <c r="F23" s="44"/>
      <c r="G23" s="24"/>
      <c r="H23" s="25"/>
      <c r="L23" s="44"/>
      <c r="M23" s="21"/>
      <c r="N23" s="1"/>
      <c r="O23" s="1"/>
      <c r="P23" s="50"/>
      <c r="Q23" s="50"/>
      <c r="R23" s="1"/>
      <c r="S23" s="50"/>
      <c r="T23" s="1"/>
      <c r="U23" s="1"/>
      <c r="V23" s="1"/>
      <c r="W23" s="1"/>
      <c r="X23" s="1"/>
      <c r="Y23" s="1"/>
      <c r="Z23" s="1"/>
    </row>
    <row r="24">
      <c r="A24" s="1"/>
      <c r="B24" s="49"/>
      <c r="C24" s="43"/>
      <c r="F24" s="44"/>
      <c r="G24" s="24"/>
      <c r="H24" s="25"/>
      <c r="L24" s="44"/>
      <c r="M24" s="21"/>
      <c r="N24" s="1"/>
      <c r="O24" s="1"/>
      <c r="P24" s="50"/>
      <c r="Q24" s="1"/>
      <c r="R24" s="50"/>
      <c r="S24" s="1"/>
      <c r="T24" s="1"/>
      <c r="U24" s="1"/>
      <c r="V24" s="1"/>
      <c r="W24" s="1"/>
      <c r="X24" s="1"/>
      <c r="Y24" s="1"/>
      <c r="Z24" s="1"/>
    </row>
    <row r="25">
      <c r="A25" s="1"/>
      <c r="B25" s="49"/>
      <c r="C25" s="43"/>
      <c r="F25" s="44"/>
      <c r="G25" s="24"/>
      <c r="H25" s="25"/>
      <c r="L25" s="44"/>
      <c r="M25" s="21"/>
      <c r="N25" s="1"/>
      <c r="O25" s="1"/>
      <c r="P25" s="50"/>
      <c r="Q25" s="1"/>
      <c r="R25" s="1"/>
      <c r="S25" s="1"/>
      <c r="T25" s="1"/>
      <c r="U25" s="1"/>
      <c r="V25" s="1"/>
      <c r="W25" s="1"/>
      <c r="X25" s="1"/>
      <c r="Y25" s="1"/>
      <c r="Z25" s="1"/>
    </row>
    <row r="26">
      <c r="A26" s="1"/>
      <c r="B26" s="49"/>
      <c r="C26" s="43"/>
      <c r="F26" s="44"/>
      <c r="G26" s="24"/>
      <c r="H26" s="25"/>
      <c r="L26" s="44"/>
      <c r="M26" s="21"/>
      <c r="N26" s="1"/>
      <c r="O26" s="1"/>
      <c r="P26" s="1"/>
      <c r="Q26" s="1"/>
      <c r="R26" s="1"/>
      <c r="S26" s="1"/>
      <c r="T26" s="1"/>
      <c r="U26" s="1"/>
      <c r="V26" s="1"/>
      <c r="W26" s="1"/>
      <c r="X26" s="1"/>
      <c r="Y26" s="1"/>
      <c r="Z26" s="1"/>
    </row>
    <row r="27">
      <c r="A27" s="1"/>
      <c r="B27" s="49"/>
      <c r="C27" s="43"/>
      <c r="F27" s="44"/>
      <c r="G27" s="24"/>
      <c r="H27" s="25"/>
      <c r="L27" s="44"/>
      <c r="M27" s="21"/>
      <c r="N27" s="1"/>
      <c r="O27" s="1"/>
      <c r="P27" s="1"/>
      <c r="Q27" s="1"/>
      <c r="R27" s="1"/>
      <c r="S27" s="1"/>
      <c r="T27" s="1"/>
      <c r="U27" s="1"/>
      <c r="V27" s="1"/>
      <c r="W27" s="1"/>
      <c r="X27" s="1"/>
      <c r="Y27" s="1"/>
      <c r="Z27" s="1"/>
    </row>
    <row r="28">
      <c r="A28" s="1"/>
      <c r="B28" s="52"/>
      <c r="C28" s="43"/>
      <c r="F28" s="44"/>
      <c r="G28" s="24"/>
      <c r="H28" s="25"/>
      <c r="L28" s="44"/>
      <c r="M28" s="21"/>
      <c r="N28" s="1"/>
      <c r="O28" s="1"/>
      <c r="P28" s="1"/>
      <c r="Q28" s="1"/>
      <c r="R28" s="1"/>
      <c r="S28" s="1"/>
      <c r="T28" s="1"/>
      <c r="U28" s="1"/>
      <c r="V28" s="1"/>
      <c r="W28" s="1"/>
      <c r="X28" s="1"/>
      <c r="Y28" s="1"/>
      <c r="Z28" s="1"/>
    </row>
    <row r="29">
      <c r="A29" s="1"/>
      <c r="B29" s="54"/>
      <c r="C29" s="43"/>
      <c r="F29" s="44"/>
      <c r="G29" s="24"/>
      <c r="H29" s="25"/>
      <c r="L29" s="44"/>
      <c r="M29" s="21"/>
      <c r="N29" s="1"/>
      <c r="O29" s="1"/>
      <c r="P29" s="1"/>
      <c r="Q29" s="1"/>
      <c r="R29" s="1"/>
      <c r="S29" s="1"/>
      <c r="T29" s="1"/>
      <c r="U29" s="1"/>
      <c r="V29" s="1"/>
      <c r="W29" s="1"/>
      <c r="X29" s="1"/>
      <c r="Y29" s="1"/>
      <c r="Z29" s="1"/>
    </row>
    <row r="30">
      <c r="A30" s="1"/>
      <c r="B30" s="13"/>
      <c r="C30" s="43"/>
      <c r="F30" s="44"/>
      <c r="G30" s="24"/>
      <c r="H30" s="25"/>
      <c r="L30" s="44"/>
      <c r="M30" s="21"/>
      <c r="N30" s="1"/>
      <c r="O30" s="1"/>
      <c r="P30" s="1"/>
      <c r="Q30" s="1"/>
      <c r="R30" s="1"/>
      <c r="S30" s="1"/>
      <c r="T30" s="1"/>
      <c r="U30" s="1"/>
      <c r="V30" s="1"/>
      <c r="W30" s="1"/>
      <c r="X30" s="1"/>
      <c r="Y30" s="1"/>
      <c r="Z30" s="1"/>
    </row>
    <row r="31">
      <c r="A31" s="1"/>
      <c r="B31" s="13"/>
      <c r="C31" s="43"/>
      <c r="F31" s="44"/>
      <c r="G31" s="24"/>
      <c r="H31" s="25"/>
      <c r="L31" s="44"/>
      <c r="M31" s="21"/>
      <c r="N31" s="1"/>
      <c r="O31" s="1"/>
      <c r="P31" s="1"/>
      <c r="Q31" s="1"/>
      <c r="R31" s="1"/>
      <c r="S31" s="1"/>
      <c r="T31" s="1"/>
      <c r="U31" s="1"/>
      <c r="V31" s="1"/>
      <c r="W31" s="1"/>
      <c r="X31" s="1"/>
      <c r="Y31" s="1"/>
      <c r="Z31" s="1"/>
    </row>
    <row r="32">
      <c r="A32" s="1"/>
      <c r="B32" s="13"/>
      <c r="C32" s="43"/>
      <c r="F32" s="44"/>
      <c r="G32" s="24"/>
      <c r="H32" s="25"/>
      <c r="L32" s="44"/>
      <c r="M32" s="21"/>
      <c r="N32" s="1"/>
      <c r="O32" s="1"/>
      <c r="P32" s="1"/>
      <c r="Q32" s="1"/>
      <c r="R32" s="1"/>
      <c r="S32" s="1"/>
      <c r="T32" s="1"/>
      <c r="U32" s="1"/>
      <c r="V32" s="1"/>
      <c r="W32" s="1"/>
      <c r="X32" s="1"/>
      <c r="Y32" s="1"/>
      <c r="Z32" s="1"/>
    </row>
    <row r="33">
      <c r="A33" s="1"/>
      <c r="B33" s="13"/>
      <c r="C33" s="43"/>
      <c r="F33" s="44"/>
      <c r="G33" s="24"/>
      <c r="H33" s="25"/>
      <c r="L33" s="44"/>
      <c r="M33" s="21"/>
      <c r="N33" s="1"/>
      <c r="O33" s="1"/>
      <c r="P33" s="1"/>
      <c r="Q33" s="1"/>
      <c r="R33" s="1"/>
      <c r="S33" s="1"/>
      <c r="T33" s="1"/>
      <c r="U33" s="1"/>
      <c r="V33" s="1"/>
      <c r="W33" s="1"/>
      <c r="X33" s="1"/>
      <c r="Y33" s="1"/>
      <c r="Z33" s="1"/>
    </row>
    <row r="34">
      <c r="A34" s="1"/>
      <c r="B34" s="13"/>
      <c r="C34" s="43"/>
      <c r="F34" s="44"/>
      <c r="G34" s="24"/>
      <c r="H34" s="25"/>
      <c r="L34" s="44"/>
      <c r="M34" s="21"/>
      <c r="N34" s="1"/>
      <c r="O34" s="1"/>
      <c r="P34" s="1"/>
      <c r="Q34" s="1"/>
      <c r="R34" s="1"/>
      <c r="S34" s="1"/>
      <c r="T34" s="1"/>
      <c r="U34" s="1"/>
      <c r="V34" s="1"/>
      <c r="W34" s="1"/>
      <c r="X34" s="1"/>
      <c r="Y34" s="1"/>
      <c r="Z34" s="1"/>
    </row>
    <row r="35">
      <c r="A35" s="1"/>
      <c r="B35" s="13"/>
      <c r="C35" s="43"/>
      <c r="F35" s="44"/>
      <c r="G35" s="24"/>
      <c r="H35" s="25"/>
      <c r="L35" s="44"/>
      <c r="M35" s="21"/>
      <c r="N35" s="1"/>
      <c r="O35" s="1"/>
      <c r="P35" s="1"/>
      <c r="Q35" s="1"/>
      <c r="R35" s="1"/>
      <c r="S35" s="1"/>
      <c r="T35" s="1"/>
      <c r="U35" s="1"/>
      <c r="V35" s="1"/>
      <c r="W35" s="1"/>
      <c r="X35" s="1"/>
      <c r="Y35" s="1"/>
      <c r="Z35" s="1"/>
    </row>
    <row r="36">
      <c r="A36" s="1"/>
      <c r="B36" s="13"/>
      <c r="C36" s="43"/>
      <c r="F36" s="44"/>
      <c r="G36" s="24"/>
      <c r="H36" s="25"/>
      <c r="L36" s="44"/>
      <c r="M36" s="21"/>
      <c r="N36" s="1"/>
      <c r="O36" s="1"/>
      <c r="P36" s="1"/>
      <c r="Q36" s="1"/>
      <c r="R36" s="1"/>
      <c r="S36" s="1"/>
      <c r="T36" s="1"/>
      <c r="U36" s="1"/>
      <c r="V36" s="1"/>
      <c r="W36" s="1"/>
      <c r="X36" s="1"/>
      <c r="Y36" s="1"/>
      <c r="Z36" s="1"/>
    </row>
    <row r="37">
      <c r="A37" s="1"/>
      <c r="B37" s="13"/>
      <c r="C37" s="43"/>
      <c r="F37" s="44"/>
      <c r="G37" s="24"/>
      <c r="H37" s="25"/>
      <c r="L37" s="44"/>
      <c r="M37" s="21"/>
      <c r="N37" s="1"/>
      <c r="O37" s="1"/>
      <c r="P37" s="1"/>
      <c r="Q37" s="1"/>
      <c r="R37" s="1"/>
      <c r="S37" s="1"/>
      <c r="T37" s="1"/>
      <c r="U37" s="1"/>
      <c r="V37" s="1"/>
      <c r="W37" s="1"/>
      <c r="X37" s="1"/>
      <c r="Y37" s="1"/>
      <c r="Z37" s="1"/>
    </row>
    <row r="38">
      <c r="A38" s="1"/>
      <c r="B38" s="13"/>
      <c r="C38" s="43"/>
      <c r="F38" s="44"/>
      <c r="G38" s="24"/>
      <c r="H38" s="25"/>
      <c r="L38" s="44"/>
      <c r="M38" s="21"/>
      <c r="N38" s="1"/>
      <c r="O38" s="1"/>
      <c r="P38" s="1"/>
      <c r="Q38" s="1"/>
      <c r="R38" s="1"/>
      <c r="S38" s="1"/>
      <c r="T38" s="1"/>
      <c r="U38" s="1"/>
      <c r="V38" s="1"/>
      <c r="W38" s="1"/>
      <c r="X38" s="1"/>
      <c r="Y38" s="1"/>
      <c r="Z38" s="1"/>
    </row>
    <row r="39">
      <c r="A39" s="1"/>
      <c r="B39" s="13"/>
      <c r="C39" s="43"/>
      <c r="F39" s="44"/>
      <c r="G39" s="24"/>
      <c r="H39" s="25"/>
      <c r="L39" s="44"/>
      <c r="M39" s="21"/>
      <c r="N39" s="1"/>
      <c r="O39" s="1"/>
      <c r="P39" s="1"/>
      <c r="Q39" s="1"/>
      <c r="R39" s="1"/>
      <c r="S39" s="1"/>
      <c r="T39" s="1"/>
      <c r="U39" s="1"/>
      <c r="V39" s="1"/>
      <c r="W39" s="1"/>
      <c r="X39" s="1"/>
      <c r="Y39" s="1"/>
      <c r="Z39" s="1"/>
    </row>
    <row r="40">
      <c r="A40" s="1"/>
      <c r="B40" s="13"/>
      <c r="C40" s="43"/>
      <c r="F40" s="44"/>
      <c r="G40" s="24"/>
      <c r="H40" s="25"/>
      <c r="L40" s="44"/>
      <c r="M40" s="21"/>
      <c r="N40" s="1"/>
      <c r="O40" s="1"/>
      <c r="P40" s="1"/>
      <c r="Q40" s="1"/>
      <c r="R40" s="1"/>
      <c r="S40" s="1"/>
      <c r="T40" s="1"/>
      <c r="U40" s="1"/>
      <c r="V40" s="1"/>
      <c r="W40" s="1"/>
      <c r="X40" s="1"/>
      <c r="Y40" s="1"/>
      <c r="Z40" s="1"/>
    </row>
    <row r="41">
      <c r="A41" s="1"/>
      <c r="B41" s="13"/>
      <c r="C41" s="43"/>
      <c r="F41" s="44"/>
      <c r="G41" s="24"/>
      <c r="H41" s="25"/>
      <c r="L41" s="44"/>
      <c r="M41" s="21"/>
      <c r="N41" s="1"/>
      <c r="O41" s="1"/>
      <c r="P41" s="1"/>
      <c r="Q41" s="1"/>
      <c r="R41" s="1"/>
      <c r="S41" s="1"/>
      <c r="T41" s="1"/>
      <c r="U41" s="1"/>
      <c r="V41" s="1"/>
      <c r="W41" s="1"/>
      <c r="X41" s="1"/>
      <c r="Y41" s="1"/>
      <c r="Z41" s="1"/>
    </row>
    <row r="42">
      <c r="A42" s="1"/>
      <c r="B42" s="13"/>
      <c r="C42" s="43"/>
      <c r="F42" s="44"/>
      <c r="G42" s="24"/>
      <c r="H42" s="25"/>
      <c r="L42" s="44"/>
      <c r="M42" s="21"/>
      <c r="N42" s="1"/>
      <c r="O42" s="1"/>
      <c r="P42" s="1"/>
      <c r="Q42" s="1"/>
      <c r="R42" s="1"/>
      <c r="S42" s="1"/>
      <c r="T42" s="1"/>
      <c r="U42" s="1"/>
      <c r="V42" s="1"/>
      <c r="W42" s="1"/>
      <c r="X42" s="1"/>
      <c r="Y42" s="1"/>
      <c r="Z42" s="1"/>
    </row>
    <row r="43">
      <c r="A43" s="1"/>
      <c r="B43" s="13"/>
      <c r="C43" s="43"/>
      <c r="F43" s="44"/>
      <c r="G43" s="24"/>
      <c r="H43" s="25"/>
      <c r="L43" s="44"/>
      <c r="M43" s="21"/>
      <c r="N43" s="1"/>
      <c r="O43" s="1"/>
      <c r="P43" s="1"/>
      <c r="Q43" s="1"/>
      <c r="R43" s="1"/>
      <c r="S43" s="1"/>
      <c r="T43" s="1"/>
      <c r="U43" s="1"/>
      <c r="V43" s="1"/>
      <c r="W43" s="1"/>
      <c r="X43" s="1"/>
      <c r="Y43" s="1"/>
      <c r="Z43" s="1"/>
    </row>
    <row r="44">
      <c r="A44" s="1"/>
      <c r="B44" s="13"/>
      <c r="C44" s="43"/>
      <c r="F44" s="44"/>
      <c r="G44" s="24"/>
      <c r="H44" s="25"/>
      <c r="L44" s="44"/>
      <c r="M44" s="21"/>
      <c r="N44" s="1"/>
      <c r="O44" s="1"/>
      <c r="P44" s="1"/>
      <c r="Q44" s="1"/>
      <c r="R44" s="1"/>
      <c r="S44" s="1"/>
      <c r="T44" s="1"/>
      <c r="U44" s="1"/>
      <c r="V44" s="1"/>
      <c r="W44" s="1"/>
      <c r="X44" s="1"/>
      <c r="Y44" s="1"/>
      <c r="Z44" s="1"/>
    </row>
    <row r="45">
      <c r="A45" s="1"/>
      <c r="B45" s="13"/>
      <c r="C45" s="43"/>
      <c r="F45" s="44"/>
      <c r="G45" s="24"/>
      <c r="H45" s="25"/>
      <c r="L45" s="44"/>
      <c r="M45" s="21"/>
      <c r="N45" s="1"/>
      <c r="O45" s="1"/>
      <c r="P45" s="1"/>
      <c r="Q45" s="1"/>
      <c r="R45" s="1"/>
      <c r="S45" s="1"/>
      <c r="T45" s="1"/>
      <c r="U45" s="1"/>
      <c r="V45" s="1"/>
      <c r="W45" s="1"/>
      <c r="X45" s="1"/>
      <c r="Y45" s="1"/>
      <c r="Z45" s="1"/>
    </row>
    <row r="46">
      <c r="A46" s="1"/>
      <c r="B46" s="13"/>
      <c r="C46" s="43"/>
      <c r="F46" s="44"/>
      <c r="G46" s="24"/>
      <c r="H46" s="25"/>
      <c r="L46" s="44"/>
      <c r="M46" s="21"/>
      <c r="N46" s="1"/>
      <c r="O46" s="1"/>
      <c r="P46" s="1"/>
      <c r="Q46" s="1"/>
      <c r="R46" s="1"/>
      <c r="S46" s="1"/>
      <c r="T46" s="1"/>
      <c r="U46" s="1"/>
      <c r="V46" s="1"/>
      <c r="W46" s="1"/>
      <c r="X46" s="1"/>
      <c r="Y46" s="1"/>
      <c r="Z46" s="1"/>
    </row>
    <row r="47">
      <c r="A47" s="1"/>
      <c r="B47" s="13"/>
      <c r="C47" s="43"/>
      <c r="F47" s="44"/>
      <c r="G47" s="24"/>
      <c r="H47" s="25"/>
      <c r="L47" s="44"/>
      <c r="M47" s="21"/>
      <c r="N47" s="1"/>
      <c r="O47" s="1"/>
      <c r="P47" s="1"/>
      <c r="Q47" s="1"/>
      <c r="R47" s="1"/>
      <c r="S47" s="1"/>
      <c r="T47" s="1"/>
      <c r="U47" s="1"/>
      <c r="V47" s="1"/>
      <c r="W47" s="1"/>
      <c r="X47" s="1"/>
      <c r="Y47" s="1"/>
      <c r="Z47" s="1"/>
    </row>
    <row r="48">
      <c r="A48" s="1"/>
      <c r="B48" s="13"/>
      <c r="C48" s="43"/>
      <c r="F48" s="44"/>
      <c r="G48" s="24"/>
      <c r="H48" s="25"/>
      <c r="L48" s="44"/>
      <c r="M48" s="21"/>
      <c r="N48" s="1"/>
      <c r="O48" s="1"/>
      <c r="P48" s="1"/>
      <c r="Q48" s="1"/>
      <c r="R48" s="1"/>
      <c r="S48" s="1"/>
      <c r="T48" s="1"/>
      <c r="U48" s="1"/>
      <c r="V48" s="1"/>
      <c r="W48" s="1"/>
      <c r="X48" s="1"/>
      <c r="Y48" s="1"/>
      <c r="Z48" s="1"/>
    </row>
    <row r="49">
      <c r="A49" s="1"/>
      <c r="B49" s="13"/>
      <c r="C49" s="43"/>
      <c r="F49" s="44"/>
      <c r="G49" s="24"/>
      <c r="H49" s="25"/>
      <c r="L49" s="44"/>
      <c r="M49" s="21"/>
      <c r="N49" s="1"/>
      <c r="O49" s="1"/>
      <c r="P49" s="1"/>
      <c r="Q49" s="1"/>
      <c r="R49" s="1"/>
      <c r="S49" s="1"/>
      <c r="T49" s="1"/>
      <c r="U49" s="1"/>
      <c r="V49" s="1"/>
      <c r="W49" s="1"/>
      <c r="X49" s="1"/>
      <c r="Y49" s="1"/>
      <c r="Z49" s="1"/>
    </row>
    <row r="50">
      <c r="A50" s="1"/>
      <c r="B50" s="13"/>
      <c r="C50" s="55"/>
      <c r="D50" s="56"/>
      <c r="E50" s="56"/>
      <c r="F50" s="57"/>
      <c r="G50" s="32"/>
      <c r="H50" s="34"/>
      <c r="I50" s="56"/>
      <c r="J50" s="56"/>
      <c r="K50" s="56"/>
      <c r="L50" s="57"/>
      <c r="M50" s="47" t="s">
        <v>2</v>
      </c>
      <c r="N50" s="1"/>
      <c r="O50" s="1"/>
      <c r="P50" s="1"/>
      <c r="Q50" s="1"/>
      <c r="R50" s="1"/>
      <c r="S50" s="1"/>
      <c r="T50" s="1"/>
      <c r="U50" s="1"/>
      <c r="V50" s="1"/>
      <c r="W50" s="1"/>
      <c r="X50" s="1"/>
      <c r="Y50" s="1"/>
      <c r="Z50" s="1"/>
    </row>
    <row r="51">
      <c r="A51" s="1"/>
      <c r="B51" s="13"/>
      <c r="C51" s="14"/>
      <c r="D51" s="14"/>
      <c r="E51" s="14"/>
      <c r="F51" s="15"/>
      <c r="G51" s="58" t="s">
        <v>10</v>
      </c>
      <c r="H51" s="19"/>
      <c r="I51" s="59" t="s">
        <v>11</v>
      </c>
      <c r="J51" s="37"/>
      <c r="K51" s="14"/>
      <c r="L51" s="14"/>
      <c r="M51" s="49"/>
      <c r="N51" s="1"/>
      <c r="O51" s="1"/>
      <c r="P51" s="1"/>
      <c r="Q51" s="1"/>
      <c r="R51" s="1"/>
      <c r="S51" s="1"/>
      <c r="T51" s="1"/>
      <c r="U51" s="1"/>
      <c r="V51" s="1"/>
      <c r="W51" s="1"/>
      <c r="X51" s="1"/>
      <c r="Y51" s="1"/>
      <c r="Z51" s="1"/>
    </row>
    <row r="52">
      <c r="A52" s="1"/>
      <c r="B52" s="13"/>
      <c r="C52" s="14"/>
      <c r="D52" s="14"/>
      <c r="E52" s="14"/>
      <c r="F52" s="15"/>
      <c r="G52" s="32"/>
      <c r="H52" s="34"/>
      <c r="I52" s="52"/>
      <c r="J52" s="37"/>
      <c r="K52" s="14"/>
      <c r="L52" s="14"/>
      <c r="M52" s="49"/>
      <c r="N52" s="1"/>
      <c r="O52" s="1"/>
      <c r="P52" s="1"/>
      <c r="Q52" s="1"/>
      <c r="R52" s="1"/>
      <c r="S52" s="1"/>
      <c r="T52" s="1"/>
      <c r="U52" s="1"/>
      <c r="V52" s="1"/>
      <c r="W52" s="1"/>
      <c r="X52" s="1"/>
      <c r="Y52" s="1"/>
      <c r="Z52" s="1"/>
    </row>
    <row r="53">
      <c r="A53" s="1"/>
      <c r="B53" s="13"/>
      <c r="C53" s="14"/>
      <c r="D53" s="14"/>
      <c r="E53" s="14"/>
      <c r="F53" s="14"/>
      <c r="G53" s="60"/>
      <c r="H53" s="60"/>
      <c r="I53" s="60"/>
      <c r="J53" s="14"/>
      <c r="K53" s="14"/>
      <c r="L53" s="14"/>
      <c r="M53" s="52"/>
      <c r="N53" s="1"/>
      <c r="O53" s="1"/>
      <c r="P53" s="1"/>
      <c r="Q53" s="1"/>
      <c r="R53" s="1"/>
      <c r="S53" s="1"/>
      <c r="T53" s="1"/>
      <c r="U53" s="1"/>
      <c r="V53" s="1"/>
      <c r="W53" s="1"/>
      <c r="X53" s="1"/>
      <c r="Y53" s="1"/>
      <c r="Z53" s="1"/>
    </row>
    <row r="54">
      <c r="A54" s="1"/>
      <c r="B54" s="13"/>
      <c r="C54" s="14"/>
      <c r="D54" s="14"/>
      <c r="E54" s="14"/>
      <c r="F54" s="14"/>
      <c r="G54" s="14"/>
      <c r="H54" s="14"/>
      <c r="I54" s="14"/>
      <c r="J54" s="14"/>
      <c r="K54" s="14"/>
      <c r="L54" s="14"/>
      <c r="M54" s="21"/>
      <c r="N54" s="1"/>
      <c r="O54" s="1"/>
      <c r="P54" s="1"/>
      <c r="Q54" s="1"/>
      <c r="R54" s="1"/>
      <c r="S54" s="1"/>
      <c r="T54" s="1"/>
      <c r="U54" s="1"/>
      <c r="V54" s="1"/>
      <c r="W54" s="1"/>
      <c r="X54" s="1"/>
      <c r="Y54" s="1"/>
      <c r="Z54" s="1"/>
    </row>
    <row r="55">
      <c r="A55" s="1"/>
      <c r="B55" s="13"/>
      <c r="C55" s="14"/>
      <c r="D55" s="14"/>
      <c r="E55" s="14"/>
      <c r="F55" s="14"/>
      <c r="G55" s="14"/>
      <c r="H55" s="14"/>
      <c r="I55" s="14"/>
      <c r="J55" s="14"/>
      <c r="K55" s="14"/>
      <c r="L55" s="14"/>
      <c r="M55" s="21"/>
      <c r="N55" s="1"/>
      <c r="O55" s="1"/>
      <c r="P55" s="1"/>
      <c r="Q55" s="1"/>
      <c r="R55" s="1"/>
      <c r="S55" s="1"/>
      <c r="T55" s="1"/>
      <c r="U55" s="1"/>
      <c r="V55" s="1"/>
      <c r="W55" s="1"/>
      <c r="X55" s="1"/>
      <c r="Y55" s="1"/>
      <c r="Z55" s="1"/>
    </row>
    <row r="56">
      <c r="A56" s="1"/>
      <c r="B56" s="61"/>
      <c r="C56" s="62"/>
      <c r="D56" s="62"/>
      <c r="E56" s="62"/>
      <c r="F56" s="62"/>
      <c r="G56" s="63" t="s">
        <v>12</v>
      </c>
      <c r="H56" s="8"/>
      <c r="I56" s="62"/>
      <c r="J56" s="62"/>
      <c r="K56" s="62"/>
      <c r="L56" s="62"/>
      <c r="M56" s="64"/>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sheetData>
  <mergeCells count="11">
    <mergeCell ref="G8:H50"/>
    <mergeCell ref="G51:H52"/>
    <mergeCell ref="G56:H56"/>
    <mergeCell ref="F2:I2"/>
    <mergeCell ref="F3:I7"/>
    <mergeCell ref="C10:F50"/>
    <mergeCell ref="I10:L50"/>
    <mergeCell ref="M17:M20"/>
    <mergeCell ref="B18:B28"/>
    <mergeCell ref="M50:M53"/>
    <mergeCell ref="I51:I52"/>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7.25"/>
    <col customWidth="1" min="3" max="3" width="17.75"/>
    <col customWidth="1" min="4" max="4" width="33.38"/>
    <col customWidth="1" min="5" max="5" width="30.63"/>
    <col customWidth="1" min="9" max="9" width="11.75"/>
    <col customWidth="1" min="10" max="10" width="27.0"/>
    <col customWidth="1" min="11" max="11" width="20.13"/>
    <col customWidth="1" min="12" max="12" width="41.13"/>
  </cols>
  <sheetData>
    <row r="1">
      <c r="A1" s="65" t="s">
        <v>13</v>
      </c>
      <c r="B1" s="66" t="s">
        <v>14</v>
      </c>
      <c r="C1" s="67" t="s">
        <v>15</v>
      </c>
      <c r="D1" s="66" t="s">
        <v>16</v>
      </c>
      <c r="E1" s="68" t="s">
        <v>17</v>
      </c>
      <c r="F1" s="68" t="s">
        <v>18</v>
      </c>
      <c r="G1" s="1"/>
      <c r="H1" s="1"/>
      <c r="I1" s="65" t="s">
        <v>13</v>
      </c>
      <c r="J1" s="66" t="s">
        <v>14</v>
      </c>
      <c r="K1" s="66" t="s">
        <v>19</v>
      </c>
      <c r="L1" s="66" t="s">
        <v>20</v>
      </c>
      <c r="M1" s="68" t="s">
        <v>18</v>
      </c>
      <c r="N1" s="1"/>
      <c r="O1" s="1"/>
    </row>
    <row r="2">
      <c r="A2" s="69">
        <v>2.0</v>
      </c>
      <c r="B2" s="70" t="str">
        <f>IFERROR(VLOOKUP(C2, 'Tổng hợp thông tin sinh viên'!A:E, 2, 0), "")</f>
        <v>Nguyễn Đức An</v>
      </c>
      <c r="C2" s="31" t="s">
        <v>21</v>
      </c>
      <c r="D2" s="31" t="str">
        <f>IFERROR(VLOOKUP(C2, 'Tổng hợp thông tin sinh viên'!A:E, 3, 0), "")</f>
        <v>an.nd225432@sis.hust.edu.vn</v>
      </c>
      <c r="E2" s="31" t="str">
        <f>IFERROR(VLOOKUP(C2, 'Tổng hợp thông tin sinh viên'!A:E, 5, 0), "")</f>
        <v>CTTT Data Science &amp; AI 01-K67</v>
      </c>
      <c r="F2" s="71" t="str">
        <f>IF(COUNTBLANK(C2:C11) = 0, "Đủ", "Thiếu: " &amp; COUNTBLANK(C2:C11))</f>
        <v>Đủ</v>
      </c>
      <c r="G2" s="1"/>
      <c r="H2" s="1"/>
      <c r="I2" s="69">
        <v>1.0</v>
      </c>
      <c r="J2" s="72" t="s">
        <v>22</v>
      </c>
      <c r="K2" s="73" t="s">
        <v>23</v>
      </c>
      <c r="L2" s="73" t="s">
        <v>24</v>
      </c>
      <c r="M2" s="71" t="str">
        <f>IF(COUNTBLANK(J2:J11) = 0, "Đủ", "Thiếu: " &amp; COUNTBLANK(J2:J11))</f>
        <v>Đủ</v>
      </c>
      <c r="N2" s="1"/>
      <c r="O2" s="1"/>
    </row>
    <row r="3">
      <c r="A3" s="49"/>
      <c r="B3" s="70" t="str">
        <f>IFERROR(VLOOKUP(C3, 'Tổng hợp thông tin sinh viên'!A:E, 2, 0), "")</f>
        <v>Trần Hữu Đạo</v>
      </c>
      <c r="C3" s="31" t="s">
        <v>25</v>
      </c>
      <c r="D3" s="31" t="str">
        <f>IFERROR(VLOOKUP(C3, 'Tổng hợp thông tin sinh viên'!A:E, 3, 0), "")</f>
        <v>dao.th220061@sis.hust.edu.vn</v>
      </c>
      <c r="E3" s="31" t="str">
        <f>IFERROR(VLOOKUP(C3, 'Tổng hợp thông tin sinh viên'!A:E, 5, 0), "")</f>
        <v>CTTT Data Science &amp; AI 02-K67</v>
      </c>
      <c r="F3" s="49"/>
      <c r="G3" s="1"/>
      <c r="H3" s="1"/>
      <c r="I3" s="49"/>
      <c r="J3" s="72" t="s">
        <v>26</v>
      </c>
      <c r="K3" s="31"/>
      <c r="L3" s="31"/>
      <c r="M3" s="49"/>
      <c r="N3" s="1"/>
      <c r="O3" s="1"/>
    </row>
    <row r="4">
      <c r="A4" s="49"/>
      <c r="B4" s="74" t="str">
        <f>IFERROR(VLOOKUP(C4, 'Tổng hợp thông tin sinh viên'!A:E, 2, 0), "")</f>
        <v>Đàm Quang Đức</v>
      </c>
      <c r="C4" s="75" t="s">
        <v>27</v>
      </c>
      <c r="D4" s="75" t="str">
        <f>IFERROR(VLOOKUP(C4, 'Tổng hợp thông tin sinh viên'!A:E, 3, 0), "")</f>
        <v>duc.dq225483@sis.hust.edu.vn</v>
      </c>
      <c r="E4" s="75" t="str">
        <f>IFERROR(VLOOKUP(C4, 'Tổng hợp thông tin sinh viên'!A:E, 5, 0), "")</f>
        <v>CTTT Data Science &amp; AI 02-K67</v>
      </c>
      <c r="F4" s="49"/>
      <c r="G4" s="1"/>
      <c r="H4" s="1"/>
      <c r="I4" s="49"/>
      <c r="J4" s="70" t="s">
        <v>28</v>
      </c>
      <c r="K4" s="73" t="s">
        <v>29</v>
      </c>
      <c r="L4" s="73" t="s">
        <v>30</v>
      </c>
      <c r="M4" s="49"/>
      <c r="N4" s="1"/>
      <c r="O4" s="1"/>
    </row>
    <row r="5">
      <c r="A5" s="49"/>
      <c r="B5" s="70" t="str">
        <f>IFERROR(VLOOKUP(C5, 'Tổng hợp thông tin sinh viên'!A:E, 2, 0), "")</f>
        <v>Kiều Văn Bảo</v>
      </c>
      <c r="C5" s="31" t="s">
        <v>31</v>
      </c>
      <c r="D5" s="31" t="str">
        <f>IFERROR(VLOOKUP(C5, 'Tổng hợp thông tin sinh viên'!A:E, 3, 0), "")</f>
        <v>bao.kv225261@sis.hust.edu.vn</v>
      </c>
      <c r="E5" s="31" t="str">
        <f>IFERROR(VLOOKUP(C5, 'Tổng hợp thông tin sinh viên'!A:E, 5, 0), "")</f>
        <v>Kỹ thuật máy tính 05-K67</v>
      </c>
      <c r="F5" s="49"/>
      <c r="G5" s="1"/>
      <c r="H5" s="1"/>
      <c r="I5" s="49"/>
      <c r="J5" s="70" t="s">
        <v>32</v>
      </c>
      <c r="K5" s="73" t="s">
        <v>33</v>
      </c>
      <c r="L5" s="73" t="s">
        <v>30</v>
      </c>
      <c r="M5" s="49"/>
      <c r="N5" s="1"/>
      <c r="O5" s="1"/>
    </row>
    <row r="6">
      <c r="A6" s="49"/>
      <c r="B6" s="70" t="str">
        <f>IFERROR(VLOOKUP(C6, 'Tổng hợp thông tin sinh viên'!A:E, 2, 0), "")</f>
        <v>Trần Duy Anh</v>
      </c>
      <c r="C6" s="31" t="s">
        <v>34</v>
      </c>
      <c r="D6" s="31" t="str">
        <f>IFERROR(VLOOKUP(C6, 'Tổng hợp thông tin sinh viên'!A:E, 3, 0), "")</f>
        <v>anh.td225256@sis.hust.edu.vn</v>
      </c>
      <c r="E6" s="31" t="str">
        <f>IFERROR(VLOOKUP(C6, 'Tổng hợp thông tin sinh viên'!A:E, 5, 0), "")</f>
        <v>Kỹ thuật máy tính 05-K67</v>
      </c>
      <c r="F6" s="49"/>
      <c r="G6" s="1"/>
      <c r="H6" s="1"/>
      <c r="I6" s="49"/>
      <c r="J6" s="72" t="s">
        <v>35</v>
      </c>
      <c r="K6" s="73" t="s">
        <v>36</v>
      </c>
      <c r="L6" s="73" t="s">
        <v>37</v>
      </c>
      <c r="M6" s="49"/>
      <c r="N6" s="1"/>
      <c r="O6" s="1"/>
    </row>
    <row r="7">
      <c r="A7" s="49"/>
      <c r="B7" s="70" t="str">
        <f>IFERROR(VLOOKUP(C7, 'Tổng hợp thông tin sinh viên'!A:E, 2, 0), "")</f>
        <v>Nguyễn Quang Đông</v>
      </c>
      <c r="C7" s="31" t="s">
        <v>38</v>
      </c>
      <c r="D7" s="31" t="str">
        <f>IFERROR(VLOOKUP(C7, 'Tổng hợp thông tin sinh viên'!A:E, 3, 0), "")</f>
        <v>dong.nq225284@sis.hust.edu.vn</v>
      </c>
      <c r="E7" s="31" t="str">
        <f>IFERROR(VLOOKUP(C7, 'Tổng hợp thông tin sinh viên'!A:E, 5, 0), "")</f>
        <v>Kỹ thuật máy tính 06-K67</v>
      </c>
      <c r="F7" s="49"/>
      <c r="G7" s="1"/>
      <c r="H7" s="1"/>
      <c r="I7" s="49"/>
      <c r="J7" s="72" t="s">
        <v>39</v>
      </c>
      <c r="K7" s="73" t="s">
        <v>40</v>
      </c>
      <c r="L7" s="76" t="s">
        <v>41</v>
      </c>
      <c r="M7" s="49"/>
      <c r="N7" s="1"/>
      <c r="O7" s="1"/>
    </row>
    <row r="8">
      <c r="A8" s="49"/>
      <c r="B8" s="70" t="str">
        <f>IFERROR(VLOOKUP(C8, 'Tổng hợp thông tin sinh viên'!A:E, 2, 0), "")</f>
        <v>Đinh Ngọc Duyên</v>
      </c>
      <c r="C8" s="31" t="s">
        <v>42</v>
      </c>
      <c r="D8" s="31" t="str">
        <f>IFERROR(VLOOKUP(C8, 'Tổng hợp thông tin sinh viên'!A:E, 3, 0), "")</f>
        <v>duyen.dn225124@sis.hust.edu.vn</v>
      </c>
      <c r="E8" s="31" t="str">
        <f>IFERROR(VLOOKUP(C8, 'Tổng hợp thông tin sinh viên'!A:E, 5, 0), "")</f>
        <v>Kỹ thuật máy tính 06-K67</v>
      </c>
      <c r="F8" s="49"/>
      <c r="G8" s="1"/>
      <c r="H8" s="1"/>
      <c r="I8" s="49"/>
      <c r="J8" s="70" t="s">
        <v>43</v>
      </c>
      <c r="K8" s="31"/>
      <c r="L8" s="73" t="s">
        <v>30</v>
      </c>
      <c r="M8" s="49"/>
      <c r="N8" s="1"/>
      <c r="O8" s="1"/>
    </row>
    <row r="9">
      <c r="A9" s="49"/>
      <c r="B9" s="70" t="str">
        <f>IFERROR(VLOOKUP(C9, 'Tổng hợp thông tin sinh viên'!A:E, 2, 0), "")</f>
        <v>Lê Thị Thu Hương</v>
      </c>
      <c r="C9" s="31" t="s">
        <v>44</v>
      </c>
      <c r="D9" s="31" t="str">
        <f>IFERROR(VLOOKUP(C9, 'Tổng hợp thông tin sinh viên'!A:E, 3, 0), "")</f>
        <v>huong.ltt225199@sis.hust.edu.vn</v>
      </c>
      <c r="E9" s="31" t="str">
        <f>IFERROR(VLOOKUP(C9, 'Tổng hợp thông tin sinh viên'!A:E, 5, 0), "")</f>
        <v>Kỹ thuật máy tính 06-K67</v>
      </c>
      <c r="F9" s="49"/>
      <c r="G9" s="1"/>
      <c r="H9" s="1"/>
      <c r="I9" s="49"/>
      <c r="J9" s="72" t="s">
        <v>45</v>
      </c>
      <c r="K9" s="73" t="s">
        <v>46</v>
      </c>
      <c r="L9" s="73" t="s">
        <v>47</v>
      </c>
      <c r="M9" s="49"/>
      <c r="N9" s="1"/>
      <c r="O9" s="1"/>
    </row>
    <row r="10">
      <c r="A10" s="49"/>
      <c r="B10" s="70" t="str">
        <f>IFERROR(VLOOKUP(C10, 'Tổng hợp thông tin sinh viên'!A:E, 2, 0), "")</f>
        <v>Nguyễn Thị Hà</v>
      </c>
      <c r="C10" s="31" t="s">
        <v>48</v>
      </c>
      <c r="D10" s="31" t="str">
        <f>IFERROR(VLOOKUP(C10, 'Tổng hợp thông tin sinh viên'!A:E, 3, 0), "")</f>
        <v>ha.nt225305@sis.hust.edu.vn</v>
      </c>
      <c r="E10" s="31" t="str">
        <f>IFERROR(VLOOKUP(C10, 'Tổng hợp thông tin sinh viên'!A:E, 5, 0), "")</f>
        <v>Kỹ thuật máy tính 06-K67</v>
      </c>
      <c r="F10" s="49"/>
      <c r="G10" s="1"/>
      <c r="H10" s="1"/>
      <c r="I10" s="49"/>
      <c r="J10" s="72" t="s">
        <v>49</v>
      </c>
      <c r="K10" s="73" t="s">
        <v>50</v>
      </c>
      <c r="L10" s="73" t="s">
        <v>51</v>
      </c>
      <c r="M10" s="49"/>
      <c r="N10" s="1"/>
      <c r="O10" s="1"/>
    </row>
    <row r="11">
      <c r="A11" s="52"/>
      <c r="B11" s="70" t="str">
        <f>IFERROR(VLOOKUP(C11, 'Tổng hợp thông tin sinh viên'!A:E, 2, 0), "")</f>
        <v>Nguyễn Thị Ngọc Anh</v>
      </c>
      <c r="C11" s="31" t="s">
        <v>52</v>
      </c>
      <c r="D11" s="31" t="str">
        <f>IFERROR(VLOOKUP(C11, 'Tổng hợp thông tin sinh viên'!A:E, 3, 0), "")</f>
        <v>anh.ntn225252@sis.hust.edu.vn</v>
      </c>
      <c r="E11" s="31" t="str">
        <f>IFERROR(VLOOKUP(C11, 'Tổng hợp thông tin sinh viên'!A:E, 5, 0), "")</f>
        <v>Kỹ thuật máy tính 06-K67</v>
      </c>
      <c r="F11" s="52"/>
      <c r="G11" s="1"/>
      <c r="H11" s="1"/>
      <c r="I11" s="52"/>
      <c r="J11" s="72" t="s">
        <v>53</v>
      </c>
      <c r="K11" s="73" t="s">
        <v>54</v>
      </c>
      <c r="L11" s="73" t="s">
        <v>55</v>
      </c>
      <c r="M11" s="52"/>
      <c r="N11" s="1"/>
      <c r="O11" s="1"/>
    </row>
    <row r="12">
      <c r="A12" s="77">
        <v>3.0</v>
      </c>
      <c r="B12" s="78" t="str">
        <f>IFERROR(VLOOKUP(C12, 'Tổng hợp thông tin sinh viên'!A:E, 2, 0), "")</f>
        <v>Phạm Quốc Dũng</v>
      </c>
      <c r="C12" s="79" t="s">
        <v>56</v>
      </c>
      <c r="D12" s="27" t="str">
        <f>IFERROR(VLOOKUP(C12, 'Tổng hợp thông tin sinh viên'!A:E, 3, 0), "")</f>
        <v>dung.pq225817@sis.hust.edu.vn</v>
      </c>
      <c r="E12" s="27" t="str">
        <f>IFERROR(VLOOKUP(C12, 'Tổng hợp thông tin sinh viên'!A:E, 5, 0), "")</f>
        <v>Việt Nhật 04-K67</v>
      </c>
      <c r="F12" s="71" t="str">
        <f>IF(COUNTBLANK(C12:C21) = 0, "Đủ", "Thiếu: " &amp; COUNTBLANK(C12:C21))</f>
        <v>Đủ</v>
      </c>
      <c r="G12" s="1"/>
      <c r="H12" s="1"/>
      <c r="I12" s="77">
        <v>35.0</v>
      </c>
      <c r="J12" s="78" t="s">
        <v>57</v>
      </c>
      <c r="K12" s="27"/>
      <c r="L12" s="80" t="s">
        <v>30</v>
      </c>
      <c r="M12" s="71" t="str">
        <f>IF(COUNTBLANK(J12:J21) = 0, "Đủ", "Thiếu: " &amp; COUNTBLANK(J12:J21))</f>
        <v>Đủ</v>
      </c>
      <c r="N12" s="1"/>
      <c r="O12" s="1"/>
    </row>
    <row r="13">
      <c r="A13" s="49"/>
      <c r="B13" s="78" t="str">
        <f>IFERROR(VLOOKUP(C13, 'Tổng hợp thông tin sinh viên'!A:E, 2, 0), "")</f>
        <v>Lê Tuấn Khải</v>
      </c>
      <c r="C13" s="27" t="s">
        <v>58</v>
      </c>
      <c r="D13" s="27" t="str">
        <f>IFERROR(VLOOKUP(C13, 'Tổng hợp thông tin sinh viên'!A:E, 3, 0), "")</f>
        <v>khai.lt225861@sis.hust.edu.vn</v>
      </c>
      <c r="E13" s="27" t="str">
        <f>IFERROR(VLOOKUP(C13, 'Tổng hợp thông tin sinh viên'!A:E, 5, 0), "")</f>
        <v>Việt Nhật 04-K67</v>
      </c>
      <c r="F13" s="49"/>
      <c r="G13" s="1"/>
      <c r="H13" s="1"/>
      <c r="I13" s="49"/>
      <c r="J13" s="78" t="s">
        <v>59</v>
      </c>
      <c r="K13" s="27"/>
      <c r="L13" s="80" t="s">
        <v>30</v>
      </c>
      <c r="M13" s="49"/>
      <c r="N13" s="1"/>
      <c r="O13" s="1"/>
    </row>
    <row r="14">
      <c r="A14" s="49"/>
      <c r="B14" s="78" t="str">
        <f>IFERROR(VLOOKUP(C14, 'Tổng hợp thông tin sinh viên'!A:E, 2, 0), "")</f>
        <v>Đinh Đình Lộc</v>
      </c>
      <c r="C14" s="27" t="s">
        <v>60</v>
      </c>
      <c r="D14" s="27" t="str">
        <f>IFERROR(VLOOKUP(C14, 'Tổng hợp thông tin sinh viên'!A:E, 3, 0), "")</f>
        <v>loc.dd225647@sis.hust.edu.vn</v>
      </c>
      <c r="E14" s="27" t="str">
        <f>IFERROR(VLOOKUP(C14, 'Tổng hợp thông tin sinh viên'!A:E, 5, 0), "")</f>
        <v>Việt Nhật 04-K67</v>
      </c>
      <c r="F14" s="49"/>
      <c r="G14" s="1"/>
      <c r="H14" s="1"/>
      <c r="I14" s="49"/>
      <c r="J14" s="81" t="s">
        <v>61</v>
      </c>
      <c r="K14" s="27"/>
      <c r="L14" s="27"/>
      <c r="M14" s="49"/>
      <c r="N14" s="1"/>
      <c r="O14" s="1"/>
    </row>
    <row r="15">
      <c r="A15" s="49"/>
      <c r="B15" s="78" t="str">
        <f>IFERROR(VLOOKUP(C15, 'Tổng hợp thông tin sinh viên'!A:E, 2, 0), "")</f>
        <v>Quách Gia Được</v>
      </c>
      <c r="C15" s="27" t="s">
        <v>62</v>
      </c>
      <c r="D15" s="27" t="str">
        <f>IFERROR(VLOOKUP(C15, 'Tổng hợp thông tin sinh viên'!A:E, 3, 0), "")</f>
        <v>duoc.qg225820@sis.hust.edu.vn</v>
      </c>
      <c r="E15" s="27" t="str">
        <f>IFERROR(VLOOKUP(C15, 'Tổng hợp thông tin sinh viên'!A:E, 5, 0), "")</f>
        <v>Việt Nhật 03-K67</v>
      </c>
      <c r="F15" s="49"/>
      <c r="G15" s="1"/>
      <c r="H15" s="1"/>
      <c r="I15" s="49"/>
      <c r="J15" s="78" t="s">
        <v>63</v>
      </c>
      <c r="K15" s="27"/>
      <c r="L15" s="27"/>
      <c r="M15" s="49"/>
      <c r="N15" s="1"/>
      <c r="O15" s="1"/>
    </row>
    <row r="16">
      <c r="A16" s="49"/>
      <c r="B16" s="78" t="str">
        <f>IFERROR(VLOOKUP(C16, 'Tổng hợp thông tin sinh viên'!A:E, 2, 0), "")</f>
        <v>Dương Quang Đông</v>
      </c>
      <c r="C16" s="27" t="s">
        <v>64</v>
      </c>
      <c r="D16" s="27" t="str">
        <f>IFERROR(VLOOKUP(C16, 'Tổng hợp thông tin sinh viên'!A:E, 3, 0), "")</f>
        <v>dong.dq225808@sis.hust.edu.vn</v>
      </c>
      <c r="E16" s="27" t="str">
        <f>IFERROR(VLOOKUP(C16, 'Tổng hợp thông tin sinh viên'!A:E, 5, 0), "")</f>
        <v>Việt Nhật 04-K67</v>
      </c>
      <c r="F16" s="49"/>
      <c r="G16" s="1"/>
      <c r="H16" s="1"/>
      <c r="I16" s="49"/>
      <c r="J16" s="81" t="s">
        <v>65</v>
      </c>
      <c r="K16" s="27"/>
      <c r="L16" s="27"/>
      <c r="M16" s="49"/>
      <c r="N16" s="1"/>
      <c r="O16" s="1"/>
    </row>
    <row r="17">
      <c r="A17" s="49"/>
      <c r="B17" s="78" t="str">
        <f>IFERROR(VLOOKUP(C17, 'Tổng hợp thông tin sinh viên'!A:E, 2, 0), "")</f>
        <v>Nguyễn Khánh Nam</v>
      </c>
      <c r="C17" s="27" t="s">
        <v>66</v>
      </c>
      <c r="D17" s="27" t="str">
        <f>IFERROR(VLOOKUP(C17, 'Tổng hợp thông tin sinh viên'!A:E, 3, 0), "")</f>
        <v>nam.nk225749@sis.hust.edu.vn</v>
      </c>
      <c r="E17" s="27" t="str">
        <f>IFERROR(VLOOKUP(C17, 'Tổng hợp thông tin sinh viên'!A:E, 5, 0), "")</f>
        <v>Việt Nhật 03-K67</v>
      </c>
      <c r="F17" s="49"/>
      <c r="G17" s="1"/>
      <c r="H17" s="1"/>
      <c r="I17" s="49"/>
      <c r="J17" s="81" t="s">
        <v>67</v>
      </c>
      <c r="K17" s="27"/>
      <c r="L17" s="27"/>
      <c r="M17" s="49"/>
      <c r="N17" s="1"/>
      <c r="O17" s="1"/>
    </row>
    <row r="18">
      <c r="A18" s="49"/>
      <c r="B18" s="78" t="str">
        <f>IFERROR(VLOOKUP(C18, 'Tổng hợp thông tin sinh viên'!A:E, 2, 0), "")</f>
        <v>Vũ Nhật Quang</v>
      </c>
      <c r="C18" s="27" t="s">
        <v>68</v>
      </c>
      <c r="D18" s="27" t="str">
        <f>IFERROR(VLOOKUP(C18, 'Tổng hợp thông tin sinh viên'!A:E, 3, 0), "")</f>
        <v>quang.vn225761@sis.hust.edu.vn</v>
      </c>
      <c r="E18" s="27" t="str">
        <f>IFERROR(VLOOKUP(C18, 'Tổng hợp thông tin sinh viên'!A:E, 5, 0), "")</f>
        <v>Việt Nhật 03-K67</v>
      </c>
      <c r="F18" s="49"/>
      <c r="G18" s="1"/>
      <c r="H18" s="1"/>
      <c r="I18" s="49"/>
      <c r="J18" s="81" t="s">
        <v>69</v>
      </c>
      <c r="K18" s="27"/>
      <c r="L18" s="27"/>
      <c r="M18" s="49"/>
      <c r="N18" s="1"/>
      <c r="O18" s="1"/>
    </row>
    <row r="19">
      <c r="A19" s="49"/>
      <c r="B19" s="78" t="str">
        <f>IFERROR(VLOOKUP(C19, 'Tổng hợp thông tin sinh viên'!A:E, 2, 0), "")</f>
        <v>Nguyễn Đức Trường</v>
      </c>
      <c r="C19" s="27" t="s">
        <v>70</v>
      </c>
      <c r="D19" s="27" t="str">
        <f>IFERROR(VLOOKUP(C19, 'Tổng hợp thông tin sinh viên'!A:E, 3, 0), "")</f>
        <v>truong.nd225675@sis.hust.edu.vn</v>
      </c>
      <c r="E19" s="27" t="str">
        <f>IFERROR(VLOOKUP(C19, 'Tổng hợp thông tin sinh viên'!A:E, 5, 0), "")</f>
        <v>Việt Nhật 04-K67</v>
      </c>
      <c r="F19" s="49"/>
      <c r="G19" s="1"/>
      <c r="H19" s="1"/>
      <c r="I19" s="49"/>
      <c r="J19" s="78" t="s">
        <v>71</v>
      </c>
      <c r="K19" s="27"/>
      <c r="L19" s="27"/>
      <c r="M19" s="49"/>
      <c r="N19" s="1"/>
      <c r="O19" s="1"/>
    </row>
    <row r="20">
      <c r="A20" s="49"/>
      <c r="B20" s="78" t="str">
        <f>IFERROR(VLOOKUP(C20, 'Tổng hợp thông tin sinh viên'!A:E, 2, 0), "")</f>
        <v>Hà Tùng Dương</v>
      </c>
      <c r="C20" s="79" t="s">
        <v>72</v>
      </c>
      <c r="D20" s="27" t="str">
        <f>IFERROR(VLOOKUP(C20, 'Tổng hợp thông tin sinh viên'!A:E, 3, 0), "")</f>
        <v>duong.ht225615@sis.hust.edu.vn</v>
      </c>
      <c r="E20" s="27" t="str">
        <f>IFERROR(VLOOKUP(C20, 'Tổng hợp thông tin sinh viên'!A:E, 5, 0), "")</f>
        <v>Việt Nhật 04-K67</v>
      </c>
      <c r="F20" s="49"/>
      <c r="G20" s="1"/>
      <c r="H20" s="1"/>
      <c r="I20" s="49"/>
      <c r="J20" s="81" t="s">
        <v>73</v>
      </c>
      <c r="K20" s="27"/>
      <c r="L20" s="27"/>
      <c r="M20" s="49"/>
      <c r="N20" s="1"/>
      <c r="O20" s="1"/>
    </row>
    <row r="21">
      <c r="A21" s="52"/>
      <c r="B21" s="81" t="s">
        <v>74</v>
      </c>
      <c r="C21" s="80">
        <v>2.0225674E7</v>
      </c>
      <c r="D21" s="80" t="s">
        <v>75</v>
      </c>
      <c r="E21" s="80" t="s">
        <v>76</v>
      </c>
      <c r="F21" s="52"/>
      <c r="G21" s="1"/>
      <c r="H21" s="1"/>
      <c r="I21" s="52"/>
      <c r="J21" s="81" t="s">
        <v>77</v>
      </c>
      <c r="K21" s="27"/>
      <c r="L21" s="27"/>
      <c r="M21" s="52"/>
      <c r="N21" s="1"/>
      <c r="O21" s="1"/>
    </row>
    <row r="22">
      <c r="A22" s="69">
        <v>4.0</v>
      </c>
      <c r="B22" s="70" t="str">
        <f>IFERROR(VLOOKUP(C22, 'Tổng hợp thông tin sinh viên'!A:E, 2, 0), "")</f>
        <v>Bùi Quang Phong</v>
      </c>
      <c r="C22" s="31" t="s">
        <v>78</v>
      </c>
      <c r="D22" s="31" t="str">
        <f>IFERROR(VLOOKUP(C22, 'Tổng hợp thông tin sinh viên'!A:E, 3, 0), "")</f>
        <v>phong.bq224887@sis.hust.edu.vn</v>
      </c>
      <c r="E22" s="31" t="str">
        <f>IFERROR(VLOOKUP(C22, 'Tổng hợp thông tin sinh viên'!A:E, 5, 0), "")</f>
        <v>CTTN-Khoa học máy tính-K67</v>
      </c>
      <c r="F22" s="71" t="str">
        <f>IF(COUNTBLANK(C22:C31) = 0, "Đủ", "Thiếu: " &amp; COUNTBLANK(C22:C31))</f>
        <v>Đủ</v>
      </c>
      <c r="G22" s="1"/>
      <c r="H22" s="1"/>
      <c r="I22" s="69">
        <v>5.0</v>
      </c>
      <c r="J22" s="72" t="s">
        <v>79</v>
      </c>
      <c r="K22" s="31"/>
      <c r="L22" s="31"/>
      <c r="M22" s="71" t="str">
        <f>IF(COUNTBLANK(J22:J31) = 0, "Đủ", "Thiếu: " &amp; COUNTBLANK(J22:J31))</f>
        <v>Đủ</v>
      </c>
      <c r="N22" s="1"/>
      <c r="O22" s="1"/>
    </row>
    <row r="23">
      <c r="A23" s="49"/>
      <c r="B23" s="70" t="str">
        <f>IFERROR(VLOOKUP(C23, 'Tổng hợp thông tin sinh viên'!A:E, 2, 0), "")</f>
        <v>Nguyễn Viết Tuấn Kiệt</v>
      </c>
      <c r="C23" s="31" t="s">
        <v>80</v>
      </c>
      <c r="D23" s="31" t="str">
        <f>IFERROR(VLOOKUP(C23, 'Tổng hợp thông tin sinh viên'!A:E, 3, 0), "")</f>
        <v>kiet.nvt220032@sis.hust.edu.vn</v>
      </c>
      <c r="E23" s="31" t="str">
        <f>IFERROR(VLOOKUP(C23, 'Tổng hợp thông tin sinh viên'!A:E, 5, 0), "")</f>
        <v>CTTN-Khoa học máy tính-K67</v>
      </c>
      <c r="F23" s="49"/>
      <c r="G23" s="1"/>
      <c r="H23" s="1"/>
      <c r="I23" s="49"/>
      <c r="J23" s="70" t="s">
        <v>81</v>
      </c>
      <c r="K23" s="31"/>
      <c r="L23" s="31"/>
      <c r="M23" s="49"/>
      <c r="N23" s="1"/>
      <c r="O23" s="1"/>
    </row>
    <row r="24">
      <c r="A24" s="49"/>
      <c r="B24" s="70" t="str">
        <f>IFERROR(VLOOKUP(C24, 'Tổng hợp thông tin sinh viên'!A:E, 2, 0), "")</f>
        <v>Vũ Tùng Lâm</v>
      </c>
      <c r="C24" s="31" t="s">
        <v>82</v>
      </c>
      <c r="D24" s="31" t="str">
        <f>IFERROR(VLOOKUP(C24, 'Tổng hợp thông tin sinh viên'!A:E, 3, 0), "")</f>
        <v>lam.vt225140@sis.hust.edu.vn</v>
      </c>
      <c r="E24" s="31" t="str">
        <f>IFERROR(VLOOKUP(C24, 'Tổng hợp thông tin sinh viên'!A:E, 5, 0), "")</f>
        <v>CTTN-Khoa học máy tính-K67</v>
      </c>
      <c r="F24" s="49"/>
      <c r="G24" s="1"/>
      <c r="H24" s="1"/>
      <c r="I24" s="49"/>
      <c r="J24" s="72" t="s">
        <v>83</v>
      </c>
      <c r="K24" s="31"/>
      <c r="L24" s="31"/>
      <c r="M24" s="49"/>
      <c r="N24" s="1"/>
      <c r="O24" s="1"/>
    </row>
    <row r="25">
      <c r="A25" s="49"/>
      <c r="B25" s="70" t="str">
        <f>IFERROR(VLOOKUP(C25, 'Tổng hợp thông tin sinh viên'!A:E, 2, 0), "")</f>
        <v>Nguyễn Thái Hòa</v>
      </c>
      <c r="C25" s="31" t="s">
        <v>84</v>
      </c>
      <c r="D25" s="31" t="str">
        <f>IFERROR(VLOOKUP(C25, 'Tổng hợp thông tin sinh viên'!A:E, 3, 0), "")</f>
        <v>hoa.nt224850@sis.hust.edu.vn</v>
      </c>
      <c r="E25" s="31" t="str">
        <f>IFERROR(VLOOKUP(C25, 'Tổng hợp thông tin sinh viên'!A:E, 5, 0), "")</f>
        <v>CTTN-Khoa học máy tính-K67</v>
      </c>
      <c r="F25" s="49"/>
      <c r="G25" s="1"/>
      <c r="H25" s="1"/>
      <c r="I25" s="49"/>
      <c r="J25" s="72" t="s">
        <v>85</v>
      </c>
      <c r="K25" s="31"/>
      <c r="L25" s="31"/>
      <c r="M25" s="49"/>
      <c r="N25" s="1"/>
      <c r="O25" s="1"/>
    </row>
    <row r="26">
      <c r="A26" s="49"/>
      <c r="B26" s="70" t="str">
        <f>IFERROR(VLOOKUP(C26, 'Tổng hợp thông tin sinh viên'!A:E, 2, 0), "")</f>
        <v>Đào Phúc Long</v>
      </c>
      <c r="C26" s="31" t="s">
        <v>86</v>
      </c>
      <c r="D26" s="31" t="str">
        <f>IFERROR(VLOOKUP(C26, 'Tổng hợp thông tin sinh viên'!A:E, 3, 0), "")</f>
        <v>long.dp220034@sis.hust.edu.vn</v>
      </c>
      <c r="E26" s="31" t="str">
        <f>IFERROR(VLOOKUP(C26, 'Tổng hợp thông tin sinh viên'!A:E, 5, 0), "")</f>
        <v>CTTN-Khoa học máy tính-K67</v>
      </c>
      <c r="F26" s="49"/>
      <c r="G26" s="1"/>
      <c r="H26" s="1"/>
      <c r="I26" s="49"/>
      <c r="J26" s="72" t="s">
        <v>87</v>
      </c>
      <c r="K26" s="31"/>
      <c r="L26" s="31"/>
      <c r="M26" s="49"/>
      <c r="N26" s="1"/>
      <c r="O26" s="1"/>
    </row>
    <row r="27">
      <c r="A27" s="49"/>
      <c r="B27" s="70" t="str">
        <f>IFERROR(VLOOKUP(C27, 'Tổng hợp thông tin sinh viên'!A:E, 2, 0), "")</f>
        <v>Nguyễn Thái Khôi</v>
      </c>
      <c r="C27" s="31" t="s">
        <v>88</v>
      </c>
      <c r="D27" s="31" t="str">
        <f>IFERROR(VLOOKUP(C27, 'Tổng hợp thông tin sinh viên'!A:E, 3, 0), "")</f>
        <v>khoi.nt224868@sis.hust.edu.vn</v>
      </c>
      <c r="E27" s="31" t="str">
        <f>IFERROR(VLOOKUP(C27, 'Tổng hợp thông tin sinh viên'!A:E, 5, 0), "")</f>
        <v>CTTN-Khoa học máy tính-K67</v>
      </c>
      <c r="F27" s="49"/>
      <c r="G27" s="1"/>
      <c r="H27" s="1"/>
      <c r="I27" s="49"/>
      <c r="J27" s="70" t="s">
        <v>89</v>
      </c>
      <c r="K27" s="31"/>
      <c r="L27" s="31"/>
      <c r="M27" s="49"/>
      <c r="N27" s="1"/>
      <c r="O27" s="1"/>
    </row>
    <row r="28">
      <c r="A28" s="49"/>
      <c r="B28" s="70" t="str">
        <f>IFERROR(VLOOKUP(C28, 'Tổng hợp thông tin sinh viên'!A:E, 2, 0), "")</f>
        <v>Lưu Thịnh Khang</v>
      </c>
      <c r="C28" s="31" t="s">
        <v>90</v>
      </c>
      <c r="D28" s="31" t="str">
        <f>IFERROR(VLOOKUP(C28, 'Tổng hợp thông tin sinh viên'!A:E, 3, 0), "")</f>
        <v>khang.lt220031@sis.hust.edu.vn</v>
      </c>
      <c r="E28" s="31" t="str">
        <f>IFERROR(VLOOKUP(C28, 'Tổng hợp thông tin sinh viên'!A:E, 5, 0), "")</f>
        <v>CTTN-Khoa học máy tính-K67</v>
      </c>
      <c r="F28" s="49"/>
      <c r="G28" s="1"/>
      <c r="H28" s="1"/>
      <c r="I28" s="49"/>
      <c r="J28" s="72" t="s">
        <v>91</v>
      </c>
      <c r="K28" s="31"/>
      <c r="L28" s="31"/>
      <c r="M28" s="49"/>
      <c r="N28" s="1"/>
      <c r="O28" s="1"/>
    </row>
    <row r="29">
      <c r="A29" s="49"/>
      <c r="B29" s="70" t="str">
        <f>IFERROR(VLOOKUP(C29, 'Tổng hợp thông tin sinh viên'!A:E, 2, 0), "")</f>
        <v>Nguyễn Vũ Dũng</v>
      </c>
      <c r="C29" s="31" t="s">
        <v>92</v>
      </c>
      <c r="D29" s="31" t="str">
        <f>IFERROR(VLOOKUP(C29, 'Tổng hợp thông tin sinh viên'!A:E, 3, 0), "")</f>
        <v>dung.nv225964@sis.hust.edu.vn</v>
      </c>
      <c r="E29" s="31" t="str">
        <f>IFERROR(VLOOKUP(C29, 'Tổng hợp thông tin sinh viên'!A:E, 5, 0), "")</f>
        <v>ICT 02-K67</v>
      </c>
      <c r="F29" s="49"/>
      <c r="G29" s="1"/>
      <c r="H29" s="1"/>
      <c r="I29" s="49"/>
      <c r="J29" s="72" t="s">
        <v>93</v>
      </c>
      <c r="K29" s="31"/>
      <c r="L29" s="31"/>
      <c r="M29" s="49"/>
      <c r="N29" s="1"/>
      <c r="O29" s="1"/>
    </row>
    <row r="30">
      <c r="A30" s="49"/>
      <c r="B30" s="70" t="str">
        <f>IFERROR(VLOOKUP(C30, 'Tổng hợp thông tin sinh viên'!A:E, 2, 0), "")</f>
        <v>Trần Đức Lê Huy</v>
      </c>
      <c r="C30" s="31" t="s">
        <v>94</v>
      </c>
      <c r="D30" s="31" t="str">
        <f>IFERROR(VLOOKUP(C30, 'Tổng hợp thông tin sinh viên'!A:E, 3, 0), "")</f>
        <v>huy.tdl225978@sis.hust.edu.vn</v>
      </c>
      <c r="E30" s="31" t="str">
        <f>IFERROR(VLOOKUP(C30, 'Tổng hợp thông tin sinh viên'!A:E, 5, 0), "")</f>
        <v>ICT 02-K67</v>
      </c>
      <c r="F30" s="49"/>
      <c r="G30" s="1"/>
      <c r="H30" s="1"/>
      <c r="I30" s="49"/>
      <c r="J30" s="70" t="s">
        <v>95</v>
      </c>
      <c r="K30" s="31"/>
      <c r="L30" s="31"/>
      <c r="M30" s="49"/>
      <c r="N30" s="1"/>
      <c r="O30" s="1"/>
    </row>
    <row r="31">
      <c r="A31" s="52"/>
      <c r="B31" s="70" t="str">
        <f>IFERROR(VLOOKUP(C31, 'Tổng hợp thông tin sinh viên'!A:E, 2, 0), "")</f>
        <v>Phan Đào Minh Quân</v>
      </c>
      <c r="C31" s="31" t="s">
        <v>96</v>
      </c>
      <c r="D31" s="31" t="str">
        <f>IFERROR(VLOOKUP(C31, 'Tổng hợp thông tin sinh viên'!A:E, 3, 0), "")</f>
        <v>quan.pdm225993@sis.hust.edu.vn</v>
      </c>
      <c r="E31" s="31" t="str">
        <f>IFERROR(VLOOKUP(C31, 'Tổng hợp thông tin sinh viên'!A:E, 5, 0), "")</f>
        <v>ICT 02-K67</v>
      </c>
      <c r="F31" s="52"/>
      <c r="G31" s="1"/>
      <c r="H31" s="1"/>
      <c r="I31" s="52"/>
      <c r="J31" s="70" t="s">
        <v>97</v>
      </c>
      <c r="K31" s="31"/>
      <c r="L31" s="31"/>
      <c r="M31" s="52"/>
      <c r="N31" s="1"/>
      <c r="O31" s="1"/>
    </row>
    <row r="32">
      <c r="A32" s="77">
        <v>6.0</v>
      </c>
      <c r="B32" s="78" t="str">
        <f>IFERROR(VLOOKUP(C32, 'Tổng hợp thông tin sinh viên'!A:E, 2, 0), "")</f>
        <v>Phạm Minh Hiếu</v>
      </c>
      <c r="C32" s="79" t="s">
        <v>98</v>
      </c>
      <c r="D32" s="27" t="str">
        <f>IFERROR(VLOOKUP(C32, 'Tổng hợp thông tin sinh viên'!A:E, 3, 0), "")</f>
        <v>hieu.pm220062@sis.hust.edu.vn</v>
      </c>
      <c r="E32" s="27" t="str">
        <f>IFERROR(VLOOKUP(C32, 'Tổng hợp thông tin sinh viên'!A:E, 5, 0), "")</f>
        <v>CTTT Data Science &amp; AI 03-K67</v>
      </c>
      <c r="F32" s="71" t="str">
        <f>IF(COUNTBLANK(C32:C41) = 0, "Đủ", "Thiếu: " &amp; COUNTBLANK(C32:C41))</f>
        <v>Đủ</v>
      </c>
      <c r="G32" s="1"/>
      <c r="H32" s="1"/>
      <c r="I32" s="77">
        <v>38.0</v>
      </c>
      <c r="J32" s="78" t="s">
        <v>99</v>
      </c>
      <c r="K32" s="27"/>
      <c r="L32" s="27"/>
      <c r="M32" s="71" t="str">
        <f>IF(COUNTBLANK(J32:J41) = 0, "Đủ", "Thiếu: " &amp; COUNTBLANK(J32:J41))</f>
        <v>Đủ</v>
      </c>
      <c r="N32" s="1"/>
      <c r="O32" s="1"/>
    </row>
    <row r="33">
      <c r="A33" s="49"/>
      <c r="B33" s="78" t="str">
        <f>IFERROR(VLOOKUP(C33, 'Tổng hợp thông tin sinh viên'!A:E, 2, 0), "")</f>
        <v>Nguyễn Đức Bình</v>
      </c>
      <c r="C33" s="27" t="s">
        <v>100</v>
      </c>
      <c r="D33" s="27" t="str">
        <f>IFERROR(VLOOKUP(C33, 'Tổng hợp thông tin sinh viên'!A:E, 3, 0), "")</f>
        <v>binh.nd225475@sis.hust.edu.vn</v>
      </c>
      <c r="E33" s="27" t="str">
        <f>IFERROR(VLOOKUP(C33, 'Tổng hợp thông tin sinh viên'!A:E, 5, 0), "")</f>
        <v>CTTT Data Science &amp; AI 02-K67</v>
      </c>
      <c r="F33" s="49"/>
      <c r="G33" s="1"/>
      <c r="H33" s="1"/>
      <c r="I33" s="49"/>
      <c r="J33" s="81" t="s">
        <v>101</v>
      </c>
      <c r="K33" s="27"/>
      <c r="L33" s="27"/>
      <c r="M33" s="49"/>
      <c r="N33" s="1"/>
      <c r="O33" s="1"/>
    </row>
    <row r="34">
      <c r="A34" s="49"/>
      <c r="B34" s="78" t="str">
        <f>IFERROR(VLOOKUP(C34, 'Tổng hợp thông tin sinh viên'!A:E, 2, 0), "")</f>
        <v>Phạm Hồng Quân</v>
      </c>
      <c r="C34" s="27" t="s">
        <v>102</v>
      </c>
      <c r="D34" s="27" t="str">
        <f>IFERROR(VLOOKUP(C34, 'Tổng hợp thông tin sinh viên'!A:E, 3, 0), "")</f>
        <v>quan.ph225551@sis.hust.edu.vn</v>
      </c>
      <c r="E34" s="27" t="str">
        <f>IFERROR(VLOOKUP(C34, 'Tổng hợp thông tin sinh viên'!A:E, 5, 0), "")</f>
        <v>CTTT An toàn không gian số 01-K67</v>
      </c>
      <c r="F34" s="49"/>
      <c r="G34" s="1"/>
      <c r="H34" s="1"/>
      <c r="I34" s="49"/>
      <c r="J34" s="81" t="s">
        <v>103</v>
      </c>
      <c r="K34" s="27"/>
      <c r="L34" s="27"/>
      <c r="M34" s="49"/>
      <c r="N34" s="1"/>
      <c r="O34" s="1"/>
    </row>
    <row r="35">
      <c r="A35" s="49"/>
      <c r="B35" s="78" t="str">
        <f>IFERROR(VLOOKUP(C35, 'Tổng hợp thông tin sinh viên'!A:E, 2, 0), "")</f>
        <v>Nguyễn Như Giáp</v>
      </c>
      <c r="C35" s="27" t="s">
        <v>104</v>
      </c>
      <c r="D35" s="27" t="str">
        <f>IFERROR(VLOOKUP(C35, 'Tổng hợp thông tin sinh viên'!A:E, 3, 0), "")</f>
        <v>giap.nn225441@sis.hust.edu.vn</v>
      </c>
      <c r="E35" s="27" t="str">
        <f>IFERROR(VLOOKUP(C35, 'Tổng hợp thông tin sinh viên'!A:E, 5, 0), "")</f>
        <v>CTTT Data Science &amp; AI 01-K67</v>
      </c>
      <c r="F35" s="49"/>
      <c r="G35" s="1"/>
      <c r="H35" s="1"/>
      <c r="I35" s="49"/>
      <c r="J35" s="78" t="s">
        <v>105</v>
      </c>
      <c r="K35" s="27"/>
      <c r="L35" s="27"/>
      <c r="M35" s="49"/>
      <c r="N35" s="1"/>
      <c r="O35" s="1"/>
    </row>
    <row r="36">
      <c r="A36" s="49"/>
      <c r="B36" s="78" t="str">
        <f>IFERROR(VLOOKUP(C36, 'Tổng hợp thông tin sinh viên'!A:E, 2, 0), "")</f>
        <v>Nguyễn Minh Đức</v>
      </c>
      <c r="C36" s="27" t="s">
        <v>106</v>
      </c>
      <c r="D36" s="27" t="str">
        <f>IFERROR(VLOOKUP(C36, 'Tổng hợp thông tin sinh viên'!A:E, 3, 0), "")</f>
        <v>duc.nm225437@sis.hust.edu.vn</v>
      </c>
      <c r="E36" s="27" t="str">
        <f>IFERROR(VLOOKUP(C36, 'Tổng hợp thông tin sinh viên'!A:E, 5, 0), "")</f>
        <v>CTTT Data Science &amp; AI 01-K67</v>
      </c>
      <c r="F36" s="49"/>
      <c r="G36" s="1"/>
      <c r="H36" s="1"/>
      <c r="I36" s="49"/>
      <c r="J36" s="78" t="s">
        <v>107</v>
      </c>
      <c r="K36" s="27"/>
      <c r="L36" s="27"/>
      <c r="M36" s="49"/>
      <c r="N36" s="1"/>
      <c r="O36" s="1"/>
    </row>
    <row r="37">
      <c r="A37" s="49"/>
      <c r="B37" s="78" t="str">
        <f>IFERROR(VLOOKUP(C37, 'Tổng hợp thông tin sinh viên'!A:E, 2, 0), "")</f>
        <v>Trương Tuấn Vinh</v>
      </c>
      <c r="C37" s="27" t="s">
        <v>108</v>
      </c>
      <c r="D37" s="27" t="str">
        <f>IFERROR(VLOOKUP(C37, 'Tổng hợp thông tin sinh viên'!A:E, 3, 0), "")</f>
        <v>vinh.tt225464@sis.hust.edu.vn</v>
      </c>
      <c r="E37" s="27" t="str">
        <f>IFERROR(VLOOKUP(C37, 'Tổng hợp thông tin sinh viên'!A:E, 5, 0), "")</f>
        <v>CTTT Data Science &amp; AI 01-K67</v>
      </c>
      <c r="F37" s="49"/>
      <c r="G37" s="1"/>
      <c r="H37" s="1"/>
      <c r="I37" s="49"/>
      <c r="J37" s="81" t="s">
        <v>109</v>
      </c>
      <c r="K37" s="27"/>
      <c r="L37" s="27"/>
      <c r="M37" s="49"/>
      <c r="N37" s="1"/>
      <c r="O37" s="1"/>
    </row>
    <row r="38">
      <c r="A38" s="49"/>
      <c r="B38" s="78" t="str">
        <f>IFERROR(VLOOKUP(C38, 'Tổng hợp thông tin sinh viên'!A:E, 2, 0), "")</f>
        <v>Trần An Khanh</v>
      </c>
      <c r="C38" s="27" t="s">
        <v>110</v>
      </c>
      <c r="D38" s="27" t="str">
        <f>IFERROR(VLOOKUP(C38, 'Tổng hợp thông tin sinh viên'!A:E, 3, 0), "")</f>
        <v>khanh.ta225447@sis.hust.edu.vn</v>
      </c>
      <c r="E38" s="27" t="str">
        <f>IFERROR(VLOOKUP(C38, 'Tổng hợp thông tin sinh viên'!A:E, 5, 0), "")</f>
        <v>CTTT Data Science &amp; AI 02-K67</v>
      </c>
      <c r="F38" s="49"/>
      <c r="G38" s="1"/>
      <c r="H38" s="1"/>
      <c r="I38" s="49"/>
      <c r="J38" s="81" t="s">
        <v>111</v>
      </c>
      <c r="K38" s="27"/>
      <c r="L38" s="27"/>
      <c r="M38" s="49"/>
      <c r="N38" s="1"/>
      <c r="O38" s="1"/>
    </row>
    <row r="39">
      <c r="A39" s="49"/>
      <c r="B39" s="78" t="str">
        <f>IFERROR(VLOOKUP(C39, 'Tổng hợp thông tin sinh viên'!A:E, 2, 0), "")</f>
        <v>Vũ Nhật Nguyên Thư</v>
      </c>
      <c r="C39" s="27" t="s">
        <v>112</v>
      </c>
      <c r="D39" s="27" t="str">
        <f>IFERROR(VLOOKUP(C39, 'Tổng hợp thông tin sinh viên'!A:E, 3, 0), "")</f>
        <v>thu.vnn225462@sis.hust.edu.vn</v>
      </c>
      <c r="E39" s="27" t="str">
        <f>IFERROR(VLOOKUP(C39, 'Tổng hợp thông tin sinh viên'!A:E, 5, 0), "")</f>
        <v>CTTT Data Science &amp; AI 01-K67</v>
      </c>
      <c r="F39" s="49"/>
      <c r="G39" s="1"/>
      <c r="H39" s="1"/>
      <c r="I39" s="49"/>
      <c r="J39" s="78" t="s">
        <v>113</v>
      </c>
      <c r="K39" s="27"/>
      <c r="L39" s="27"/>
      <c r="M39" s="49"/>
      <c r="N39" s="1"/>
      <c r="O39" s="1"/>
    </row>
    <row r="40">
      <c r="A40" s="49"/>
      <c r="B40" s="78" t="str">
        <f>IFERROR(VLOOKUP(C40, 'Tổng hợp thông tin sinh viên'!A:E, 2, 0), "")</f>
        <v>Lý Hiển Long</v>
      </c>
      <c r="C40" s="27" t="s">
        <v>114</v>
      </c>
      <c r="D40" s="27" t="str">
        <f>IFERROR(VLOOKUP(C40, 'Tổng hợp thông tin sinh viên'!A:E, 3, 0), "")</f>
        <v>long.lh225035@sis.hust.edu.vn</v>
      </c>
      <c r="E40" s="27" t="str">
        <f>IFERROR(VLOOKUP(C40, 'Tổng hợp thông tin sinh viên'!A:E, 5, 0), "")</f>
        <v>Khoa học máy tính 05-K67</v>
      </c>
      <c r="F40" s="49"/>
      <c r="G40" s="1"/>
      <c r="H40" s="1"/>
      <c r="I40" s="49"/>
      <c r="J40" s="81" t="s">
        <v>115</v>
      </c>
      <c r="K40" s="27"/>
      <c r="L40" s="27"/>
      <c r="M40" s="49"/>
      <c r="N40" s="1"/>
      <c r="O40" s="1"/>
    </row>
    <row r="41">
      <c r="A41" s="52"/>
      <c r="B41" s="78" t="str">
        <f>IFERROR(VLOOKUP(C41, 'Tổng hợp thông tin sinh viên'!A:E, 2, 0), "")</f>
        <v>Nguyễn Đại Dương</v>
      </c>
      <c r="C41" s="27" t="s">
        <v>116</v>
      </c>
      <c r="D41" s="27" t="str">
        <f>IFERROR(VLOOKUP(C41, 'Tổng hợp thông tin sinh viên'!A:E, 3, 0), "")</f>
        <v>duong.nd224966@sis.hust.edu.vn</v>
      </c>
      <c r="E41" s="27" t="str">
        <f>IFERROR(VLOOKUP(C41, 'Tổng hợp thông tin sinh viên'!A:E, 5, 0), "")</f>
        <v>Khoa học máy tính 05-K67</v>
      </c>
      <c r="F41" s="52"/>
      <c r="G41" s="1"/>
      <c r="H41" s="1"/>
      <c r="I41" s="52"/>
      <c r="J41" s="81" t="s">
        <v>117</v>
      </c>
      <c r="K41" s="27"/>
      <c r="L41" s="27"/>
      <c r="M41" s="52"/>
      <c r="N41" s="1"/>
      <c r="O41" s="1"/>
    </row>
    <row r="42">
      <c r="A42" s="69">
        <v>7.0</v>
      </c>
      <c r="B42" s="70" t="str">
        <f>IFERROR(VLOOKUP(C42, 'Tổng hợp thông tin sinh viên'!A:E, 2, 0), "")</f>
        <v>Trịnh Thị Thùy Dương</v>
      </c>
      <c r="C42" s="31" t="s">
        <v>118</v>
      </c>
      <c r="D42" s="31" t="str">
        <f>IFERROR(VLOOKUP(C42, 'Tổng hợp thông tin sinh viên'!A:E, 3, 0), "")</f>
        <v>duong.ttt226034@sis.hust.edu.vn</v>
      </c>
      <c r="E42" s="31" t="str">
        <f>IFERROR(VLOOKUP(C42, 'Tổng hợp thông tin sinh viên'!A:E, 5, 0), "")</f>
        <v>ICT 02-K67</v>
      </c>
      <c r="F42" s="71" t="str">
        <f>IF(COUNTBLANK(C42:C51) = 0, "Đủ", "Thiếu: " &amp; COUNTBLANK(C42:C51))</f>
        <v>Đủ</v>
      </c>
      <c r="G42" s="1"/>
      <c r="H42" s="1"/>
      <c r="I42" s="69">
        <v>9.0</v>
      </c>
      <c r="J42" s="72" t="s">
        <v>119</v>
      </c>
      <c r="K42" s="31"/>
      <c r="L42" s="31"/>
      <c r="M42" s="71" t="str">
        <f>IF(COUNTBLANK(J42:J51) = 0, "Đủ", "Thiếu: " &amp; COUNTBLANK(J42:J51))</f>
        <v>Đủ</v>
      </c>
      <c r="N42" s="1"/>
      <c r="O42" s="1"/>
    </row>
    <row r="43">
      <c r="A43" s="49"/>
      <c r="B43" s="70" t="str">
        <f>IFERROR(VLOOKUP(C43, 'Tổng hợp thông tin sinh viên'!A:E, 2, 0), "")</f>
        <v>Nguyễn Phương Anh</v>
      </c>
      <c r="C43" s="31" t="s">
        <v>120</v>
      </c>
      <c r="D43" s="31" t="str">
        <f>IFERROR(VLOOKUP(C43, 'Tổng hợp thông tin sinh viên'!A:E, 3, 0), "")</f>
        <v>anh.np226011@sis.hust.edu.vn</v>
      </c>
      <c r="E43" s="31" t="str">
        <f>IFERROR(VLOOKUP(C43, 'Tổng hợp thông tin sinh viên'!A:E, 5, 0), "")</f>
        <v>ICT 01-K67</v>
      </c>
      <c r="F43" s="49"/>
      <c r="G43" s="1"/>
      <c r="H43" s="1"/>
      <c r="I43" s="49"/>
      <c r="J43" s="72" t="s">
        <v>121</v>
      </c>
      <c r="K43" s="31"/>
      <c r="L43" s="31"/>
      <c r="M43" s="49"/>
      <c r="N43" s="1"/>
      <c r="O43" s="1"/>
    </row>
    <row r="44">
      <c r="A44" s="49"/>
      <c r="B44" s="70" t="str">
        <f>IFERROR(VLOOKUP(C44, 'Tổng hợp thông tin sinh viên'!A:E, 2, 0), "")</f>
        <v>Nguyễn Thị Thu Huyền</v>
      </c>
      <c r="C44" s="31" t="s">
        <v>122</v>
      </c>
      <c r="D44" s="31" t="str">
        <f>IFERROR(VLOOKUP(C44, 'Tổng hợp thông tin sinh viên'!A:E, 3, 0), "")</f>
        <v>huyen.ntt220073@sis.hust.edu.vn</v>
      </c>
      <c r="E44" s="31" t="str">
        <f>IFERROR(VLOOKUP(C44, 'Tổng hợp thông tin sinh viên'!A:E, 5, 0), "")</f>
        <v>ICT 01-K67</v>
      </c>
      <c r="F44" s="49"/>
      <c r="G44" s="1"/>
      <c r="H44" s="1"/>
      <c r="I44" s="49"/>
      <c r="J44" s="72" t="s">
        <v>123</v>
      </c>
      <c r="K44" s="31"/>
      <c r="L44" s="31"/>
      <c r="M44" s="49"/>
      <c r="N44" s="1"/>
      <c r="O44" s="1"/>
    </row>
    <row r="45">
      <c r="A45" s="49"/>
      <c r="B45" s="70" t="str">
        <f>IFERROR(VLOOKUP(C45, 'Tổng hợp thông tin sinh viên'!A:E, 2, 0), "")</f>
        <v>Đoàn Thị Thu Quyên</v>
      </c>
      <c r="C45" s="31" t="s">
        <v>124</v>
      </c>
      <c r="D45" s="31" t="str">
        <f>IFERROR(VLOOKUP(C45, 'Tổng hợp thông tin sinh viên'!A:E, 3, 0), "")</f>
        <v>quyen.dtt226063@sis.hust.edu.vn</v>
      </c>
      <c r="E45" s="31" t="str">
        <f>IFERROR(VLOOKUP(C45, 'Tổng hợp thông tin sinh viên'!A:E, 5, 0), "")</f>
        <v>ICT 01-K67</v>
      </c>
      <c r="F45" s="49"/>
      <c r="G45" s="1"/>
      <c r="H45" s="1"/>
      <c r="I45" s="49"/>
      <c r="J45" s="72" t="s">
        <v>125</v>
      </c>
      <c r="K45" s="31"/>
      <c r="L45" s="31"/>
      <c r="M45" s="49"/>
      <c r="N45" s="1"/>
      <c r="O45" s="1"/>
    </row>
    <row r="46">
      <c r="A46" s="49"/>
      <c r="B46" s="70" t="str">
        <f>IFERROR(VLOOKUP(C46, 'Tổng hợp thông tin sinh viên'!A:E, 2, 0), "")</f>
        <v>Hà Minh Đức</v>
      </c>
      <c r="C46" s="31" t="s">
        <v>126</v>
      </c>
      <c r="D46" s="31" t="str">
        <f>IFERROR(VLOOKUP(C46, 'Tổng hợp thông tin sinh viên'!A:E, 3, 0), "")</f>
        <v>duc.hm226027@sis.hust.edu.vn</v>
      </c>
      <c r="E46" s="31" t="str">
        <f>IFERROR(VLOOKUP(C46, 'Tổng hợp thông tin sinh viên'!A:E, 5, 0), "")</f>
        <v>ICT 02-K67</v>
      </c>
      <c r="F46" s="49"/>
      <c r="G46" s="1"/>
      <c r="H46" s="1"/>
      <c r="I46" s="49"/>
      <c r="J46" s="72" t="s">
        <v>127</v>
      </c>
      <c r="K46" s="31"/>
      <c r="L46" s="31"/>
      <c r="M46" s="49"/>
      <c r="N46" s="1"/>
      <c r="O46" s="1"/>
    </row>
    <row r="47">
      <c r="A47" s="49"/>
      <c r="B47" s="70" t="str">
        <f>IFERROR(VLOOKUP(C47, 'Tổng hợp thông tin sinh viên'!A:E, 2, 0), "")</f>
        <v>Nguyễn Công Minh</v>
      </c>
      <c r="C47" s="31" t="s">
        <v>128</v>
      </c>
      <c r="D47" s="31" t="str">
        <f>IFERROR(VLOOKUP(C47, 'Tổng hợp thông tin sinh viên'!A:E, 3, 0), "")</f>
        <v>minh.nc226056@sis.hust.edu.vn</v>
      </c>
      <c r="E47" s="31" t="str">
        <f>IFERROR(VLOOKUP(C47, 'Tổng hợp thông tin sinh viên'!A:E, 5, 0), "")</f>
        <v>ICT 02-K67</v>
      </c>
      <c r="F47" s="49"/>
      <c r="G47" s="1"/>
      <c r="H47" s="1"/>
      <c r="I47" s="49"/>
      <c r="J47" s="70" t="s">
        <v>129</v>
      </c>
      <c r="K47" s="31"/>
      <c r="L47" s="31"/>
      <c r="M47" s="49"/>
      <c r="N47" s="1"/>
      <c r="O47" s="1"/>
    </row>
    <row r="48">
      <c r="A48" s="49"/>
      <c r="B48" s="70" t="str">
        <f>IFERROR(VLOOKUP(C48, 'Tổng hợp thông tin sinh viên'!A:E, 2, 0), "")</f>
        <v>Bùi Nguyễn Minh</v>
      </c>
      <c r="C48" s="31" t="s">
        <v>130</v>
      </c>
      <c r="D48" s="31" t="str">
        <f>IFERROR(VLOOKUP(C48, 'Tổng hợp thông tin sinh viên'!A:E, 3, 0), "")</f>
        <v>minh.bn226055@sis.hust.edu.vn</v>
      </c>
      <c r="E48" s="31" t="str">
        <f>IFERROR(VLOOKUP(C48, 'Tổng hợp thông tin sinh viên'!A:E, 5, 0), "")</f>
        <v>ICT 02-K67</v>
      </c>
      <c r="F48" s="49"/>
      <c r="G48" s="1"/>
      <c r="H48" s="1"/>
      <c r="I48" s="49"/>
      <c r="J48" s="70" t="s">
        <v>131</v>
      </c>
      <c r="K48" s="31"/>
      <c r="L48" s="31"/>
      <c r="M48" s="49"/>
      <c r="N48" s="1"/>
      <c r="O48" s="1"/>
    </row>
    <row r="49">
      <c r="A49" s="49"/>
      <c r="B49" s="70" t="str">
        <f>IFERROR(VLOOKUP(C49, 'Tổng hợp thông tin sinh viên'!A:E, 2, 0), "")</f>
        <v>Nguyễn Trung Kiên</v>
      </c>
      <c r="C49" s="31" t="s">
        <v>132</v>
      </c>
      <c r="D49" s="31" t="str">
        <f>IFERROR(VLOOKUP(C49, 'Tổng hợp thông tin sinh viên'!A:E, 3, 0), "")</f>
        <v>kien.nt226052@sis.hust.edu.vn</v>
      </c>
      <c r="E49" s="31" t="str">
        <f>IFERROR(VLOOKUP(C49, 'Tổng hợp thông tin sinh viên'!A:E, 5, 0), "")</f>
        <v>ICT 02-K67</v>
      </c>
      <c r="F49" s="49"/>
      <c r="G49" s="1"/>
      <c r="H49" s="1"/>
      <c r="I49" s="49"/>
      <c r="J49" s="70" t="s">
        <v>133</v>
      </c>
      <c r="K49" s="31"/>
      <c r="L49" s="31"/>
      <c r="M49" s="49"/>
      <c r="N49" s="1"/>
      <c r="O49" s="1"/>
    </row>
    <row r="50">
      <c r="A50" s="49"/>
      <c r="B50" s="70" t="str">
        <f>IFERROR(VLOOKUP(C50, 'Tổng hợp thông tin sinh viên'!A:E, 2, 0), "")</f>
        <v>Phùng Đức Đạt</v>
      </c>
      <c r="C50" s="31" t="s">
        <v>134</v>
      </c>
      <c r="D50" s="31" t="str">
        <f>IFERROR(VLOOKUP(C50, 'Tổng hợp thông tin sinh viên'!A:E, 3, 0), "")</f>
        <v>dat.pd226025@sis.hust.edu.vn</v>
      </c>
      <c r="E50" s="31" t="str">
        <f>IFERROR(VLOOKUP(C50, 'Tổng hợp thông tin sinh viên'!A:E, 5, 0), "")</f>
        <v>ICT 02-K67</v>
      </c>
      <c r="F50" s="49"/>
      <c r="G50" s="1"/>
      <c r="H50" s="1"/>
      <c r="I50" s="49"/>
      <c r="J50" s="72" t="s">
        <v>135</v>
      </c>
      <c r="K50" s="73" t="s">
        <v>136</v>
      </c>
      <c r="L50" s="31"/>
      <c r="M50" s="49"/>
      <c r="N50" s="1"/>
      <c r="O50" s="1"/>
    </row>
    <row r="51">
      <c r="A51" s="52"/>
      <c r="B51" s="70" t="str">
        <f>IFERROR(VLOOKUP(C51, 'Tổng hợp thông tin sinh viên'!A:E, 2, 0), "")</f>
        <v>Htet Arkar Linn</v>
      </c>
      <c r="C51" s="31" t="s">
        <v>137</v>
      </c>
      <c r="D51" s="31" t="str">
        <f>IFERROR(VLOOKUP(C51, 'Tổng hợp thông tin sinh viên'!A:E, 3, 0), "")</f>
        <v>linn.ha239904@sis.hust.edu.vn</v>
      </c>
      <c r="E51" s="31" t="str">
        <f>IFERROR(VLOOKUP(C51, 'Tổng hợp thông tin sinh viên'!A:E, 5, 0), "")</f>
        <v>ICT 01-K66</v>
      </c>
      <c r="F51" s="52"/>
      <c r="G51" s="1"/>
      <c r="H51" s="1"/>
      <c r="I51" s="52"/>
      <c r="J51" s="70" t="s">
        <v>138</v>
      </c>
      <c r="K51" s="31"/>
      <c r="L51" s="31"/>
      <c r="M51" s="52"/>
      <c r="N51" s="1"/>
      <c r="O51" s="1"/>
    </row>
    <row r="52">
      <c r="A52" s="77">
        <v>8.0</v>
      </c>
      <c r="B52" s="78" t="str">
        <f>IFERROR(VLOOKUP(C52, 'Tổng hợp thông tin sinh viên'!A:E, 2, 0), "")</f>
        <v>Tạ Tuấn Hải</v>
      </c>
      <c r="C52" s="79" t="s">
        <v>139</v>
      </c>
      <c r="D52" s="27" t="str">
        <f>IFERROR(VLOOKUP(C52, 'Tổng hợp thông tin sinh viên'!A:E, 3, 0), "")</f>
        <v>hai.tt225442@sis.hust.edu.vn</v>
      </c>
      <c r="E52" s="27" t="str">
        <f>IFERROR(VLOOKUP(C52, 'Tổng hợp thông tin sinh viên'!A:E, 5, 0), "")</f>
        <v>CTTT Data Science &amp; AI 02-K67</v>
      </c>
      <c r="F52" s="71" t="str">
        <f>IF(COUNTBLANK(C52:C61) = 0, "Đủ", "Thiếu: " &amp; COUNTBLANK(C52:C61))</f>
        <v>Đủ</v>
      </c>
      <c r="G52" s="1"/>
      <c r="H52" s="1"/>
      <c r="I52" s="77">
        <v>41.0</v>
      </c>
      <c r="J52" s="78"/>
      <c r="K52" s="27"/>
      <c r="L52" s="27"/>
      <c r="M52" s="71" t="str">
        <f>IF(COUNTBLANK(J52:J61) = 0, "Đủ", "Thiếu: " &amp; COUNTBLANK(J52:J61))</f>
        <v>Thiếu: 10</v>
      </c>
      <c r="N52" s="1"/>
      <c r="O52" s="1"/>
    </row>
    <row r="53">
      <c r="A53" s="49"/>
      <c r="B53" s="78" t="str">
        <f>IFERROR(VLOOKUP(C53, 'Tổng hợp thông tin sinh viên'!A:E, 2, 0), "")</f>
        <v>Đào Vũ Tiến Đạt</v>
      </c>
      <c r="C53" s="27" t="s">
        <v>140</v>
      </c>
      <c r="D53" s="27" t="str">
        <f>IFERROR(VLOOKUP(C53, 'Tổng hợp thông tin sinh viên'!A:E, 3, 0), "")</f>
        <v>dat.dvt225479@sis.hust.edu.vn</v>
      </c>
      <c r="E53" s="27" t="str">
        <f>IFERROR(VLOOKUP(C53, 'Tổng hợp thông tin sinh viên'!A:E, 5, 0), "")</f>
        <v>CTTT Data Science &amp; AI 03-K67</v>
      </c>
      <c r="F53" s="49"/>
      <c r="G53" s="1"/>
      <c r="H53" s="1"/>
      <c r="I53" s="49"/>
      <c r="J53" s="78"/>
      <c r="K53" s="27"/>
      <c r="L53" s="27"/>
      <c r="M53" s="49"/>
      <c r="N53" s="1"/>
      <c r="O53" s="1"/>
    </row>
    <row r="54">
      <c r="A54" s="49"/>
      <c r="B54" s="78" t="str">
        <f>IFERROR(VLOOKUP(C54, 'Tổng hợp thông tin sinh viên'!A:E, 2, 0), "")</f>
        <v>Nguyễn Tiến Đạt</v>
      </c>
      <c r="C54" s="27" t="s">
        <v>141</v>
      </c>
      <c r="D54" s="27" t="str">
        <f>IFERROR(VLOOKUP(C54, 'Tổng hợp thông tin sinh viên'!A:E, 3, 0), "")</f>
        <v>dat.nt225481@sis.hust.edu.vn</v>
      </c>
      <c r="E54" s="27" t="str">
        <f>IFERROR(VLOOKUP(C54, 'Tổng hợp thông tin sinh viên'!A:E, 5, 0), "")</f>
        <v>CTTT Data Science &amp; AI 02-K67</v>
      </c>
      <c r="F54" s="49"/>
      <c r="G54" s="1"/>
      <c r="H54" s="1"/>
      <c r="I54" s="49"/>
      <c r="J54" s="78"/>
      <c r="K54" s="27"/>
      <c r="L54" s="27"/>
      <c r="M54" s="49"/>
      <c r="N54" s="1"/>
      <c r="O54" s="1"/>
    </row>
    <row r="55">
      <c r="A55" s="49"/>
      <c r="B55" s="78" t="str">
        <f>IFERROR(VLOOKUP(C55, 'Tổng hợp thông tin sinh viên'!A:E, 2, 0), "")</f>
        <v>Nguyễn Hoàng Quân</v>
      </c>
      <c r="C55" s="27" t="s">
        <v>142</v>
      </c>
      <c r="D55" s="27" t="str">
        <f>IFERROR(VLOOKUP(C55, 'Tổng hợp thông tin sinh viên'!A:E, 3, 0), "")</f>
        <v>quan.nh225519@sis.hust.edu.vn</v>
      </c>
      <c r="E55" s="27" t="str">
        <f>IFERROR(VLOOKUP(C55, 'Tổng hợp thông tin sinh viên'!A:E, 5, 0), "")</f>
        <v>CTTT Data Science &amp; AI 01-K67</v>
      </c>
      <c r="F55" s="49"/>
      <c r="G55" s="1"/>
      <c r="H55" s="1"/>
      <c r="I55" s="49"/>
      <c r="J55" s="78"/>
      <c r="K55" s="27"/>
      <c r="L55" s="27"/>
      <c r="M55" s="49"/>
      <c r="N55" s="1"/>
      <c r="O55" s="1"/>
      <c r="P55" s="82"/>
      <c r="Q55" s="1"/>
      <c r="R55" s="1"/>
      <c r="S55" s="83"/>
      <c r="T55" s="1"/>
      <c r="U55" s="1"/>
      <c r="V55" s="1"/>
      <c r="W55" s="1"/>
      <c r="X55" s="1"/>
      <c r="Y55" s="1"/>
    </row>
    <row r="56">
      <c r="A56" s="49"/>
      <c r="B56" s="78" t="str">
        <f>IFERROR(VLOOKUP(C56, 'Tổng hợp thông tin sinh viên'!A:E, 2, 0), "")</f>
        <v>Nguyễn Hải Đăng</v>
      </c>
      <c r="C56" s="27" t="s">
        <v>143</v>
      </c>
      <c r="D56" s="27" t="str">
        <f>IFERROR(VLOOKUP(C56, 'Tổng hợp thông tin sinh viên'!A:E, 3, 0), "")</f>
        <v>dang.nh225478@sis.hust.edu.vn</v>
      </c>
      <c r="E56" s="27" t="str">
        <f>IFERROR(VLOOKUP(C56, 'Tổng hợp thông tin sinh viên'!A:E, 5, 0), "")</f>
        <v>CTTT Data Science &amp; AI 01-K67</v>
      </c>
      <c r="F56" s="49"/>
      <c r="G56" s="1"/>
      <c r="H56" s="1"/>
      <c r="I56" s="49"/>
      <c r="J56" s="78"/>
      <c r="K56" s="27"/>
      <c r="L56" s="27"/>
      <c r="M56" s="49"/>
      <c r="N56" s="1"/>
      <c r="O56" s="1"/>
      <c r="P56" s="82"/>
      <c r="Q56" s="1"/>
      <c r="R56" s="1"/>
      <c r="S56" s="83"/>
      <c r="T56" s="1"/>
      <c r="U56" s="1"/>
      <c r="V56" s="1"/>
      <c r="W56" s="1"/>
      <c r="X56" s="1"/>
      <c r="Y56" s="1"/>
    </row>
    <row r="57">
      <c r="A57" s="49"/>
      <c r="B57" s="78" t="str">
        <f>IFERROR(VLOOKUP(C57, 'Tổng hợp thông tin sinh viên'!A:E, 2, 0), "")</f>
        <v>Nguyễn Mậu Trung</v>
      </c>
      <c r="C57" s="27" t="s">
        <v>144</v>
      </c>
      <c r="D57" s="27" t="str">
        <f>IFERROR(VLOOKUP(C57, 'Tổng hợp thông tin sinh viên'!A:E, 3, 0), "")</f>
        <v>trung.nm225534@sis.hust.edu.vn</v>
      </c>
      <c r="E57" s="27" t="str">
        <f>IFERROR(VLOOKUP(C57, 'Tổng hợp thông tin sinh viên'!A:E, 5, 0), "")</f>
        <v>CTTT Data Science &amp; AI 03-K67</v>
      </c>
      <c r="F57" s="49"/>
      <c r="G57" s="1"/>
      <c r="H57" s="1"/>
      <c r="I57" s="49"/>
      <c r="J57" s="78"/>
      <c r="K57" s="27"/>
      <c r="L57" s="27"/>
      <c r="M57" s="49"/>
      <c r="N57" s="1"/>
      <c r="O57" s="1"/>
      <c r="P57" s="82"/>
      <c r="Q57" s="1"/>
      <c r="R57" s="1"/>
      <c r="S57" s="83"/>
      <c r="T57" s="1"/>
      <c r="U57" s="1"/>
      <c r="V57" s="1"/>
      <c r="W57" s="1"/>
      <c r="X57" s="1"/>
      <c r="Y57" s="1"/>
    </row>
    <row r="58">
      <c r="A58" s="49"/>
      <c r="B58" s="78" t="str">
        <f>IFERROR(VLOOKUP(C58, 'Tổng hợp thông tin sinh viên'!A:E, 2, 0), "")</f>
        <v>Nguyễn Võ Ngọc Khuê</v>
      </c>
      <c r="C58" s="27" t="s">
        <v>145</v>
      </c>
      <c r="D58" s="27" t="str">
        <f>IFERROR(VLOOKUP(C58, 'Tổng hợp thông tin sinh viên'!A:E, 3, 0), "")</f>
        <v>khue.nvn225504@sis.hust.edu.vn</v>
      </c>
      <c r="E58" s="27" t="str">
        <f>IFERROR(VLOOKUP(C58, 'Tổng hợp thông tin sinh viên'!A:E, 5, 0), "")</f>
        <v>CTTT Data Science &amp; AI 01-K67</v>
      </c>
      <c r="F58" s="49"/>
      <c r="G58" s="1"/>
      <c r="H58" s="1"/>
      <c r="I58" s="49"/>
      <c r="J58" s="78"/>
      <c r="K58" s="27"/>
      <c r="L58" s="27"/>
      <c r="M58" s="49"/>
      <c r="N58" s="1"/>
      <c r="O58" s="1"/>
      <c r="P58" s="82"/>
      <c r="Q58" s="1"/>
      <c r="R58" s="1"/>
      <c r="S58" s="83"/>
      <c r="T58" s="1"/>
      <c r="U58" s="1"/>
      <c r="V58" s="1"/>
      <c r="W58" s="1"/>
      <c r="X58" s="1"/>
      <c r="Y58" s="1"/>
    </row>
    <row r="59">
      <c r="A59" s="49"/>
      <c r="B59" s="78" t="str">
        <f>IFERROR(VLOOKUP(C59, 'Tổng hợp thông tin sinh viên'!A:E, 2, 0), "")</f>
        <v>Âu Trung Phong</v>
      </c>
      <c r="C59" s="27" t="s">
        <v>146</v>
      </c>
      <c r="D59" s="27" t="str">
        <f>IFERROR(VLOOKUP(C59, 'Tổng hợp thông tin sinh viên'!A:E, 3, 0), "")</f>
        <v>phong.at225455@sis.hust.edu.vn</v>
      </c>
      <c r="E59" s="27" t="str">
        <f>IFERROR(VLOOKUP(C59, 'Tổng hợp thông tin sinh viên'!A:E, 5, 0), "")</f>
        <v>CTTT Data Science &amp; AI 03-K67</v>
      </c>
      <c r="F59" s="49"/>
      <c r="G59" s="1"/>
      <c r="H59" s="1"/>
      <c r="I59" s="49"/>
      <c r="J59" s="78"/>
      <c r="K59" s="27"/>
      <c r="L59" s="27"/>
      <c r="M59" s="49"/>
      <c r="N59" s="1"/>
      <c r="O59" s="1"/>
      <c r="P59" s="82"/>
      <c r="Q59" s="1"/>
      <c r="R59" s="1"/>
      <c r="S59" s="83"/>
      <c r="T59" s="1"/>
      <c r="U59" s="1"/>
      <c r="V59" s="1"/>
      <c r="W59" s="1"/>
      <c r="X59" s="1"/>
      <c r="Y59" s="1"/>
    </row>
    <row r="60">
      <c r="A60" s="49"/>
      <c r="B60" s="78" t="str">
        <f>IFERROR(VLOOKUP(C60, 'Tổng hợp thông tin sinh viên'!A:E, 2, 0), "")</f>
        <v>Trần Sỹ Minh Quân</v>
      </c>
      <c r="C60" s="27" t="s">
        <v>147</v>
      </c>
      <c r="D60" s="27" t="str">
        <f>IFERROR(VLOOKUP(C60, 'Tổng hợp thông tin sinh viên'!A:E, 3, 0), "")</f>
        <v>quan.tsm225521@sis.hust.edu.vn</v>
      </c>
      <c r="E60" s="27" t="str">
        <f>IFERROR(VLOOKUP(C60, 'Tổng hợp thông tin sinh viên'!A:E, 5, 0), "")</f>
        <v>CTTT Data Science &amp; AI 03-K67</v>
      </c>
      <c r="F60" s="49"/>
      <c r="G60" s="1"/>
      <c r="H60" s="1"/>
      <c r="I60" s="49"/>
      <c r="J60" s="78"/>
      <c r="K60" s="27"/>
      <c r="L60" s="27"/>
      <c r="M60" s="49"/>
      <c r="N60" s="1"/>
      <c r="O60" s="1"/>
      <c r="P60" s="82"/>
      <c r="Q60" s="1"/>
      <c r="R60" s="1"/>
      <c r="S60" s="83"/>
      <c r="T60" s="1"/>
      <c r="U60" s="1"/>
      <c r="V60" s="1"/>
      <c r="W60" s="1"/>
      <c r="X60" s="1"/>
      <c r="Y60" s="1"/>
    </row>
    <row r="61">
      <c r="A61" s="52"/>
      <c r="B61" s="78" t="str">
        <f>IFERROR(VLOOKUP(C61, 'Tổng hợp thông tin sinh viên'!A:E, 2, 0), "")</f>
        <v>Vũ Đức Minh</v>
      </c>
      <c r="C61" s="27" t="s">
        <v>148</v>
      </c>
      <c r="D61" s="27" t="str">
        <f>IFERROR(VLOOKUP(C61, 'Tổng hợp thông tin sinh viên'!A:E, 3, 0), "")</f>
        <v>minh.vd225514@sis.hust.edu.vn</v>
      </c>
      <c r="E61" s="27" t="str">
        <f>IFERROR(VLOOKUP(C61, 'Tổng hợp thông tin sinh viên'!A:E, 5, 0), "")</f>
        <v>CTTT Data Science &amp; AI 03-K67</v>
      </c>
      <c r="F61" s="52"/>
      <c r="G61" s="1"/>
      <c r="H61" s="1"/>
      <c r="I61" s="52"/>
      <c r="J61" s="78"/>
      <c r="K61" s="27"/>
      <c r="L61" s="27"/>
      <c r="M61" s="52"/>
      <c r="N61" s="1"/>
      <c r="O61" s="1"/>
      <c r="P61" s="82"/>
      <c r="Q61" s="1"/>
      <c r="R61" s="1"/>
      <c r="S61" s="83"/>
      <c r="T61" s="1"/>
      <c r="U61" s="1"/>
      <c r="V61" s="1"/>
      <c r="W61" s="1"/>
      <c r="X61" s="1"/>
      <c r="Y61" s="1"/>
    </row>
    <row r="62">
      <c r="A62" s="69">
        <v>10.0</v>
      </c>
      <c r="B62" s="70" t="str">
        <f>IFERROR(VLOOKUP(C62, 'Tổng hợp thông tin sinh viên'!A:E, 2, 0), "")</f>
        <v>Lê Nhật Sơn</v>
      </c>
      <c r="C62" s="31" t="s">
        <v>149</v>
      </c>
      <c r="D62" s="31" t="str">
        <f>IFERROR(VLOOKUP(C62, 'Tổng hợp thông tin sinh viên'!A:E, 3, 0), "")</f>
        <v>son.ln225918@sis.hust.edu.vn</v>
      </c>
      <c r="E62" s="31" t="str">
        <f>IFERROR(VLOOKUP(C62, 'Tổng hợp thông tin sinh viên'!A:E, 5, 0), "")</f>
        <v>Việt Nhật 04-K67</v>
      </c>
      <c r="F62" s="71" t="str">
        <f>IF(COUNTBLANK(C62:C71) = 0, "Đủ", "Thiếu: " &amp; COUNTBLANK(C62:C71))</f>
        <v>Đủ</v>
      </c>
      <c r="G62" s="1"/>
      <c r="H62" s="1"/>
      <c r="I62" s="69">
        <v>12.0</v>
      </c>
      <c r="J62" s="70"/>
      <c r="K62" s="31"/>
      <c r="L62" s="31"/>
      <c r="M62" s="71" t="str">
        <f>IF(COUNTBLANK(J62:J71) = 0, "Đủ", "Thiếu: " &amp; COUNTBLANK(J62:J71))</f>
        <v>Thiếu: 10</v>
      </c>
      <c r="N62" s="1"/>
      <c r="O62" s="1"/>
      <c r="P62" s="82"/>
      <c r="Q62" s="1"/>
      <c r="R62" s="1"/>
      <c r="S62" s="83"/>
      <c r="T62" s="1"/>
      <c r="U62" s="1"/>
      <c r="V62" s="1"/>
      <c r="W62" s="1"/>
      <c r="X62" s="1"/>
      <c r="Y62" s="1"/>
    </row>
    <row r="63">
      <c r="A63" s="49"/>
      <c r="B63" s="70" t="str">
        <f>IFERROR(VLOOKUP(C63, 'Tổng hợp thông tin sinh viên'!A:E, 2, 0), "")</f>
        <v>Lê Hồ Quang Huy</v>
      </c>
      <c r="C63" s="31" t="s">
        <v>150</v>
      </c>
      <c r="D63" s="31" t="str">
        <f>IFERROR(VLOOKUP(C63, 'Tổng hợp thông tin sinh viên'!A:E, 3, 0), "")</f>
        <v>huyle1122004@gmail.com</v>
      </c>
      <c r="E63" s="31" t="str">
        <f>IFERROR(VLOOKUP(C63, 'Tổng hợp thông tin sinh viên'!A:E, 5, 0), "")</f>
        <v/>
      </c>
      <c r="F63" s="49"/>
      <c r="G63" s="1"/>
      <c r="H63" s="1"/>
      <c r="I63" s="49"/>
      <c r="J63" s="70"/>
      <c r="K63" s="31"/>
      <c r="L63" s="31"/>
      <c r="M63" s="49"/>
      <c r="N63" s="1"/>
      <c r="O63" s="1"/>
      <c r="P63" s="82"/>
      <c r="Q63" s="1"/>
      <c r="R63" s="1"/>
      <c r="S63" s="83"/>
      <c r="T63" s="1"/>
      <c r="U63" s="1"/>
      <c r="V63" s="1"/>
      <c r="W63" s="1"/>
      <c r="X63" s="1"/>
      <c r="Y63" s="1"/>
    </row>
    <row r="64">
      <c r="A64" s="49"/>
      <c r="B64" s="70" t="str">
        <f>IFERROR(VLOOKUP(C64, 'Tổng hợp thông tin sinh viên'!A:E, 2, 0), "")</f>
        <v>Nguyễn Sơn Tùng</v>
      </c>
      <c r="C64" s="31" t="s">
        <v>151</v>
      </c>
      <c r="D64" s="31" t="str">
        <f>IFERROR(VLOOKUP(C64, 'Tổng hợp thông tin sinh viên'!A:E, 3, 0), "")</f>
        <v>tung.ns225112@sis.hust.edu.vn</v>
      </c>
      <c r="E64" s="31" t="str">
        <f>IFERROR(VLOOKUP(C64, 'Tổng hợp thông tin sinh viên'!A:E, 5, 0), "")</f>
        <v>Khoa học máy tính 02-K67</v>
      </c>
      <c r="F64" s="49"/>
      <c r="G64" s="1"/>
      <c r="H64" s="1"/>
      <c r="I64" s="49"/>
      <c r="J64" s="70"/>
      <c r="K64" s="31"/>
      <c r="L64" s="31"/>
      <c r="M64" s="49"/>
      <c r="N64" s="1"/>
      <c r="O64" s="1"/>
      <c r="P64" s="82"/>
      <c r="Q64" s="1"/>
      <c r="R64" s="1"/>
      <c r="S64" s="83"/>
      <c r="T64" s="1"/>
      <c r="U64" s="1"/>
      <c r="V64" s="1"/>
      <c r="W64" s="1"/>
      <c r="X64" s="1"/>
      <c r="Y64" s="1"/>
    </row>
    <row r="65">
      <c r="A65" s="49"/>
      <c r="B65" s="70" t="str">
        <f>IFERROR(VLOOKUP(C65, 'Tổng hợp thông tin sinh viên'!A:E, 2, 0), "")</f>
        <v>Bùi Việt Hưng</v>
      </c>
      <c r="C65" s="31" t="s">
        <v>152</v>
      </c>
      <c r="D65" s="31" t="str">
        <f>IFERROR(VLOOKUP(C65, 'Tổng hợp thông tin sinh viên'!A:E, 3, 0), "")</f>
        <v>hung.bv225723@sis.hust.edu.vn</v>
      </c>
      <c r="E65" s="31" t="str">
        <f>IFERROR(VLOOKUP(C65, 'Tổng hợp thông tin sinh viên'!A:E, 5, 0), "")</f>
        <v>Việt Nhật 01-K67</v>
      </c>
      <c r="F65" s="49"/>
      <c r="G65" s="1"/>
      <c r="H65" s="1"/>
      <c r="I65" s="49"/>
      <c r="J65" s="70"/>
      <c r="K65" s="31"/>
      <c r="L65" s="31"/>
      <c r="M65" s="49"/>
      <c r="N65" s="1"/>
      <c r="O65" s="1"/>
      <c r="P65" s="82"/>
      <c r="Q65" s="1"/>
      <c r="R65" s="1"/>
      <c r="S65" s="83"/>
      <c r="T65" s="1"/>
      <c r="U65" s="1"/>
      <c r="V65" s="1"/>
      <c r="W65" s="1"/>
      <c r="X65" s="1"/>
      <c r="Y65" s="1"/>
    </row>
    <row r="66">
      <c r="A66" s="49"/>
      <c r="B66" s="70" t="str">
        <f>IFERROR(VLOOKUP(C66, 'Tổng hợp thông tin sinh viên'!A:E, 2, 0), "")</f>
        <v>Nguyễn Xuân Khuê</v>
      </c>
      <c r="C66" s="31" t="s">
        <v>153</v>
      </c>
      <c r="D66" s="31" t="str">
        <f>IFERROR(VLOOKUP(C66, 'Tổng hợp thông tin sinh viên'!A:E, 3, 0), "")</f>
        <v>khue.nx225643@sis.hust.edu.vn</v>
      </c>
      <c r="E66" s="31" t="str">
        <f>IFERROR(VLOOKUP(C66, 'Tổng hợp thông tin sinh viên'!A:E, 5, 0), "")</f>
        <v>Việt Nhật 05-K67</v>
      </c>
      <c r="F66" s="49"/>
      <c r="G66" s="1"/>
      <c r="H66" s="1"/>
      <c r="I66" s="49"/>
      <c r="J66" s="70"/>
      <c r="K66" s="31"/>
      <c r="L66" s="31"/>
      <c r="M66" s="49"/>
      <c r="N66" s="1"/>
      <c r="O66" s="1"/>
      <c r="P66" s="82"/>
      <c r="Q66" s="1"/>
      <c r="R66" s="1"/>
      <c r="S66" s="83"/>
      <c r="T66" s="1"/>
      <c r="U66" s="1"/>
      <c r="V66" s="1"/>
      <c r="W66" s="1"/>
      <c r="X66" s="1"/>
      <c r="Y66" s="1"/>
    </row>
    <row r="67">
      <c r="A67" s="49"/>
      <c r="B67" s="70" t="str">
        <f>IFERROR(VLOOKUP(C67, 'Tổng hợp thông tin sinh viên'!A:E, 2, 0), "")</f>
        <v>Nguyễn Hoàng Tùng</v>
      </c>
      <c r="C67" s="31" t="s">
        <v>154</v>
      </c>
      <c r="D67" s="31" t="str">
        <f>IFERROR(VLOOKUP(C67, 'Tổng hợp thông tin sinh viên'!A:E, 3, 0), "")</f>
        <v>tung.nh225948@sis.hust.edu.vn</v>
      </c>
      <c r="E67" s="31" t="str">
        <f>IFERROR(VLOOKUP(C67, 'Tổng hợp thông tin sinh viên'!A:E, 5, 0), "")</f>
        <v>Việt Nhật 06-K67</v>
      </c>
      <c r="F67" s="49"/>
      <c r="G67" s="1"/>
      <c r="H67" s="1"/>
      <c r="I67" s="49"/>
      <c r="J67" s="70"/>
      <c r="K67" s="31"/>
      <c r="L67" s="31"/>
      <c r="M67" s="49"/>
      <c r="N67" s="1"/>
      <c r="O67" s="1"/>
      <c r="P67" s="82"/>
      <c r="Q67" s="1"/>
      <c r="R67" s="1"/>
      <c r="S67" s="83"/>
      <c r="T67" s="1"/>
      <c r="U67" s="1"/>
      <c r="V67" s="1"/>
      <c r="W67" s="1"/>
      <c r="X67" s="1"/>
      <c r="Y67" s="1"/>
    </row>
    <row r="68">
      <c r="A68" s="49"/>
      <c r="B68" s="70" t="str">
        <f>IFERROR(VLOOKUP(C68, 'Tổng hợp thông tin sinh viên'!A:E, 2, 0), "")</f>
        <v>Đặng Kim Ngân</v>
      </c>
      <c r="C68" s="31" t="s">
        <v>155</v>
      </c>
      <c r="D68" s="31" t="str">
        <f>IFERROR(VLOOKUP(C68, 'Tổng hợp thông tin sinh viên'!A:E, 3, 0), "")</f>
        <v>ngan.dk225751@sis.hust.edu.vn</v>
      </c>
      <c r="E68" s="31" t="str">
        <f>IFERROR(VLOOKUP(C68, 'Tổng hợp thông tin sinh viên'!A:E, 5, 0), "")</f>
        <v>Việt Nhật 05-K67</v>
      </c>
      <c r="F68" s="49"/>
      <c r="G68" s="1"/>
      <c r="H68" s="1"/>
      <c r="I68" s="49"/>
      <c r="J68" s="70"/>
      <c r="K68" s="31"/>
      <c r="L68" s="31"/>
      <c r="M68" s="49"/>
      <c r="N68" s="1"/>
      <c r="O68" s="1"/>
      <c r="P68" s="82"/>
      <c r="Q68" s="1"/>
      <c r="R68" s="1"/>
      <c r="S68" s="83"/>
      <c r="T68" s="1"/>
      <c r="U68" s="1"/>
      <c r="V68" s="1"/>
      <c r="W68" s="1"/>
      <c r="X68" s="1"/>
      <c r="Y68" s="1"/>
    </row>
    <row r="69">
      <c r="A69" s="49"/>
      <c r="B69" s="70" t="str">
        <f>IFERROR(VLOOKUP(C69, 'Tổng hợp thông tin sinh viên'!A:E, 2, 0), "")</f>
        <v>Nguyễn Thị Nhung</v>
      </c>
      <c r="C69" s="31" t="s">
        <v>156</v>
      </c>
      <c r="D69" s="31" t="str">
        <f>IFERROR(VLOOKUP(C69, 'Tổng hợp thông tin sinh viên'!A:E, 3, 0), "")</f>
        <v>nhung.nt225754@sis.hust.edu.vn</v>
      </c>
      <c r="E69" s="31" t="str">
        <f>IFERROR(VLOOKUP(C69, 'Tổng hợp thông tin sinh viên'!A:E, 5, 0), "")</f>
        <v>Việt Nhật 03-K67</v>
      </c>
      <c r="F69" s="49"/>
      <c r="G69" s="1"/>
      <c r="H69" s="1"/>
      <c r="I69" s="49"/>
      <c r="J69" s="70"/>
      <c r="K69" s="31"/>
      <c r="L69" s="31"/>
      <c r="M69" s="49"/>
      <c r="N69" s="1"/>
      <c r="O69" s="1"/>
      <c r="P69" s="82"/>
      <c r="Q69" s="1"/>
      <c r="R69" s="1"/>
      <c r="S69" s="83"/>
      <c r="T69" s="1"/>
      <c r="U69" s="1"/>
      <c r="V69" s="1"/>
      <c r="W69" s="1"/>
      <c r="X69" s="1"/>
      <c r="Y69" s="1"/>
    </row>
    <row r="70">
      <c r="A70" s="49"/>
      <c r="B70" s="70" t="str">
        <f>IFERROR(VLOOKUP(C70, 'Tổng hợp thông tin sinh viên'!A:E, 2, 0), "")</f>
        <v>Trần Thị Vân Anh</v>
      </c>
      <c r="C70" s="31" t="s">
        <v>157</v>
      </c>
      <c r="D70" s="31" t="str">
        <f>IFERROR(VLOOKUP(C70, 'Tổng hợp thông tin sinh viên'!A:E, 3, 0), "")</f>
        <v>anh.ttv225786@sis.hust.edu.vn</v>
      </c>
      <c r="E70" s="31" t="str">
        <f>IFERROR(VLOOKUP(C70, 'Tổng hợp thông tin sinh viên'!A:E, 5, 0), "")</f>
        <v>Việt Nhật 04-K67</v>
      </c>
      <c r="F70" s="49"/>
      <c r="G70" s="1"/>
      <c r="H70" s="1"/>
      <c r="I70" s="49"/>
      <c r="J70" s="70"/>
      <c r="K70" s="73"/>
      <c r="L70" s="31"/>
      <c r="M70" s="49"/>
      <c r="N70" s="1"/>
      <c r="O70" s="1"/>
      <c r="P70" s="82"/>
      <c r="Q70" s="1"/>
      <c r="R70" s="1"/>
      <c r="S70" s="83"/>
      <c r="T70" s="1"/>
      <c r="U70" s="1"/>
      <c r="V70" s="1"/>
      <c r="W70" s="1"/>
      <c r="X70" s="1"/>
      <c r="Y70" s="1"/>
    </row>
    <row r="71">
      <c r="A71" s="52"/>
      <c r="B71" s="70" t="str">
        <f>IFERROR(VLOOKUP(C71, 'Tổng hợp thông tin sinh viên'!A:E, 2, 0), "")</f>
        <v>Nguyễn Thùy Linh</v>
      </c>
      <c r="C71" s="31" t="s">
        <v>158</v>
      </c>
      <c r="D71" s="31" t="str">
        <f>IFERROR(VLOOKUP(C71, 'Tổng hợp thông tin sinh viên'!A:E, 3, 0), "")</f>
        <v>linh.nt225031@sis.hust.edu.vn</v>
      </c>
      <c r="E71" s="31" t="str">
        <f>IFERROR(VLOOKUP(C71, 'Tổng hợp thông tin sinh viên'!A:E, 5, 0), "")</f>
        <v>Khoa học máy tính 05-K67</v>
      </c>
      <c r="F71" s="52"/>
      <c r="G71" s="1"/>
      <c r="H71" s="1"/>
      <c r="I71" s="52"/>
      <c r="J71" s="70"/>
      <c r="K71" s="31"/>
      <c r="L71" s="31"/>
      <c r="M71" s="52"/>
      <c r="N71" s="1"/>
      <c r="O71" s="1"/>
      <c r="P71" s="82"/>
      <c r="Q71" s="1"/>
      <c r="R71" s="1"/>
      <c r="S71" s="83"/>
      <c r="T71" s="1"/>
      <c r="U71" s="1"/>
      <c r="V71" s="1"/>
      <c r="W71" s="1"/>
      <c r="X71" s="1"/>
      <c r="Y71" s="1"/>
    </row>
    <row r="72">
      <c r="A72" s="77">
        <v>11.0</v>
      </c>
      <c r="B72" s="78" t="str">
        <f>IFERROR(VLOOKUP(C72, 'Tổng hợp thông tin sinh viên'!A:E, 2, 0), "")</f>
        <v>Ngô Ngọc Hải</v>
      </c>
      <c r="C72" s="79" t="s">
        <v>159</v>
      </c>
      <c r="D72" s="27" t="str">
        <f>IFERROR(VLOOKUP(C72, 'Tổng hợp thông tin sinh viên'!A:E, 3, 0), "")</f>
        <v>hai.nn225308@sis.hust.edu.vn</v>
      </c>
      <c r="E72" s="27" t="str">
        <f>IFERROR(VLOOKUP(C72, 'Tổng hợp thông tin sinh viên'!A:E, 5, 0), "")</f>
        <v>Kỹ thuật máy tính 03-K67</v>
      </c>
      <c r="F72" s="71" t="str">
        <f>IF(COUNTBLANK(C72:C81) = 0, "Đủ", "Thiếu: " &amp; COUNTBLANK(C72:C81))</f>
        <v>Thiếu: 1</v>
      </c>
      <c r="G72" s="1"/>
      <c r="H72" s="1"/>
      <c r="I72" s="77">
        <v>44.0</v>
      </c>
      <c r="J72" s="78"/>
      <c r="K72" s="27"/>
      <c r="L72" s="27"/>
      <c r="M72" s="71" t="str">
        <f>IF(COUNTBLANK(J72:J81) = 0, "Đủ", "Thiếu: " &amp; COUNTBLANK(J72:J81))</f>
        <v>Thiếu: 10</v>
      </c>
      <c r="N72" s="1"/>
      <c r="O72" s="1"/>
      <c r="P72" s="82"/>
      <c r="Q72" s="1"/>
      <c r="R72" s="1"/>
      <c r="S72" s="83"/>
      <c r="T72" s="1"/>
      <c r="U72" s="1"/>
      <c r="V72" s="1"/>
      <c r="W72" s="1"/>
      <c r="X72" s="1"/>
      <c r="Y72" s="1"/>
    </row>
    <row r="73">
      <c r="A73" s="49"/>
      <c r="B73" s="78" t="str">
        <f>IFERROR(VLOOKUP(C73, 'Tổng hợp thông tin sinh viên'!A:E, 2, 0), "")</f>
        <v>Phạm Duy Thanh</v>
      </c>
      <c r="C73" s="27" t="s">
        <v>160</v>
      </c>
      <c r="D73" s="27" t="str">
        <f>IFERROR(VLOOKUP(C73, 'Tổng hợp thông tin sinh viên'!A:E, 3, 0), "")</f>
        <v>phamduythanh2004tb@gmail.com</v>
      </c>
      <c r="E73" s="27" t="str">
        <f>IFERROR(VLOOKUP(C73, 'Tổng hợp thông tin sinh viên'!A:E, 5, 0), "")</f>
        <v/>
      </c>
      <c r="F73" s="49"/>
      <c r="G73" s="1"/>
      <c r="H73" s="1"/>
      <c r="I73" s="49"/>
      <c r="J73" s="78"/>
      <c r="K73" s="27"/>
      <c r="L73" s="27"/>
      <c r="M73" s="49"/>
      <c r="N73" s="1"/>
      <c r="O73" s="1"/>
      <c r="P73" s="82"/>
      <c r="Q73" s="1"/>
      <c r="R73" s="1"/>
      <c r="S73" s="83"/>
      <c r="T73" s="1"/>
      <c r="U73" s="1"/>
      <c r="V73" s="1"/>
      <c r="W73" s="1"/>
      <c r="X73" s="1"/>
      <c r="Y73" s="1"/>
    </row>
    <row r="74">
      <c r="A74" s="49"/>
      <c r="B74" s="78" t="str">
        <f>IFERROR(VLOOKUP(C74, 'Tổng hợp thông tin sinh viên'!A:E, 2, 0), "")</f>
        <v/>
      </c>
      <c r="C74" s="27"/>
      <c r="D74" s="27" t="str">
        <f>IFERROR(VLOOKUP(C74, 'Tổng hợp thông tin sinh viên'!A:E, 3, 0), "")</f>
        <v/>
      </c>
      <c r="E74" s="27" t="str">
        <f>IFERROR(VLOOKUP(C74, 'Tổng hợp thông tin sinh viên'!A:E, 5, 0), "")</f>
        <v/>
      </c>
      <c r="F74" s="49"/>
      <c r="G74" s="1"/>
      <c r="H74" s="1"/>
      <c r="I74" s="49"/>
      <c r="J74" s="78"/>
      <c r="K74" s="27"/>
      <c r="L74" s="27"/>
      <c r="M74" s="49"/>
      <c r="N74" s="1"/>
      <c r="O74" s="1"/>
      <c r="P74" s="82"/>
      <c r="Q74" s="1"/>
      <c r="R74" s="1"/>
      <c r="S74" s="83"/>
      <c r="T74" s="1"/>
      <c r="U74" s="1"/>
      <c r="V74" s="1"/>
      <c r="W74" s="1"/>
      <c r="X74" s="1"/>
      <c r="Y74" s="1"/>
    </row>
    <row r="75">
      <c r="A75" s="49"/>
      <c r="B75" s="78" t="str">
        <f>IFERROR(VLOOKUP(C75, 'Tổng hợp thông tin sinh viên'!A:E, 2, 0), "")</f>
        <v>Nguyễn Xuân Trưởng</v>
      </c>
      <c r="C75" s="27" t="s">
        <v>161</v>
      </c>
      <c r="D75" s="27" t="str">
        <f>IFERROR(VLOOKUP(C75, 'Tổng hợp thông tin sinh viên'!A:E, 3, 0), "")</f>
        <v>truong.nx225420@sis.hust.edu.vn</v>
      </c>
      <c r="E75" s="27" t="str">
        <f>IFERROR(VLOOKUP(C75, 'Tổng hợp thông tin sinh viên'!A:E, 5, 0), "")</f>
        <v>Kỹ thuật máy tính 03-K67</v>
      </c>
      <c r="F75" s="49"/>
      <c r="G75" s="1"/>
      <c r="H75" s="1"/>
      <c r="I75" s="49"/>
      <c r="J75" s="78"/>
      <c r="K75" s="27"/>
      <c r="L75" s="27"/>
      <c r="M75" s="49"/>
      <c r="N75" s="1"/>
      <c r="O75" s="1"/>
      <c r="P75" s="82"/>
      <c r="Q75" s="1"/>
      <c r="R75" s="1"/>
      <c r="S75" s="83"/>
      <c r="T75" s="1"/>
      <c r="U75" s="1"/>
      <c r="V75" s="1"/>
      <c r="W75" s="1"/>
      <c r="X75" s="1"/>
      <c r="Y75" s="1"/>
    </row>
    <row r="76">
      <c r="A76" s="49"/>
      <c r="B76" s="78" t="str">
        <f>IFERROR(VLOOKUP(C76, 'Tổng hợp thông tin sinh viên'!A:E, 2, 0), "")</f>
        <v>Hồ Xuân Thái</v>
      </c>
      <c r="C76" s="27" t="s">
        <v>162</v>
      </c>
      <c r="D76" s="27" t="str">
        <f>IFERROR(VLOOKUP(C76, 'Tổng hợp thông tin sinh viên'!A:E, 3, 0), "")</f>
        <v>thai.hx225393@sis.hust.edu.vn</v>
      </c>
      <c r="E76" s="27" t="str">
        <f>IFERROR(VLOOKUP(C76, 'Tổng hợp thông tin sinh viên'!A:E, 5, 0), "")</f>
        <v/>
      </c>
      <c r="F76" s="49"/>
      <c r="G76" s="1"/>
      <c r="H76" s="1"/>
      <c r="I76" s="49"/>
      <c r="J76" s="78"/>
      <c r="K76" s="27"/>
      <c r="L76" s="27"/>
      <c r="M76" s="49"/>
      <c r="N76" s="1"/>
      <c r="O76" s="1"/>
      <c r="P76" s="82"/>
      <c r="Q76" s="1"/>
      <c r="R76" s="1"/>
      <c r="S76" s="83"/>
      <c r="T76" s="1"/>
      <c r="U76" s="1"/>
      <c r="V76" s="1"/>
      <c r="W76" s="1"/>
      <c r="X76" s="1"/>
      <c r="Y76" s="1"/>
    </row>
    <row r="77">
      <c r="A77" s="49"/>
      <c r="B77" s="78" t="str">
        <f>IFERROR(VLOOKUP(C77, 'Tổng hợp thông tin sinh viên'!A:E, 2, 0), "")</f>
        <v>Bùi Anh Đức</v>
      </c>
      <c r="C77" s="27" t="s">
        <v>163</v>
      </c>
      <c r="D77" s="27" t="str">
        <f>IFERROR(VLOOKUP(C77, 'Tổng hợp thông tin sinh viên'!A:E, 3, 0), "")</f>
        <v>duc.ba225285@sis.hust.edu.vn</v>
      </c>
      <c r="E77" s="27" t="str">
        <f>IFERROR(VLOOKUP(C77, 'Tổng hợp thông tin sinh viên'!A:E, 5, 0), "")</f>
        <v/>
      </c>
      <c r="F77" s="49"/>
      <c r="G77" s="1"/>
      <c r="H77" s="1"/>
      <c r="I77" s="49"/>
      <c r="J77" s="78"/>
      <c r="K77" s="27"/>
      <c r="L77" s="27"/>
      <c r="M77" s="49"/>
      <c r="N77" s="1"/>
      <c r="O77" s="1"/>
      <c r="P77" s="82"/>
      <c r="Q77" s="1"/>
      <c r="R77" s="1"/>
      <c r="S77" s="83"/>
      <c r="T77" s="1"/>
      <c r="U77" s="1"/>
      <c r="V77" s="1"/>
      <c r="W77" s="1"/>
      <c r="X77" s="1"/>
      <c r="Y77" s="1"/>
    </row>
    <row r="78">
      <c r="A78" s="49"/>
      <c r="B78" s="78" t="str">
        <f>IFERROR(VLOOKUP(C78, 'Tổng hợp thông tin sinh viên'!A:E, 2, 0), "")</f>
        <v>Bùi Văn Nam</v>
      </c>
      <c r="C78" s="27" t="s">
        <v>164</v>
      </c>
      <c r="D78" s="27" t="str">
        <f>IFERROR(VLOOKUP(C78, 'Tổng hợp thông tin sinh viên'!A:E, 3, 0), "")</f>
        <v>nam.bv225211@sis.hust.edu.vn</v>
      </c>
      <c r="E78" s="27" t="str">
        <f>IFERROR(VLOOKUP(C78, 'Tổng hợp thông tin sinh viên'!A:E, 5, 0), "")</f>
        <v>Kỹ thuật máy tính 07-K67</v>
      </c>
      <c r="F78" s="49"/>
      <c r="G78" s="1"/>
      <c r="H78" s="1"/>
      <c r="I78" s="49"/>
      <c r="J78" s="78"/>
      <c r="K78" s="27"/>
      <c r="L78" s="27"/>
      <c r="M78" s="49"/>
      <c r="N78" s="1"/>
      <c r="O78" s="1"/>
      <c r="P78" s="82"/>
      <c r="Q78" s="1"/>
      <c r="R78" s="1"/>
      <c r="S78" s="83"/>
      <c r="T78" s="1"/>
      <c r="U78" s="1"/>
      <c r="V78" s="1"/>
      <c r="W78" s="1"/>
      <c r="X78" s="1"/>
      <c r="Y78" s="1"/>
    </row>
    <row r="79">
      <c r="A79" s="49"/>
      <c r="B79" s="78" t="str">
        <f>IFERROR(VLOOKUP(C79, 'Tổng hợp thông tin sinh viên'!A:E, 2, 0), "")</f>
        <v>Nguyễn Phúc An Khang</v>
      </c>
      <c r="C79" s="27" t="s">
        <v>165</v>
      </c>
      <c r="D79" s="27" t="str">
        <f>IFERROR(VLOOKUP(C79, 'Tổng hợp thông tin sinh viên'!A:E, 3, 0), "")</f>
        <v>khang.npa225137@sis.hust.edu.vn</v>
      </c>
      <c r="E79" s="27" t="str">
        <f>IFERROR(VLOOKUP(C79, 'Tổng hợp thông tin sinh viên'!A:E, 5, 0), "")</f>
        <v>Kỹ thuật máy tính 07-K67</v>
      </c>
      <c r="F79" s="49"/>
      <c r="G79" s="1"/>
      <c r="H79" s="1"/>
      <c r="I79" s="49"/>
      <c r="J79" s="78"/>
      <c r="K79" s="27"/>
      <c r="L79" s="27"/>
      <c r="M79" s="49"/>
      <c r="N79" s="1"/>
      <c r="O79" s="1"/>
      <c r="P79" s="82"/>
      <c r="Q79" s="1"/>
      <c r="R79" s="1"/>
      <c r="S79" s="83"/>
      <c r="T79" s="1"/>
      <c r="U79" s="1"/>
      <c r="V79" s="1"/>
      <c r="W79" s="1"/>
      <c r="X79" s="1"/>
      <c r="Y79" s="1"/>
    </row>
    <row r="80">
      <c r="A80" s="49"/>
      <c r="B80" s="78" t="str">
        <f>IFERROR(VLOOKUP(C80, 'Tổng hợp thông tin sinh viên'!A:E, 2, 0), "")</f>
        <v>Vũ Đức Anh</v>
      </c>
      <c r="C80" s="27" t="s">
        <v>166</v>
      </c>
      <c r="D80" s="27" t="str">
        <f>IFERROR(VLOOKUP(C80, 'Tổng hợp thông tin sinh viên'!A:E, 3, 0), "")</f>
        <v>anh.vd225257@sis.hust.edu.vn</v>
      </c>
      <c r="E80" s="27" t="str">
        <f>IFERROR(VLOOKUP(C80, 'Tổng hợp thông tin sinh viên'!A:E, 5, 0), "")</f>
        <v>Kỹ thuật máy tính 07-K67</v>
      </c>
      <c r="F80" s="49"/>
      <c r="G80" s="1"/>
      <c r="H80" s="1"/>
      <c r="I80" s="49"/>
      <c r="J80" s="78"/>
      <c r="K80" s="27"/>
      <c r="L80" s="27"/>
      <c r="M80" s="49"/>
      <c r="N80" s="1"/>
      <c r="O80" s="1"/>
      <c r="P80" s="82"/>
      <c r="Q80" s="1"/>
      <c r="R80" s="1"/>
      <c r="S80" s="83"/>
      <c r="T80" s="1"/>
      <c r="U80" s="1"/>
      <c r="V80" s="1"/>
      <c r="W80" s="1"/>
      <c r="X80" s="1"/>
      <c r="Y80" s="1"/>
    </row>
    <row r="81">
      <c r="A81" s="52"/>
      <c r="B81" s="78" t="str">
        <f>IFERROR(VLOOKUP(C81, 'Tổng hợp thông tin sinh viên'!A:E, 2, 0), "")</f>
        <v>Nguyễn Quốc Anh</v>
      </c>
      <c r="C81" s="27" t="s">
        <v>167</v>
      </c>
      <c r="D81" s="27" t="str">
        <f>IFERROR(VLOOKUP(C81, 'Tổng hợp thông tin sinh viên'!A:E, 3, 0), "")</f>
        <v>anh.nq224919@sis.hust.edu.vn</v>
      </c>
      <c r="E81" s="27" t="str">
        <f>IFERROR(VLOOKUP(C81, 'Tổng hợp thông tin sinh viên'!A:E, 5, 0), "")</f>
        <v>Khoa học máy tính 07-K67</v>
      </c>
      <c r="F81" s="52"/>
      <c r="G81" s="1"/>
      <c r="H81" s="1"/>
      <c r="I81" s="52"/>
      <c r="J81" s="78"/>
      <c r="K81" s="27"/>
      <c r="L81" s="27"/>
      <c r="M81" s="52"/>
      <c r="N81" s="1"/>
      <c r="O81" s="1"/>
      <c r="P81" s="82"/>
      <c r="Q81" s="1"/>
      <c r="R81" s="1"/>
      <c r="S81" s="83"/>
      <c r="T81" s="1"/>
      <c r="U81" s="1"/>
      <c r="V81" s="1"/>
      <c r="W81" s="1"/>
      <c r="X81" s="1"/>
      <c r="Y81" s="1"/>
    </row>
    <row r="82">
      <c r="A82" s="69">
        <v>13.0</v>
      </c>
      <c r="B82" s="70" t="str">
        <f>IFERROR(VLOOKUP(C82, 'Tổng hợp thông tin sinh viên'!A:E, 2, 0), "")</f>
        <v>Bùi Đức Hùng</v>
      </c>
      <c r="C82" s="31" t="s">
        <v>168</v>
      </c>
      <c r="D82" s="31" t="str">
        <f>IFERROR(VLOOKUP(C82, 'Tổng hợp thông tin sinh viên'!A:E, 3, 0), "")</f>
        <v>hung.bd225193@sis.hust.edu.vn</v>
      </c>
      <c r="E82" s="31" t="str">
        <f>IFERROR(VLOOKUP(C82, 'Tổng hợp thông tin sinh viên'!A:E, 5, 0), "")</f>
        <v>Kỹ thuật máy tính 07-K67</v>
      </c>
      <c r="F82" s="71" t="str">
        <f>IF(COUNTBLANK(C82:C91) = 0, "Đủ", "Thiếu: " &amp; COUNTBLANK(C82:C91))</f>
        <v>Đủ</v>
      </c>
      <c r="G82" s="1"/>
      <c r="H82" s="1"/>
      <c r="I82" s="1"/>
      <c r="J82" s="1"/>
      <c r="K82" s="1"/>
      <c r="L82" s="1"/>
      <c r="M82" s="1"/>
      <c r="N82" s="1"/>
      <c r="O82" s="1"/>
      <c r="P82" s="82"/>
      <c r="Q82" s="1"/>
      <c r="R82" s="1"/>
      <c r="S82" s="83"/>
      <c r="T82" s="1"/>
      <c r="U82" s="1"/>
      <c r="V82" s="1"/>
      <c r="W82" s="1"/>
      <c r="X82" s="1"/>
      <c r="Y82" s="1"/>
    </row>
    <row r="83">
      <c r="A83" s="49"/>
      <c r="B83" s="70" t="str">
        <f>IFERROR(VLOOKUP(C83, 'Tổng hợp thông tin sinh viên'!A:E, 2, 0), "")</f>
        <v>Hoàng Công Vinh</v>
      </c>
      <c r="C83" s="31" t="s">
        <v>169</v>
      </c>
      <c r="D83" s="31" t="str">
        <f>IFERROR(VLOOKUP(C83, 'Tổng hợp thông tin sinh viên'!A:E, 3, 0), "")</f>
        <v>vinh.hc225238@sis.hust.edu.vn</v>
      </c>
      <c r="E83" s="31" t="str">
        <f>IFERROR(VLOOKUP(C83, 'Tổng hợp thông tin sinh viên'!A:E, 5, 0), "")</f>
        <v>Kỹ thuật máy tính 07-K67</v>
      </c>
      <c r="F83" s="49"/>
      <c r="G83" s="1"/>
      <c r="H83" s="1"/>
      <c r="I83" s="1"/>
      <c r="J83" s="1"/>
      <c r="K83" s="1"/>
      <c r="L83" s="1"/>
      <c r="M83" s="1"/>
      <c r="N83" s="1"/>
      <c r="O83" s="1"/>
      <c r="P83" s="82"/>
      <c r="Q83" s="1"/>
      <c r="R83" s="1"/>
      <c r="S83" s="83"/>
      <c r="T83" s="1"/>
      <c r="U83" s="1"/>
      <c r="V83" s="1"/>
      <c r="W83" s="1"/>
      <c r="X83" s="1"/>
      <c r="Y83" s="1"/>
    </row>
    <row r="84">
      <c r="A84" s="49"/>
      <c r="B84" s="70" t="str">
        <f>IFERROR(VLOOKUP(C84, 'Tổng hợp thông tin sinh viên'!A:E, 2, 0), "")</f>
        <v>Nguyễn Tú Anh</v>
      </c>
      <c r="C84" s="31" t="s">
        <v>170</v>
      </c>
      <c r="D84" s="31" t="str">
        <f>IFERROR(VLOOKUP(C84, 'Tổng hợp thông tin sinh viên'!A:E, 3, 0), "")</f>
        <v>anh.nt225119@sis.hust.edu.vn</v>
      </c>
      <c r="E84" s="31" t="str">
        <f>IFERROR(VLOOKUP(C84, 'Tổng hợp thông tin sinh viên'!A:E, 5, 0), "")</f>
        <v>Kỹ thuật máy tính 07-K67</v>
      </c>
      <c r="F84" s="49"/>
      <c r="G84" s="1"/>
      <c r="H84" s="1"/>
      <c r="I84" s="1"/>
      <c r="J84" s="1"/>
      <c r="K84" s="1"/>
      <c r="L84" s="1"/>
      <c r="M84" s="1"/>
      <c r="N84" s="1"/>
      <c r="O84" s="1"/>
      <c r="P84" s="82"/>
      <c r="Q84" s="1"/>
      <c r="R84" s="1"/>
      <c r="S84" s="83"/>
      <c r="T84" s="1"/>
      <c r="U84" s="1"/>
      <c r="V84" s="1"/>
      <c r="W84" s="1"/>
      <c r="X84" s="1"/>
      <c r="Y84" s="1"/>
    </row>
    <row r="85">
      <c r="A85" s="49"/>
      <c r="B85" s="70" t="str">
        <f>IFERROR(VLOOKUP(C85, 'Tổng hợp thông tin sinh viên'!A:E, 2, 0), "")</f>
        <v>Bùi Ngọc Thanh</v>
      </c>
      <c r="C85" s="31" t="s">
        <v>171</v>
      </c>
      <c r="D85" s="31" t="str">
        <f>IFERROR(VLOOKUP(C85, 'Tổng hợp thông tin sinh viên'!A:E, 3, 0), "")</f>
        <v>thanh.bn225399@sis.hust.edu.vn</v>
      </c>
      <c r="E85" s="31" t="str">
        <f>IFERROR(VLOOKUP(C85, 'Tổng hợp thông tin sinh viên'!A:E, 5, 0), "")</f>
        <v>Kỹ thuật máy tính 07-K67</v>
      </c>
      <c r="F85" s="49"/>
      <c r="G85" s="1"/>
      <c r="H85" s="1"/>
      <c r="I85" s="1"/>
      <c r="J85" s="1"/>
      <c r="K85" s="1"/>
      <c r="L85" s="1"/>
      <c r="M85" s="1"/>
      <c r="N85" s="1"/>
      <c r="O85" s="1"/>
      <c r="P85" s="82"/>
      <c r="Q85" s="1"/>
      <c r="R85" s="1"/>
      <c r="S85" s="83"/>
      <c r="T85" s="1"/>
      <c r="U85" s="1"/>
      <c r="V85" s="1"/>
      <c r="W85" s="1"/>
      <c r="X85" s="1"/>
      <c r="Y85" s="1"/>
    </row>
    <row r="86">
      <c r="A86" s="49"/>
      <c r="B86" s="70" t="str">
        <f>IFERROR(VLOOKUP(C86, 'Tổng hợp thông tin sinh viên'!A:E, 2, 0), "")</f>
        <v>Nguyễn Lê Hà Sơn</v>
      </c>
      <c r="C86" s="31" t="s">
        <v>172</v>
      </c>
      <c r="D86" s="31" t="str">
        <f>IFERROR(VLOOKUP(C86, 'Tổng hợp thông tin sinh viên'!A:E, 3, 0), "")</f>
        <v>son.nlh225157@sis.hust.edu.vn</v>
      </c>
      <c r="E86" s="31" t="str">
        <f>IFERROR(VLOOKUP(C86, 'Tổng hợp thông tin sinh viên'!A:E, 5, 0), "")</f>
        <v>Kỹ thuật máy tính 07-K67</v>
      </c>
      <c r="F86" s="49"/>
      <c r="G86" s="1"/>
      <c r="H86" s="1"/>
      <c r="I86" s="1"/>
      <c r="J86" s="1"/>
      <c r="K86" s="1"/>
      <c r="L86" s="1"/>
      <c r="M86" s="1"/>
      <c r="N86" s="1"/>
      <c r="O86" s="1"/>
      <c r="P86" s="82"/>
      <c r="Q86" s="1"/>
      <c r="R86" s="1"/>
      <c r="S86" s="83"/>
      <c r="T86" s="1"/>
      <c r="U86" s="1"/>
      <c r="V86" s="1"/>
      <c r="W86" s="1"/>
      <c r="X86" s="1"/>
      <c r="Y86" s="1"/>
    </row>
    <row r="87">
      <c r="A87" s="49"/>
      <c r="B87" s="70" t="str">
        <f>IFERROR(VLOOKUP(C87, 'Tổng hợp thông tin sinh viên'!A:E, 2, 0), "")</f>
        <v>Đinh Tạ Hoàng Dũng</v>
      </c>
      <c r="C87" s="31" t="s">
        <v>173</v>
      </c>
      <c r="D87" s="31" t="str">
        <f>IFERROR(VLOOKUP(C87, 'Tổng hợp thông tin sinh viên'!A:E, 3, 0), "")</f>
        <v>dung.dth225290@sis.hust.edu.vn</v>
      </c>
      <c r="E87" s="31" t="str">
        <f>IFERROR(VLOOKUP(C87, 'Tổng hợp thông tin sinh viên'!A:E, 5, 0), "")</f>
        <v>Kỹ thuật máy tính 07-K67</v>
      </c>
      <c r="F87" s="49"/>
      <c r="G87" s="1"/>
      <c r="H87" s="1"/>
      <c r="I87" s="1"/>
      <c r="J87" s="1"/>
      <c r="K87" s="1"/>
      <c r="L87" s="1"/>
      <c r="M87" s="1"/>
      <c r="N87" s="1"/>
      <c r="O87" s="1"/>
      <c r="P87" s="82"/>
      <c r="Q87" s="1"/>
      <c r="R87" s="1"/>
      <c r="S87" s="83"/>
      <c r="T87" s="1"/>
      <c r="U87" s="1"/>
      <c r="V87" s="1"/>
      <c r="W87" s="1"/>
      <c r="X87" s="1"/>
      <c r="Y87" s="1"/>
    </row>
    <row r="88">
      <c r="A88" s="49"/>
      <c r="B88" s="70" t="str">
        <f>IFERROR(VLOOKUP(C88, 'Tổng hợp thông tin sinh viên'!A:E, 2, 0), "")</f>
        <v>Đặng Tuấn Anh</v>
      </c>
      <c r="C88" s="31" t="s">
        <v>174</v>
      </c>
      <c r="D88" s="31" t="str">
        <f>IFERROR(VLOOKUP(C88, 'Tổng hợp thông tin sinh viên'!A:E, 3, 0), "")</f>
        <v>anh.dt225247@sis.hust.edu.vn</v>
      </c>
      <c r="E88" s="31" t="str">
        <f>IFERROR(VLOOKUP(C88, 'Tổng hợp thông tin sinh viên'!A:E, 5, 0), "")</f>
        <v>Kỹ thuật máy tính 07-K67</v>
      </c>
      <c r="F88" s="49"/>
      <c r="G88" s="1"/>
      <c r="H88" s="1"/>
      <c r="I88" s="1"/>
      <c r="J88" s="1"/>
      <c r="K88" s="1"/>
      <c r="L88" s="1"/>
      <c r="M88" s="1"/>
      <c r="N88" s="1"/>
      <c r="O88" s="1"/>
      <c r="P88" s="82"/>
      <c r="Q88" s="1"/>
      <c r="R88" s="1"/>
      <c r="S88" s="83"/>
      <c r="T88" s="1"/>
      <c r="U88" s="1"/>
      <c r="V88" s="1"/>
      <c r="W88" s="1"/>
      <c r="X88" s="1"/>
      <c r="Y88" s="1"/>
    </row>
    <row r="89">
      <c r="A89" s="49"/>
      <c r="B89" s="70" t="str">
        <f>IFERROR(VLOOKUP(C89, 'Tổng hợp thông tin sinh viên'!A:E, 2, 0), "")</f>
        <v>Phan Trí Dũng</v>
      </c>
      <c r="C89" s="31" t="s">
        <v>175</v>
      </c>
      <c r="D89" s="31" t="str">
        <f>IFERROR(VLOOKUP(C89, 'Tổng hợp thông tin sinh viên'!A:E, 3, 0), "")</f>
        <v>dung.pt225295@sis.hust.edu.vn</v>
      </c>
      <c r="E89" s="31" t="str">
        <f>IFERROR(VLOOKUP(C89, 'Tổng hợp thông tin sinh viên'!A:E, 5, 0), "")</f>
        <v>Kỹ thuật máy tính 07-K67</v>
      </c>
      <c r="F89" s="49"/>
      <c r="G89" s="1"/>
      <c r="H89" s="1"/>
      <c r="I89" s="1"/>
      <c r="J89" s="1"/>
      <c r="K89" s="1"/>
      <c r="L89" s="1"/>
      <c r="M89" s="1"/>
      <c r="N89" s="1"/>
      <c r="O89" s="1"/>
      <c r="P89" s="82"/>
      <c r="Q89" s="1"/>
      <c r="R89" s="1"/>
      <c r="S89" s="83"/>
      <c r="T89" s="1"/>
      <c r="U89" s="1"/>
      <c r="V89" s="1"/>
      <c r="W89" s="1"/>
      <c r="X89" s="1"/>
      <c r="Y89" s="1"/>
    </row>
    <row r="90">
      <c r="A90" s="49"/>
      <c r="B90" s="70" t="str">
        <f>IFERROR(VLOOKUP(C90, 'Tổng hợp thông tin sinh viên'!A:E, 2, 0), "")</f>
        <v>Đinh Quốc Đạt</v>
      </c>
      <c r="C90" s="31" t="s">
        <v>176</v>
      </c>
      <c r="D90" s="31" t="str">
        <f>IFERROR(VLOOKUP(C90, 'Tổng hợp thông tin sinh viên'!A:E, 3, 0), "")</f>
        <v>dat.dq225275@sis.hust.edu.vn</v>
      </c>
      <c r="E90" s="31" t="str">
        <f>IFERROR(VLOOKUP(C90, 'Tổng hợp thông tin sinh viên'!A:E, 5, 0), "")</f>
        <v>Kỹ thuật máy tính 07-K67</v>
      </c>
      <c r="F90" s="49"/>
      <c r="G90" s="1"/>
      <c r="H90" s="1"/>
      <c r="I90" s="1"/>
      <c r="J90" s="1"/>
      <c r="K90" s="1"/>
      <c r="L90" s="1"/>
      <c r="M90" s="1"/>
      <c r="N90" s="1"/>
      <c r="O90" s="1"/>
      <c r="P90" s="82"/>
      <c r="Q90" s="1"/>
      <c r="R90" s="1"/>
      <c r="S90" s="83"/>
      <c r="T90" s="1"/>
      <c r="U90" s="1"/>
      <c r="V90" s="1"/>
      <c r="W90" s="1"/>
      <c r="X90" s="1"/>
      <c r="Y90" s="1"/>
    </row>
    <row r="91">
      <c r="A91" s="52"/>
      <c r="B91" s="70" t="str">
        <f>IFERROR(VLOOKUP(C91, 'Tổng hợp thông tin sinh viên'!A:E, 2, 0), "")</f>
        <v>Nguyễn Xuân Thành</v>
      </c>
      <c r="C91" s="31" t="s">
        <v>177</v>
      </c>
      <c r="D91" s="31" t="str">
        <f>IFERROR(VLOOKUP(C91, 'Tổng hợp thông tin sinh viên'!A:E, 3, 0), "")</f>
        <v>thanh.nx225404@sis.hust.edu.vn</v>
      </c>
      <c r="E91" s="31" t="str">
        <f>IFERROR(VLOOKUP(C91, 'Tổng hợp thông tin sinh viên'!A:E, 5, 0), "")</f>
        <v>Kỹ thuật máy tính 07-K67</v>
      </c>
      <c r="F91" s="52"/>
      <c r="G91" s="1"/>
      <c r="H91" s="1"/>
      <c r="I91" s="1"/>
      <c r="J91" s="1"/>
      <c r="K91" s="1"/>
      <c r="L91" s="1"/>
      <c r="M91" s="1"/>
      <c r="N91" s="1"/>
      <c r="O91" s="1"/>
      <c r="P91" s="82"/>
      <c r="Q91" s="1"/>
      <c r="R91" s="1"/>
      <c r="S91" s="83"/>
      <c r="T91" s="1"/>
      <c r="U91" s="1"/>
      <c r="V91" s="1"/>
      <c r="W91" s="1"/>
      <c r="X91" s="1"/>
      <c r="Y91" s="1"/>
    </row>
    <row r="92">
      <c r="A92" s="77">
        <v>14.0</v>
      </c>
      <c r="B92" s="78" t="str">
        <f>IFERROR(VLOOKUP(C92, 'Tổng hợp thông tin sinh viên'!A:E, 2, 0), "")</f>
        <v>Đinh Ngọc Khánh Huyền</v>
      </c>
      <c r="C92" s="79" t="s">
        <v>178</v>
      </c>
      <c r="D92" s="27" t="str">
        <f>IFERROR(VLOOKUP(C92, 'Tổng hợp thông tin sinh viên'!A:E, 3, 0), "")</f>
        <v>huyen.dnk225726@sis.hust.edu.vn</v>
      </c>
      <c r="E92" s="27" t="str">
        <f>IFERROR(VLOOKUP(C92, 'Tổng hợp thông tin sinh viên'!A:E, 5, 0), "")</f>
        <v>Việt Nhật 01-K67</v>
      </c>
      <c r="F92" s="71" t="str">
        <f>IF(COUNTBLANK(C92:C101) = 0, "Đủ", "Thiếu: " &amp; COUNTBLANK(C92:C101))</f>
        <v>Đủ</v>
      </c>
      <c r="G92" s="1"/>
      <c r="H92" s="1"/>
      <c r="I92" s="1"/>
      <c r="J92" s="1"/>
      <c r="K92" s="1"/>
      <c r="L92" s="1"/>
      <c r="M92" s="1"/>
      <c r="N92" s="1"/>
      <c r="O92" s="1"/>
      <c r="P92" s="82"/>
      <c r="Q92" s="1"/>
      <c r="R92" s="1"/>
      <c r="S92" s="83"/>
      <c r="T92" s="1"/>
      <c r="U92" s="1"/>
      <c r="V92" s="1"/>
      <c r="W92" s="1"/>
      <c r="X92" s="1"/>
      <c r="Y92" s="1"/>
    </row>
    <row r="93">
      <c r="A93" s="49"/>
      <c r="B93" s="78" t="str">
        <f>IFERROR(VLOOKUP(C93, 'Tổng hợp thông tin sinh viên'!A:E, 2, 0), "")</f>
        <v>Bùi Thị Xuân</v>
      </c>
      <c r="C93" s="27" t="s">
        <v>179</v>
      </c>
      <c r="D93" s="27" t="str">
        <f>IFERROR(VLOOKUP(C93, 'Tổng hợp thông tin sinh viên'!A:E, 3, 0), "")</f>
        <v>xuan.bt225957@sis.hust.edu.vn</v>
      </c>
      <c r="E93" s="27" t="str">
        <f>IFERROR(VLOOKUP(C93, 'Tổng hợp thông tin sinh viên'!A:E, 5, 0), "")</f>
        <v>Việt Nhật 04-K67</v>
      </c>
      <c r="F93" s="49"/>
      <c r="G93" s="1"/>
      <c r="H93" s="1"/>
      <c r="I93" s="1"/>
      <c r="J93" s="1"/>
      <c r="K93" s="1"/>
      <c r="L93" s="1"/>
      <c r="M93" s="1"/>
      <c r="N93" s="1"/>
      <c r="O93" s="1"/>
      <c r="P93" s="82"/>
      <c r="Q93" s="1"/>
      <c r="R93" s="1"/>
      <c r="S93" s="83"/>
      <c r="T93" s="1"/>
      <c r="U93" s="1"/>
      <c r="V93" s="1"/>
      <c r="W93" s="1"/>
      <c r="X93" s="1"/>
      <c r="Y93" s="1"/>
    </row>
    <row r="94">
      <c r="A94" s="49"/>
      <c r="B94" s="78" t="str">
        <f>IFERROR(VLOOKUP(C94, 'Tổng hợp thông tin sinh viên'!A:E, 2, 0), "")</f>
        <v>Trần Khánh Quỳnh</v>
      </c>
      <c r="C94" s="27" t="s">
        <v>180</v>
      </c>
      <c r="D94" s="27" t="str">
        <f>IFERROR(VLOOKUP(C94, 'Tổng hợp thông tin sinh viên'!A:E, 3, 0), "")</f>
        <v>quynh.tk225762@sis.hust.edu.vn</v>
      </c>
      <c r="E94" s="27" t="str">
        <f>IFERROR(VLOOKUP(C94, 'Tổng hợp thông tin sinh viên'!A:E, 5, 0), "")</f>
        <v>Việt Nhật 01-K67</v>
      </c>
      <c r="F94" s="49"/>
      <c r="G94" s="1"/>
      <c r="H94" s="1"/>
      <c r="I94" s="1"/>
      <c r="J94" s="1"/>
      <c r="K94" s="1"/>
      <c r="L94" s="1"/>
      <c r="M94" s="1"/>
      <c r="N94" s="1"/>
      <c r="O94" s="1"/>
      <c r="P94" s="82"/>
      <c r="Q94" s="1"/>
      <c r="R94" s="1"/>
      <c r="S94" s="83"/>
      <c r="T94" s="1"/>
      <c r="U94" s="1"/>
      <c r="V94" s="1"/>
      <c r="W94" s="1"/>
      <c r="X94" s="1"/>
      <c r="Y94" s="1"/>
    </row>
    <row r="95">
      <c r="A95" s="49"/>
      <c r="B95" s="78" t="str">
        <f>IFERROR(VLOOKUP(C95, 'Tổng hợp thông tin sinh viên'!A:E, 2, 0), "")</f>
        <v>Trần Ngọc Hưng</v>
      </c>
      <c r="C95" s="27" t="s">
        <v>181</v>
      </c>
      <c r="D95" s="27" t="str">
        <f>IFERROR(VLOOKUP(C95, 'Tổng hợp thông tin sinh viên'!A:E, 3, 0), "")</f>
        <v>hung.tn225635@sis.hust.edu.vn</v>
      </c>
      <c r="E95" s="27" t="str">
        <f>IFERROR(VLOOKUP(C95, 'Tổng hợp thông tin sinh viên'!A:E, 5, 0), "")</f>
        <v>Việt Nhật 06-K67</v>
      </c>
      <c r="F95" s="49"/>
      <c r="G95" s="1"/>
      <c r="H95" s="1"/>
      <c r="I95" s="1"/>
      <c r="J95" s="1"/>
      <c r="K95" s="1"/>
      <c r="L95" s="1"/>
      <c r="M95" s="1"/>
      <c r="N95" s="1"/>
      <c r="O95" s="1"/>
      <c r="P95" s="82"/>
      <c r="Q95" s="1"/>
      <c r="R95" s="1"/>
      <c r="S95" s="83"/>
      <c r="T95" s="1"/>
      <c r="U95" s="1"/>
      <c r="V95" s="1"/>
      <c r="W95" s="1"/>
      <c r="X95" s="1"/>
      <c r="Y95" s="1"/>
    </row>
    <row r="96">
      <c r="A96" s="49"/>
      <c r="B96" s="78" t="str">
        <f>IFERROR(VLOOKUP(C96, 'Tổng hợp thông tin sinh viên'!A:E, 2, 0), "")</f>
        <v>Ngô Hoàng Phúc</v>
      </c>
      <c r="C96" s="27" t="s">
        <v>182</v>
      </c>
      <c r="D96" s="27" t="str">
        <f>IFERROR(VLOOKUP(C96, 'Tổng hợp thông tin sinh viên'!A:E, 3, 0), "")</f>
        <v>phuc.nh225903@sis.hust.edu.vn</v>
      </c>
      <c r="E96" s="27" t="str">
        <f>IFERROR(VLOOKUP(C96, 'Tổng hợp thông tin sinh viên'!A:E, 5, 0), "")</f>
        <v>Việt Nhật 03-K67</v>
      </c>
      <c r="F96" s="49"/>
      <c r="G96" s="1"/>
      <c r="H96" s="1"/>
      <c r="I96" s="1"/>
      <c r="J96" s="1"/>
      <c r="K96" s="1"/>
      <c r="L96" s="1"/>
      <c r="M96" s="1"/>
      <c r="N96" s="1"/>
      <c r="O96" s="1"/>
      <c r="P96" s="82"/>
      <c r="Q96" s="1"/>
      <c r="R96" s="1"/>
      <c r="S96" s="83"/>
      <c r="T96" s="1"/>
      <c r="U96" s="1"/>
      <c r="V96" s="1"/>
      <c r="W96" s="1"/>
      <c r="X96" s="1"/>
      <c r="Y96" s="1"/>
    </row>
    <row r="97">
      <c r="A97" s="49"/>
      <c r="B97" s="78" t="str">
        <f>IFERROR(VLOOKUP(C97, 'Tổng hợp thông tin sinh viên'!A:E, 2, 0), "")</f>
        <v>Nguyễn Hồng Phúc</v>
      </c>
      <c r="C97" s="27" t="s">
        <v>183</v>
      </c>
      <c r="D97" s="27" t="str">
        <f>IFERROR(VLOOKUP(C97, 'Tổng hợp thông tin sinh viên'!A:E, 3, 0), "")</f>
        <v>phuc.nh225659@sis.hust.edu.vn</v>
      </c>
      <c r="E97" s="27" t="str">
        <f>IFERROR(VLOOKUP(C97, 'Tổng hợp thông tin sinh viên'!A:E, 5, 0), "")</f>
        <v>Việt Nhật 06-K67</v>
      </c>
      <c r="F97" s="49"/>
      <c r="G97" s="1"/>
      <c r="H97" s="1"/>
      <c r="I97" s="1"/>
      <c r="J97" s="1"/>
      <c r="K97" s="1"/>
      <c r="L97" s="1"/>
      <c r="M97" s="1"/>
      <c r="N97" s="1"/>
      <c r="O97" s="1"/>
      <c r="P97" s="82"/>
      <c r="Q97" s="1"/>
      <c r="R97" s="1"/>
      <c r="S97" s="83"/>
      <c r="T97" s="1"/>
      <c r="U97" s="1"/>
      <c r="V97" s="1"/>
      <c r="W97" s="1"/>
      <c r="X97" s="1"/>
      <c r="Y97" s="1"/>
    </row>
    <row r="98">
      <c r="A98" s="49"/>
      <c r="B98" s="78" t="str">
        <f>IFERROR(VLOOKUP(C98, 'Tổng hợp thông tin sinh viên'!A:E, 2, 0), "")</f>
        <v>Nguyễn Minh Hoàng</v>
      </c>
      <c r="C98" s="27" t="s">
        <v>184</v>
      </c>
      <c r="D98" s="27" t="str">
        <f>IFERROR(VLOOKUP(C98, 'Tổng hợp thông tin sinh viên'!A:E, 3, 0), "")</f>
        <v>hoang.nm225846@sis.hust.edu.vn</v>
      </c>
      <c r="E98" s="27" t="str">
        <f>IFERROR(VLOOKUP(C98, 'Tổng hợp thông tin sinh viên'!A:E, 5, 0), "")</f>
        <v>Việt Nhật 05-K67</v>
      </c>
      <c r="F98" s="49"/>
      <c r="G98" s="1"/>
      <c r="H98" s="1"/>
      <c r="I98" s="1"/>
      <c r="J98" s="1"/>
      <c r="K98" s="1"/>
      <c r="L98" s="1"/>
      <c r="M98" s="1"/>
      <c r="N98" s="1"/>
      <c r="O98" s="1"/>
      <c r="P98" s="82"/>
      <c r="Q98" s="1"/>
      <c r="R98" s="1"/>
      <c r="S98" s="83"/>
      <c r="T98" s="1"/>
      <c r="U98" s="1"/>
      <c r="V98" s="1"/>
      <c r="W98" s="1"/>
      <c r="X98" s="1"/>
      <c r="Y98" s="1"/>
    </row>
    <row r="99">
      <c r="A99" s="49"/>
      <c r="B99" s="78" t="str">
        <f>IFERROR(VLOOKUP(C99, 'Tổng hợp thông tin sinh viên'!A:E, 2, 0), "")</f>
        <v>Nguyễn Việt Thành</v>
      </c>
      <c r="C99" s="27" t="s">
        <v>185</v>
      </c>
      <c r="D99" s="27" t="str">
        <f>IFERROR(VLOOKUP(C99, 'Tổng hợp thông tin sinh viên'!A:E, 3, 0), "")</f>
        <v>thanh.nv225931@sis.hust.edu.vn</v>
      </c>
      <c r="E99" s="27" t="str">
        <f>IFERROR(VLOOKUP(C99, 'Tổng hợp thông tin sinh viên'!A:E, 5, 0), "")</f>
        <v>Việt Nhật 05-K67</v>
      </c>
      <c r="F99" s="49"/>
      <c r="G99" s="1"/>
      <c r="H99" s="1"/>
      <c r="I99" s="1"/>
      <c r="J99" s="1"/>
      <c r="K99" s="1"/>
      <c r="L99" s="1"/>
      <c r="M99" s="1"/>
      <c r="N99" s="1"/>
      <c r="O99" s="1"/>
      <c r="P99" s="82"/>
      <c r="Q99" s="1"/>
      <c r="R99" s="1"/>
      <c r="S99" s="83"/>
      <c r="T99" s="1"/>
      <c r="U99" s="1"/>
      <c r="V99" s="1"/>
      <c r="W99" s="1"/>
      <c r="X99" s="1"/>
      <c r="Y99" s="1"/>
    </row>
    <row r="100">
      <c r="A100" s="49"/>
      <c r="B100" s="78" t="str">
        <f>IFERROR(VLOOKUP(C100, 'Tổng hợp thông tin sinh viên'!A:E, 2, 0), "")</f>
        <v>Đỗ Minh Tâm</v>
      </c>
      <c r="C100" s="27" t="s">
        <v>186</v>
      </c>
      <c r="D100" s="27" t="str">
        <f>IFERROR(VLOOKUP(C100, 'Tổng hợp thông tin sinh viên'!A:E, 3, 0), "")</f>
        <v>tam.dm225668@sis.hust.edu.vn</v>
      </c>
      <c r="E100" s="27" t="str">
        <f>IFERROR(VLOOKUP(C100, 'Tổng hợp thông tin sinh viên'!A:E, 5, 0), "")</f>
        <v>Việt Nhật 03-K67</v>
      </c>
      <c r="F100" s="49"/>
      <c r="G100" s="1"/>
      <c r="H100" s="1"/>
      <c r="I100" s="1"/>
      <c r="J100" s="1"/>
      <c r="K100" s="1"/>
      <c r="L100" s="1"/>
      <c r="M100" s="1"/>
      <c r="N100" s="1"/>
      <c r="O100" s="1"/>
      <c r="P100" s="82"/>
      <c r="Q100" s="1"/>
      <c r="R100" s="1"/>
      <c r="S100" s="83"/>
      <c r="T100" s="1"/>
      <c r="U100" s="1"/>
      <c r="V100" s="1"/>
      <c r="W100" s="1"/>
      <c r="X100" s="1"/>
      <c r="Y100" s="1"/>
    </row>
    <row r="101">
      <c r="A101" s="52"/>
      <c r="B101" s="78" t="str">
        <f>IFERROR(VLOOKUP(C101, 'Tổng hợp thông tin sinh viên'!A:E, 2, 0), "")</f>
        <v>Trần Thị Phương Thảo</v>
      </c>
      <c r="C101" s="27" t="s">
        <v>187</v>
      </c>
      <c r="D101" s="27" t="str">
        <f>IFERROR(VLOOKUP(C101, 'Tổng hợp thông tin sinh viên'!A:E, 3, 0), "")</f>
        <v>thao.ttp225766@sis.hust.edu.vn</v>
      </c>
      <c r="E101" s="27" t="str">
        <f>IFERROR(VLOOKUP(C101, 'Tổng hợp thông tin sinh viên'!A:E, 5, 0), "")</f>
        <v>Việt Nhật 01-K67</v>
      </c>
      <c r="F101" s="52"/>
      <c r="G101" s="1"/>
      <c r="H101" s="1"/>
      <c r="I101" s="1"/>
      <c r="J101" s="1"/>
      <c r="K101" s="1"/>
      <c r="L101" s="1"/>
      <c r="M101" s="1"/>
      <c r="N101" s="1"/>
      <c r="O101" s="1"/>
      <c r="P101" s="82"/>
      <c r="Q101" s="1"/>
      <c r="R101" s="1"/>
      <c r="S101" s="83"/>
      <c r="T101" s="1"/>
      <c r="U101" s="1"/>
      <c r="V101" s="1"/>
      <c r="W101" s="1"/>
      <c r="X101" s="1"/>
      <c r="Y101" s="1"/>
    </row>
    <row r="102">
      <c r="A102" s="69">
        <v>15.0</v>
      </c>
      <c r="B102" s="70" t="str">
        <f>IFERROR(VLOOKUP(C102, 'Tổng hợp thông tin sinh viên'!A:E, 2, 0), "")</f>
        <v>Bùi Quang Hưng</v>
      </c>
      <c r="C102" s="31" t="s">
        <v>188</v>
      </c>
      <c r="D102" s="31" t="str">
        <f>IFERROR(VLOOKUP(C102, 'Tổng hợp thông tin sinh viên'!A:E, 3, 0), "")</f>
        <v>hung.bq225849@sis.hust.edu.vn</v>
      </c>
      <c r="E102" s="31" t="str">
        <f>IFERROR(VLOOKUP(C102, 'Tổng hợp thông tin sinh viên'!A:E, 5, 0), "")</f>
        <v>Việt Nhật 07-K67</v>
      </c>
      <c r="F102" s="71" t="str">
        <f>IF(COUNTBLANK(C102:C111) = 0, "Đủ", "Thiếu: " &amp; COUNTBLANK(C102:C111))</f>
        <v>Đủ</v>
      </c>
      <c r="G102" s="1"/>
      <c r="H102" s="1"/>
      <c r="I102" s="1"/>
      <c r="J102" s="1"/>
      <c r="K102" s="1"/>
      <c r="L102" s="1"/>
      <c r="M102" s="1"/>
      <c r="N102" s="1"/>
      <c r="O102" s="1"/>
      <c r="P102" s="82"/>
      <c r="Q102" s="1"/>
      <c r="R102" s="1"/>
      <c r="S102" s="83"/>
      <c r="T102" s="1"/>
      <c r="U102" s="1"/>
      <c r="V102" s="1"/>
      <c r="W102" s="1"/>
      <c r="X102" s="1"/>
      <c r="Y102" s="1"/>
    </row>
    <row r="103">
      <c r="A103" s="49"/>
      <c r="B103" s="70" t="str">
        <f>IFERROR(VLOOKUP(C103, 'Tổng hợp thông tin sinh viên'!A:E, 2, 0), "")</f>
        <v>Nguyễn Mạnh Tùng</v>
      </c>
      <c r="C103" s="31" t="s">
        <v>189</v>
      </c>
      <c r="D103" s="31" t="str">
        <f>IFERROR(VLOOKUP(C103, 'Tổng hợp thông tin sinh viên'!A:E, 3, 0), "")</f>
        <v>tung.nm225682@sis.hust.edu.vn</v>
      </c>
      <c r="E103" s="31" t="str">
        <f>IFERROR(VLOOKUP(C103, 'Tổng hợp thông tin sinh viên'!A:E, 5, 0), "")</f>
        <v>Việt Nhật 07-K67</v>
      </c>
      <c r="F103" s="49"/>
      <c r="G103" s="1"/>
      <c r="H103" s="1"/>
      <c r="I103" s="1"/>
      <c r="J103" s="1"/>
      <c r="K103" s="1"/>
      <c r="L103" s="1"/>
      <c r="M103" s="1"/>
      <c r="N103" s="1"/>
      <c r="O103" s="1"/>
      <c r="P103" s="82"/>
      <c r="Q103" s="1"/>
      <c r="R103" s="1"/>
      <c r="S103" s="83"/>
      <c r="T103" s="1"/>
      <c r="U103" s="1"/>
      <c r="V103" s="1"/>
      <c r="W103" s="1"/>
      <c r="X103" s="1"/>
      <c r="Y103" s="1"/>
    </row>
    <row r="104">
      <c r="A104" s="49"/>
      <c r="B104" s="70" t="str">
        <f>IFERROR(VLOOKUP(C104, 'Tổng hợp thông tin sinh viên'!A:E, 2, 0), "")</f>
        <v>Tạ Hồng Phúc</v>
      </c>
      <c r="C104" s="31" t="s">
        <v>190</v>
      </c>
      <c r="D104" s="31" t="str">
        <f>IFERROR(VLOOKUP(C104, 'Tổng hợp thông tin sinh viên'!A:E, 3, 0), "")</f>
        <v>phuc.th225906@sis.hust.edu.vn</v>
      </c>
      <c r="E104" s="31" t="str">
        <f>IFERROR(VLOOKUP(C104, 'Tổng hợp thông tin sinh viên'!A:E, 5, 0), "")</f>
        <v>Việt Nhật 07-K67</v>
      </c>
      <c r="F104" s="49"/>
      <c r="G104" s="1"/>
      <c r="H104" s="1"/>
      <c r="I104" s="1"/>
      <c r="J104" s="1"/>
      <c r="K104" s="1"/>
      <c r="L104" s="1"/>
      <c r="M104" s="1"/>
      <c r="N104" s="1"/>
      <c r="O104" s="1"/>
      <c r="P104" s="82"/>
      <c r="Q104" s="1"/>
      <c r="R104" s="1"/>
      <c r="S104" s="83"/>
      <c r="T104" s="1"/>
      <c r="U104" s="1"/>
      <c r="V104" s="1"/>
      <c r="W104" s="1"/>
      <c r="X104" s="1"/>
      <c r="Y104" s="1"/>
    </row>
    <row r="105">
      <c r="A105" s="49"/>
      <c r="B105" s="70" t="str">
        <f>IFERROR(VLOOKUP(C105, 'Tổng hợp thông tin sinh viên'!A:E, 2, 0), "")</f>
        <v>Nguyễn Đức Quang</v>
      </c>
      <c r="C105" s="31" t="s">
        <v>191</v>
      </c>
      <c r="D105" s="31" t="str">
        <f>IFERROR(VLOOKUP(C105, 'Tổng hợp thông tin sinh viên'!A:E, 3, 0), "")</f>
        <v>quang.nd225913@sis.hust.edu.vn</v>
      </c>
      <c r="E105" s="31" t="str">
        <f>IFERROR(VLOOKUP(C105, 'Tổng hợp thông tin sinh viên'!A:E, 5, 0), "")</f>
        <v>Việt Nhật 07-K67</v>
      </c>
      <c r="F105" s="49"/>
      <c r="G105" s="1"/>
      <c r="H105" s="1"/>
      <c r="I105" s="1"/>
      <c r="J105" s="1"/>
      <c r="K105" s="1"/>
      <c r="L105" s="1"/>
      <c r="M105" s="1"/>
      <c r="N105" s="1"/>
      <c r="O105" s="1"/>
      <c r="P105" s="82"/>
      <c r="Q105" s="1"/>
      <c r="R105" s="1"/>
      <c r="S105" s="83"/>
      <c r="T105" s="1"/>
      <c r="U105" s="1"/>
      <c r="V105" s="1"/>
      <c r="W105" s="1"/>
      <c r="X105" s="1"/>
      <c r="Y105" s="1"/>
    </row>
    <row r="106">
      <c r="A106" s="49"/>
      <c r="B106" s="70" t="str">
        <f>IFERROR(VLOOKUP(C106, 'Tổng hợp thông tin sinh viên'!A:E, 2, 0), "")</f>
        <v>Bùi Xuân Nhất</v>
      </c>
      <c r="C106" s="31" t="s">
        <v>192</v>
      </c>
      <c r="D106" s="31" t="str">
        <f>IFERROR(VLOOKUP(C106, 'Tổng hợp thông tin sinh viên'!A:E, 3, 0), "")</f>
        <v>nhat.bx225897@sis.hust.edu.vn</v>
      </c>
      <c r="E106" s="31" t="str">
        <f>IFERROR(VLOOKUP(C106, 'Tổng hợp thông tin sinh viên'!A:E, 5, 0), "")</f>
        <v>Việt Nhật 07-K67</v>
      </c>
      <c r="F106" s="49"/>
      <c r="G106" s="1"/>
      <c r="H106" s="1"/>
      <c r="I106" s="1"/>
      <c r="J106" s="1"/>
      <c r="K106" s="1"/>
      <c r="L106" s="1"/>
      <c r="M106" s="1"/>
      <c r="N106" s="1"/>
      <c r="O106" s="1"/>
      <c r="P106" s="82"/>
      <c r="Q106" s="1"/>
      <c r="R106" s="1"/>
      <c r="S106" s="83"/>
      <c r="T106" s="1"/>
      <c r="U106" s="1"/>
      <c r="V106" s="1"/>
      <c r="W106" s="1"/>
      <c r="X106" s="1"/>
      <c r="Y106" s="1"/>
    </row>
    <row r="107">
      <c r="A107" s="49"/>
      <c r="B107" s="70" t="str">
        <f>IFERROR(VLOOKUP(C107, 'Tổng hợp thông tin sinh viên'!A:E, 2, 0), "")</f>
        <v>Vũ Quốc Bảo</v>
      </c>
      <c r="C107" s="31" t="s">
        <v>193</v>
      </c>
      <c r="D107" s="31" t="str">
        <f>IFERROR(VLOOKUP(C107, 'Tổng hợp thông tin sinh viên'!A:E, 3, 0), "")</f>
        <v>bao.vq225694@sis.hust.edu.vn</v>
      </c>
      <c r="E107" s="31" t="str">
        <f>IFERROR(VLOOKUP(C107, 'Tổng hợp thông tin sinh viên'!A:E, 5, 0), "")</f>
        <v>Việt Nhật 07-K67</v>
      </c>
      <c r="F107" s="49"/>
      <c r="G107" s="1"/>
      <c r="H107" s="1"/>
      <c r="I107" s="1"/>
      <c r="J107" s="1"/>
      <c r="K107" s="1"/>
      <c r="L107" s="1"/>
      <c r="M107" s="1"/>
      <c r="N107" s="1"/>
      <c r="O107" s="1"/>
      <c r="P107" s="82"/>
      <c r="Q107" s="1"/>
      <c r="R107" s="1"/>
      <c r="S107" s="83"/>
      <c r="T107" s="1"/>
      <c r="U107" s="1"/>
      <c r="V107" s="1"/>
      <c r="W107" s="1"/>
      <c r="X107" s="1"/>
      <c r="Y107" s="1"/>
    </row>
    <row r="108">
      <c r="A108" s="49"/>
      <c r="B108" s="70" t="str">
        <f>IFERROR(VLOOKUP(C108, 'Tổng hợp thông tin sinh viên'!A:E, 2, 0), "")</f>
        <v>Vương Quốc Huy</v>
      </c>
      <c r="C108" s="31" t="s">
        <v>194</v>
      </c>
      <c r="D108" s="31" t="str">
        <f>IFERROR(VLOOKUP(C108, 'Tổng hợp thông tin sinh viên'!A:E, 3, 0), "")</f>
        <v>huy.vq225637@sis.hust.edu.vn</v>
      </c>
      <c r="E108" s="31" t="str">
        <f>IFERROR(VLOOKUP(C108, 'Tổng hợp thông tin sinh viên'!A:E, 5, 0), "")</f>
        <v>Việt Nhật 07-K67</v>
      </c>
      <c r="F108" s="49"/>
      <c r="G108" s="1"/>
      <c r="H108" s="1"/>
      <c r="I108" s="1"/>
      <c r="J108" s="1"/>
      <c r="K108" s="1"/>
      <c r="L108" s="1"/>
      <c r="M108" s="1"/>
      <c r="N108" s="1"/>
      <c r="O108" s="1"/>
      <c r="P108" s="82"/>
      <c r="Q108" s="1"/>
      <c r="R108" s="1"/>
      <c r="S108" s="83"/>
      <c r="T108" s="1"/>
      <c r="U108" s="1"/>
      <c r="V108" s="1"/>
      <c r="W108" s="1"/>
      <c r="X108" s="1"/>
      <c r="Y108" s="1"/>
    </row>
    <row r="109">
      <c r="A109" s="49"/>
      <c r="B109" s="70" t="str">
        <f>IFERROR(VLOOKUP(C109, 'Tổng hợp thông tin sinh viên'!A:E, 2, 0), "")</f>
        <v>Nguyễn Vũ Linh Phong</v>
      </c>
      <c r="C109" s="31" t="s">
        <v>195</v>
      </c>
      <c r="D109" s="31" t="str">
        <f>IFERROR(VLOOKUP(C109, 'Tổng hợp thông tin sinh viên'!A:E, 3, 0), "")</f>
        <v>phong.nvl225902@sis.hust.edu.vn</v>
      </c>
      <c r="E109" s="31" t="str">
        <f>IFERROR(VLOOKUP(C109, 'Tổng hợp thông tin sinh viên'!A:E, 5, 0), "")</f>
        <v>Việt Nhật 07-K67</v>
      </c>
      <c r="F109" s="49"/>
      <c r="G109" s="1"/>
      <c r="H109" s="1"/>
      <c r="I109" s="1"/>
      <c r="J109" s="1"/>
      <c r="K109" s="1"/>
      <c r="L109" s="1"/>
      <c r="M109" s="1"/>
      <c r="N109" s="1"/>
      <c r="O109" s="1"/>
      <c r="P109" s="82"/>
      <c r="Q109" s="1"/>
      <c r="R109" s="1"/>
      <c r="S109" s="83"/>
      <c r="T109" s="1"/>
      <c r="U109" s="1"/>
      <c r="V109" s="1"/>
      <c r="W109" s="1"/>
      <c r="X109" s="1"/>
      <c r="Y109" s="1"/>
    </row>
    <row r="110">
      <c r="A110" s="49"/>
      <c r="B110" s="70" t="str">
        <f>IFERROR(VLOOKUP(C110, 'Tổng hợp thông tin sinh viên'!A:E, 2, 0), "")</f>
        <v>Đinh Đức Anh</v>
      </c>
      <c r="C110" s="31" t="s">
        <v>196</v>
      </c>
      <c r="D110" s="31" t="str">
        <f>IFERROR(VLOOKUP(C110, 'Tổng hợp thông tin sinh viên'!A:E, 3, 0), "")</f>
        <v>anh.dd225782@sis.hust.edu.vn</v>
      </c>
      <c r="E110" s="31" t="str">
        <f>IFERROR(VLOOKUP(C110, 'Tổng hợp thông tin sinh viên'!A:E, 5, 0), "")</f>
        <v>Việt Nhật 07-K67</v>
      </c>
      <c r="F110" s="49"/>
      <c r="G110" s="1"/>
      <c r="H110" s="1"/>
      <c r="I110" s="1"/>
      <c r="J110" s="1"/>
      <c r="K110" s="1"/>
      <c r="L110" s="1"/>
      <c r="M110" s="1"/>
      <c r="N110" s="1"/>
      <c r="O110" s="1"/>
      <c r="P110" s="82"/>
      <c r="Q110" s="1"/>
      <c r="R110" s="1"/>
      <c r="S110" s="83"/>
      <c r="T110" s="1"/>
      <c r="U110" s="1"/>
      <c r="V110" s="1"/>
      <c r="W110" s="1"/>
      <c r="X110" s="1"/>
      <c r="Y110" s="1"/>
    </row>
    <row r="111">
      <c r="A111" s="52"/>
      <c r="B111" s="70" t="str">
        <f>IFERROR(VLOOKUP(C111, 'Tổng hợp thông tin sinh viên'!A:E, 2, 0), "")</f>
        <v>Phạm Đức Huy</v>
      </c>
      <c r="C111" s="31" t="s">
        <v>197</v>
      </c>
      <c r="D111" s="31" t="str">
        <f>IFERROR(VLOOKUP(C111, 'Tổng hợp thông tin sinh viên'!A:E, 3, 0), "")</f>
        <v>huy.pd225136@sis.hust.edu.vn</v>
      </c>
      <c r="E111" s="31" t="str">
        <f>IFERROR(VLOOKUP(C111, 'Tổng hợp thông tin sinh viên'!A:E, 5, 0), "")</f>
        <v>Kỹ thuật máy tính 06-K67</v>
      </c>
      <c r="F111" s="52"/>
      <c r="G111" s="1"/>
      <c r="H111" s="1"/>
      <c r="I111" s="1"/>
      <c r="J111" s="1"/>
      <c r="K111" s="1"/>
      <c r="L111" s="1"/>
      <c r="M111" s="1"/>
      <c r="N111" s="1"/>
      <c r="O111" s="1"/>
      <c r="P111" s="82"/>
      <c r="Q111" s="1"/>
      <c r="R111" s="1"/>
      <c r="S111" s="83"/>
      <c r="T111" s="1"/>
      <c r="U111" s="1"/>
      <c r="V111" s="1"/>
      <c r="W111" s="1"/>
      <c r="X111" s="1"/>
      <c r="Y111" s="1"/>
    </row>
    <row r="112">
      <c r="A112" s="77">
        <v>16.0</v>
      </c>
      <c r="B112" s="78" t="str">
        <f>IFERROR(VLOOKUP(C112, 'Tổng hợp thông tin sinh viên'!A:E, 2, 0), "")</f>
        <v>Mai Thanh Hương</v>
      </c>
      <c r="C112" s="79" t="s">
        <v>198</v>
      </c>
      <c r="D112" s="27" t="str">
        <f>IFERROR(VLOOKUP(C112, 'Tổng hợp thông tin sinh viên'!A:E, 3, 0), "")</f>
        <v>huong.mt225852@sis.hust.edu.vn</v>
      </c>
      <c r="E112" s="27" t="str">
        <f>IFERROR(VLOOKUP(C112, 'Tổng hợp thông tin sinh viên'!A:E, 5, 0), "")</f>
        <v>Việt Nhật 01-K67</v>
      </c>
      <c r="F112" s="71" t="str">
        <f>IF(COUNTBLANK(C112:C121) = 0, "Đủ", "Thiếu: " &amp; COUNTBLANK(C112:C121))</f>
        <v>Đủ</v>
      </c>
      <c r="G112" s="1"/>
      <c r="H112" s="1"/>
      <c r="I112" s="1"/>
      <c r="J112" s="1"/>
      <c r="K112" s="1"/>
      <c r="L112" s="1"/>
      <c r="M112" s="1"/>
      <c r="N112" s="1"/>
      <c r="O112" s="1"/>
      <c r="P112" s="82"/>
      <c r="Q112" s="1"/>
      <c r="R112" s="1"/>
      <c r="S112" s="83"/>
      <c r="T112" s="1"/>
      <c r="U112" s="1"/>
      <c r="V112" s="1"/>
      <c r="W112" s="1"/>
      <c r="X112" s="1"/>
      <c r="Y112" s="1"/>
    </row>
    <row r="113">
      <c r="A113" s="49"/>
      <c r="B113" s="78" t="str">
        <f>IFERROR(VLOOKUP(C113, 'Tổng hợp thông tin sinh viên'!A:E, 2, 0), "")</f>
        <v>Trịnh Hữu An</v>
      </c>
      <c r="C113" s="27" t="s">
        <v>199</v>
      </c>
      <c r="D113" s="27" t="str">
        <f>IFERROR(VLOOKUP(C113, 'Tổng hợp thông tin sinh viên'!A:E, 3, 0), "")</f>
        <v>an.th225593@sis.hust.edu.vn</v>
      </c>
      <c r="E113" s="27" t="str">
        <f>IFERROR(VLOOKUP(C113, 'Tổng hợp thông tin sinh viên'!A:E, 5, 0), "")</f>
        <v>Việt Nhật 03-K67</v>
      </c>
      <c r="F113" s="49"/>
      <c r="G113" s="1"/>
      <c r="H113" s="1"/>
      <c r="I113" s="1"/>
      <c r="J113" s="1"/>
      <c r="K113" s="1"/>
      <c r="L113" s="1"/>
      <c r="M113" s="1"/>
      <c r="N113" s="1"/>
      <c r="O113" s="1"/>
      <c r="P113" s="82"/>
      <c r="Q113" s="1"/>
      <c r="R113" s="1"/>
      <c r="S113" s="83"/>
      <c r="T113" s="1"/>
      <c r="U113" s="1"/>
      <c r="V113" s="1"/>
      <c r="W113" s="1"/>
      <c r="X113" s="1"/>
      <c r="Y113" s="1"/>
    </row>
    <row r="114">
      <c r="A114" s="49"/>
      <c r="B114" s="78" t="str">
        <f>IFERROR(VLOOKUP(C114, 'Tổng hợp thông tin sinh viên'!A:E, 2, 0), "")</f>
        <v>Trương Ngọc Mai</v>
      </c>
      <c r="C114" s="27" t="s">
        <v>200</v>
      </c>
      <c r="D114" s="27" t="str">
        <f>IFERROR(VLOOKUP(C114, 'Tổng hợp thông tin sinh viên'!A:E, 3, 0), "")</f>
        <v>mai.tn225879@sis.hust.edu.vn</v>
      </c>
      <c r="E114" s="27" t="str">
        <f>IFERROR(VLOOKUP(C114, 'Tổng hợp thông tin sinh viên'!A:E, 5, 0), "")</f>
        <v>Việt Nhật 01-K67</v>
      </c>
      <c r="F114" s="49"/>
      <c r="G114" s="1"/>
      <c r="H114" s="1"/>
      <c r="I114" s="1"/>
      <c r="J114" s="1"/>
      <c r="K114" s="1"/>
      <c r="L114" s="1"/>
      <c r="M114" s="1"/>
      <c r="N114" s="1"/>
      <c r="O114" s="1"/>
      <c r="P114" s="82"/>
      <c r="Q114" s="1"/>
      <c r="R114" s="1"/>
      <c r="S114" s="83"/>
      <c r="T114" s="1"/>
      <c r="U114" s="1"/>
      <c r="V114" s="1"/>
      <c r="W114" s="1"/>
      <c r="X114" s="1"/>
      <c r="Y114" s="1"/>
    </row>
    <row r="115">
      <c r="A115" s="49"/>
      <c r="B115" s="78" t="str">
        <f>IFERROR(VLOOKUP(C115, 'Tổng hợp thông tin sinh viên'!A:E, 2, 0), "")</f>
        <v>Bùi Ý Nhi</v>
      </c>
      <c r="C115" s="27" t="s">
        <v>201</v>
      </c>
      <c r="D115" s="27" t="str">
        <f>IFERROR(VLOOKUP(C115, 'Tổng hợp thông tin sinh viên'!A:E, 3, 0), "")</f>
        <v>nhi.by225657@sis.hust.edu.vn</v>
      </c>
      <c r="E115" s="27" t="str">
        <f>IFERROR(VLOOKUP(C115, 'Tổng hợp thông tin sinh viên'!A:E, 5, 0), "")</f>
        <v>Việt Nhật 01-K67</v>
      </c>
      <c r="F115" s="49"/>
      <c r="G115" s="1"/>
      <c r="H115" s="1"/>
      <c r="I115" s="1"/>
      <c r="J115" s="1"/>
      <c r="K115" s="1"/>
      <c r="L115" s="1"/>
      <c r="M115" s="1"/>
      <c r="N115" s="1"/>
      <c r="O115" s="1"/>
      <c r="P115" s="82"/>
      <c r="Q115" s="1"/>
      <c r="R115" s="1"/>
      <c r="S115" s="83"/>
      <c r="T115" s="1"/>
      <c r="U115" s="1"/>
      <c r="V115" s="1"/>
      <c r="W115" s="1"/>
      <c r="X115" s="1"/>
      <c r="Y115" s="1"/>
    </row>
    <row r="116">
      <c r="A116" s="49"/>
      <c r="B116" s="78" t="str">
        <f>IFERROR(VLOOKUP(C116, 'Tổng hợp thông tin sinh viên'!A:E, 2, 0), "")</f>
        <v>Trần Hải Nhật Minh</v>
      </c>
      <c r="C116" s="27" t="s">
        <v>202</v>
      </c>
      <c r="D116" s="27" t="str">
        <f>IFERROR(VLOOKUP(C116, 'Tổng hợp thông tin sinh viên'!A:E, 3, 0), "")</f>
        <v>minh.thn225144@sis.hust.edu.vn</v>
      </c>
      <c r="E116" s="27" t="str">
        <f>IFERROR(VLOOKUP(C116, 'Tổng hợp thông tin sinh viên'!A:E, 5, 0), "")</f>
        <v>Kỹ thuật máy tính 05-K67</v>
      </c>
      <c r="F116" s="49"/>
      <c r="G116" s="1"/>
      <c r="H116" s="1"/>
      <c r="I116" s="1"/>
      <c r="J116" s="1"/>
      <c r="K116" s="1"/>
      <c r="L116" s="1"/>
      <c r="M116" s="1"/>
      <c r="N116" s="1"/>
      <c r="O116" s="1"/>
      <c r="P116" s="82"/>
      <c r="Q116" s="1"/>
      <c r="R116" s="1"/>
      <c r="S116" s="83"/>
      <c r="T116" s="1"/>
      <c r="U116" s="1"/>
      <c r="V116" s="1"/>
      <c r="W116" s="1"/>
      <c r="X116" s="1"/>
      <c r="Y116" s="1"/>
    </row>
    <row r="117">
      <c r="A117" s="49"/>
      <c r="B117" s="78" t="str">
        <f>IFERROR(VLOOKUP(C117, 'Tổng hợp thông tin sinh viên'!A:E, 2, 0), "")</f>
        <v>Hoàng Anh Tú</v>
      </c>
      <c r="C117" s="27" t="s">
        <v>203</v>
      </c>
      <c r="D117" s="27" t="str">
        <f>IFERROR(VLOOKUP(C117, 'Tổng hợp thông tin sinh viên'!A:E, 3, 0), "")</f>
        <v>tu.ha220055@sis.hust.edu.vn</v>
      </c>
      <c r="E117" s="27" t="str">
        <f>IFERROR(VLOOKUP(C117, 'Tổng hợp thông tin sinh viên'!A:E, 5, 0), "")</f>
        <v>Kỹ thuật máy tính 05-K67</v>
      </c>
      <c r="F117" s="49"/>
      <c r="G117" s="1"/>
      <c r="H117" s="1"/>
      <c r="I117" s="1"/>
      <c r="J117" s="1"/>
      <c r="K117" s="1"/>
      <c r="L117" s="1"/>
      <c r="M117" s="1"/>
      <c r="N117" s="1"/>
      <c r="O117" s="1"/>
      <c r="P117" s="82"/>
      <c r="Q117" s="1"/>
      <c r="R117" s="1"/>
      <c r="S117" s="83"/>
      <c r="T117" s="1"/>
      <c r="U117" s="1"/>
      <c r="V117" s="1"/>
      <c r="W117" s="1"/>
      <c r="X117" s="1"/>
      <c r="Y117" s="1"/>
    </row>
    <row r="118">
      <c r="A118" s="49"/>
      <c r="B118" s="78" t="str">
        <f>IFERROR(VLOOKUP(C118, 'Tổng hợp thông tin sinh viên'!A:E, 2, 0), "")</f>
        <v>Vũ Tiến Thăng</v>
      </c>
      <c r="C118" s="27" t="s">
        <v>204</v>
      </c>
      <c r="D118" s="27" t="str">
        <f>IFERROR(VLOOKUP(C118, 'Tổng hợp thông tin sinh viên'!A:E, 3, 0), "")</f>
        <v>thang.vt225396@sis.hust.edu.vn</v>
      </c>
      <c r="E118" s="27" t="str">
        <f>IFERROR(VLOOKUP(C118, 'Tổng hợp thông tin sinh viên'!A:E, 5, 0), "")</f>
        <v>Kỹ thuật máy tính 04-K67</v>
      </c>
      <c r="F118" s="49"/>
      <c r="G118" s="1"/>
      <c r="H118" s="1"/>
      <c r="I118" s="1"/>
      <c r="J118" s="1"/>
      <c r="K118" s="1"/>
      <c r="L118" s="1"/>
      <c r="M118" s="1"/>
      <c r="N118" s="1"/>
      <c r="O118" s="1"/>
      <c r="P118" s="82"/>
      <c r="Q118" s="1"/>
      <c r="R118" s="1"/>
      <c r="S118" s="83"/>
      <c r="T118" s="1"/>
      <c r="U118" s="1"/>
      <c r="V118" s="1"/>
      <c r="W118" s="1"/>
      <c r="X118" s="1"/>
      <c r="Y118" s="1"/>
    </row>
    <row r="119">
      <c r="A119" s="49"/>
      <c r="B119" s="78" t="str">
        <f>IFERROR(VLOOKUP(C119, 'Tổng hợp thông tin sinh viên'!A:E, 2, 0), "")</f>
        <v>Nguyễn Trần Nam Khánh</v>
      </c>
      <c r="C119" s="27" t="s">
        <v>205</v>
      </c>
      <c r="D119" s="27" t="str">
        <f>IFERROR(VLOOKUP(C119, 'Tổng hợp thông tin sinh viên'!A:E, 3, 0), "")</f>
        <v>khanh.ntn225344@sis.hust.edu.vn</v>
      </c>
      <c r="E119" s="27" t="str">
        <f>IFERROR(VLOOKUP(C119, 'Tổng hợp thông tin sinh viên'!A:E, 5, 0), "")</f>
        <v>Kỹ thuật máy tính 02-K67</v>
      </c>
      <c r="F119" s="49"/>
      <c r="G119" s="1"/>
      <c r="H119" s="1"/>
      <c r="I119" s="1"/>
      <c r="J119" s="1"/>
      <c r="K119" s="1"/>
      <c r="L119" s="1"/>
      <c r="M119" s="1"/>
      <c r="N119" s="1"/>
      <c r="O119" s="1"/>
      <c r="P119" s="82"/>
      <c r="Q119" s="1"/>
      <c r="R119" s="1"/>
      <c r="S119" s="83"/>
      <c r="T119" s="1"/>
      <c r="U119" s="1"/>
      <c r="V119" s="1"/>
      <c r="W119" s="1"/>
      <c r="X119" s="1"/>
      <c r="Y119" s="1"/>
    </row>
    <row r="120">
      <c r="A120" s="49"/>
      <c r="B120" s="78" t="str">
        <f>IFERROR(VLOOKUP(C120, 'Tổng hợp thông tin sinh viên'!A:E, 2, 0), "")</f>
        <v>Nguyễn Đức Mạnh</v>
      </c>
      <c r="C120" s="27" t="s">
        <v>206</v>
      </c>
      <c r="D120" s="27" t="str">
        <f>IFERROR(VLOOKUP(C120, 'Tổng hợp thông tin sinh viên'!A:E, 3, 0), "")</f>
        <v>manh.nd225880@sis.hust.edu.vn</v>
      </c>
      <c r="E120" s="27" t="str">
        <f>IFERROR(VLOOKUP(C120, 'Tổng hợp thông tin sinh viên'!A:E, 5, 0), "")</f>
        <v>Việt Nhật 02-K67</v>
      </c>
      <c r="F120" s="49"/>
      <c r="G120" s="1"/>
      <c r="H120" s="1"/>
      <c r="I120" s="1"/>
      <c r="J120" s="1"/>
      <c r="K120" s="1"/>
      <c r="L120" s="1"/>
      <c r="M120" s="1"/>
      <c r="N120" s="1"/>
      <c r="O120" s="1"/>
      <c r="P120" s="82"/>
      <c r="Q120" s="1"/>
      <c r="R120" s="1"/>
      <c r="S120" s="83"/>
      <c r="T120" s="1"/>
      <c r="U120" s="1"/>
      <c r="V120" s="1"/>
      <c r="W120" s="1"/>
      <c r="X120" s="1"/>
      <c r="Y120" s="1"/>
    </row>
    <row r="121">
      <c r="A121" s="52"/>
      <c r="B121" s="78" t="str">
        <f>IFERROR(VLOOKUP(C121, 'Tổng hợp thông tin sinh viên'!A:E, 2, 0), "")</f>
        <v>Đặng Minh Trí</v>
      </c>
      <c r="C121" s="27" t="s">
        <v>207</v>
      </c>
      <c r="D121" s="27" t="str">
        <f>IFERROR(VLOOKUP(C121, 'Tổng hợp thông tin sinh viên'!A:E, 3, 0), "")</f>
        <v>tri.dm225939@sis.hust.edu.vn</v>
      </c>
      <c r="E121" s="27" t="str">
        <f>IFERROR(VLOOKUP(C121, 'Tổng hợp thông tin sinh viên'!A:E, 5, 0), "")</f>
        <v>Việt Nhật 05-K67</v>
      </c>
      <c r="F121" s="52"/>
      <c r="G121" s="1"/>
      <c r="H121" s="1"/>
      <c r="I121" s="1"/>
      <c r="J121" s="1"/>
      <c r="K121" s="1"/>
      <c r="L121" s="1"/>
      <c r="M121" s="1"/>
      <c r="N121" s="1"/>
      <c r="O121" s="1"/>
      <c r="P121" s="82"/>
      <c r="Q121" s="1"/>
      <c r="R121" s="1"/>
      <c r="S121" s="83"/>
      <c r="T121" s="1"/>
      <c r="U121" s="1"/>
      <c r="V121" s="1"/>
      <c r="W121" s="1"/>
      <c r="X121" s="1"/>
      <c r="Y121" s="1"/>
    </row>
    <row r="122">
      <c r="A122" s="69">
        <v>17.0</v>
      </c>
      <c r="B122" s="70" t="str">
        <f>IFERROR(VLOOKUP(C122, 'Tổng hợp thông tin sinh viên'!A:E, 2, 0), "")</f>
        <v>Trương Anh Đức</v>
      </c>
      <c r="C122" s="31" t="s">
        <v>208</v>
      </c>
      <c r="D122" s="31" t="str">
        <f>IFERROR(VLOOKUP(C122, 'Tổng hợp thông tin sinh viên'!A:E, 3, 0), "")</f>
        <v>duc.ta225814@sis.hust.edu.vn</v>
      </c>
      <c r="E122" s="31" t="str">
        <f>IFERROR(VLOOKUP(C122, 'Tổng hợp thông tin sinh viên'!A:E, 5, 0), "")</f>
        <v>Việt Nhật 03-K67</v>
      </c>
      <c r="F122" s="71" t="str">
        <f>IF(COUNTBLANK(C122:C131) = 0, "Đủ", "Thiếu: " &amp; COUNTBLANK(C122:C131))</f>
        <v>Đủ</v>
      </c>
      <c r="G122" s="1"/>
      <c r="H122" s="1"/>
      <c r="I122" s="1"/>
      <c r="J122" s="1"/>
      <c r="K122" s="1"/>
      <c r="L122" s="1"/>
      <c r="M122" s="1"/>
      <c r="N122" s="1"/>
      <c r="O122" s="1"/>
      <c r="P122" s="82"/>
      <c r="Q122" s="1"/>
      <c r="R122" s="1"/>
      <c r="S122" s="83"/>
      <c r="T122" s="1"/>
      <c r="U122" s="1"/>
      <c r="V122" s="1"/>
      <c r="W122" s="1"/>
      <c r="X122" s="1"/>
      <c r="Y122" s="1"/>
    </row>
    <row r="123">
      <c r="A123" s="49"/>
      <c r="B123" s="70" t="str">
        <f>IFERROR(VLOOKUP(C123, 'Tổng hợp thông tin sinh viên'!A:E, 2, 0), "")</f>
        <v>Phạm Văn Đồng</v>
      </c>
      <c r="C123" s="31" t="s">
        <v>209</v>
      </c>
      <c r="D123" s="31" t="str">
        <f>IFERROR(VLOOKUP(C123, 'Tổng hợp thông tin sinh viên'!A:E, 3, 0), "")</f>
        <v>dong.pv225702@sis.hust.edu.vn</v>
      </c>
      <c r="E123" s="31" t="str">
        <f>IFERROR(VLOOKUP(C123, 'Tổng hợp thông tin sinh viên'!A:E, 5, 0), "")</f>
        <v>Việt Nhật 06-K67</v>
      </c>
      <c r="F123" s="49"/>
      <c r="G123" s="1"/>
      <c r="H123" s="1"/>
      <c r="I123" s="1"/>
      <c r="J123" s="1"/>
      <c r="K123" s="1"/>
      <c r="L123" s="1"/>
      <c r="M123" s="1"/>
      <c r="N123" s="1"/>
      <c r="O123" s="1"/>
      <c r="P123" s="82"/>
      <c r="Q123" s="1"/>
      <c r="R123" s="1"/>
      <c r="S123" s="83"/>
      <c r="T123" s="1"/>
      <c r="U123" s="1"/>
      <c r="V123" s="1"/>
      <c r="W123" s="1"/>
      <c r="X123" s="1"/>
      <c r="Y123" s="1"/>
    </row>
    <row r="124">
      <c r="A124" s="49"/>
      <c r="B124" s="70" t="str">
        <f>IFERROR(VLOOKUP(C124, 'Tổng hợp thông tin sinh viên'!A:E, 2, 0), "")</f>
        <v>Lê Bá Ngọc Hiểu</v>
      </c>
      <c r="C124" s="31" t="s">
        <v>210</v>
      </c>
      <c r="D124" s="31" t="str">
        <f>IFERROR(VLOOKUP(C124, 'Tổng hợp thông tin sinh viên'!A:E, 3, 0), "")</f>
        <v>hieu.lbn225627@sis.hust.edu.vn</v>
      </c>
      <c r="E124" s="31" t="str">
        <f>IFERROR(VLOOKUP(C124, 'Tổng hợp thông tin sinh viên'!A:E, 5, 0), "")</f>
        <v>Việt Nhật 03-K67</v>
      </c>
      <c r="F124" s="49"/>
      <c r="G124" s="1"/>
      <c r="H124" s="1"/>
      <c r="I124" s="1"/>
      <c r="J124" s="1"/>
      <c r="K124" s="1"/>
      <c r="L124" s="1"/>
      <c r="M124" s="1"/>
      <c r="N124" s="1"/>
      <c r="O124" s="1"/>
      <c r="P124" s="82"/>
      <c r="Q124" s="1"/>
      <c r="R124" s="1"/>
      <c r="S124" s="83"/>
      <c r="T124" s="1"/>
      <c r="U124" s="1"/>
      <c r="V124" s="1"/>
      <c r="W124" s="1"/>
      <c r="X124" s="1"/>
      <c r="Y124" s="1"/>
    </row>
    <row r="125">
      <c r="A125" s="49"/>
      <c r="B125" s="70" t="str">
        <f>IFERROR(VLOOKUP(C125, 'Tổng hợp thông tin sinh viên'!A:E, 2, 0), "")</f>
        <v>Phan Đức Duy</v>
      </c>
      <c r="C125" s="31" t="s">
        <v>211</v>
      </c>
      <c r="D125" s="31" t="str">
        <f>IFERROR(VLOOKUP(C125, 'Tổng hợp thông tin sinh viên'!A:E, 3, 0), "")</f>
        <v>duy.pd225831@sis.hust.edu.vn</v>
      </c>
      <c r="E125" s="31" t="str">
        <f>IFERROR(VLOOKUP(C125, 'Tổng hợp thông tin sinh viên'!A:E, 5, 0), "")</f>
        <v>Việt Nhật 03-K67</v>
      </c>
      <c r="F125" s="49"/>
      <c r="G125" s="1"/>
      <c r="H125" s="1"/>
      <c r="I125" s="1"/>
      <c r="J125" s="1"/>
      <c r="K125" s="1"/>
      <c r="L125" s="1"/>
      <c r="M125" s="1"/>
      <c r="N125" s="1"/>
      <c r="O125" s="1"/>
      <c r="P125" s="82"/>
      <c r="Q125" s="1"/>
      <c r="R125" s="1"/>
      <c r="S125" s="83"/>
      <c r="T125" s="1"/>
      <c r="U125" s="1"/>
      <c r="V125" s="1"/>
      <c r="W125" s="1"/>
      <c r="X125" s="1"/>
      <c r="Y125" s="1"/>
    </row>
    <row r="126">
      <c r="A126" s="49"/>
      <c r="B126" s="70" t="str">
        <f>IFERROR(VLOOKUP(C126, 'Tổng hợp thông tin sinh viên'!A:E, 2, 0), "")</f>
        <v>Lê Quang Khải</v>
      </c>
      <c r="C126" s="31" t="s">
        <v>212</v>
      </c>
      <c r="D126" s="31" t="str">
        <f>IFERROR(VLOOKUP(C126, 'Tổng hợp thông tin sinh viên'!A:E, 3, 0), "")</f>
        <v>khai.lq225638@sis.hust.edu.vn</v>
      </c>
      <c r="E126" s="31" t="str">
        <f>IFERROR(VLOOKUP(C126, 'Tổng hợp thông tin sinh viên'!A:E, 5, 0), "")</f>
        <v>Việt Nhật 03-K67</v>
      </c>
      <c r="F126" s="49"/>
      <c r="G126" s="1"/>
      <c r="H126" s="1"/>
      <c r="I126" s="1"/>
      <c r="J126" s="1"/>
      <c r="K126" s="1"/>
      <c r="L126" s="1"/>
      <c r="M126" s="1"/>
      <c r="N126" s="1"/>
      <c r="O126" s="1"/>
      <c r="P126" s="82"/>
      <c r="Q126" s="1"/>
      <c r="R126" s="1"/>
      <c r="S126" s="83"/>
      <c r="T126" s="1"/>
      <c r="U126" s="1"/>
      <c r="V126" s="1"/>
      <c r="W126" s="1"/>
      <c r="X126" s="1"/>
      <c r="Y126" s="1"/>
    </row>
    <row r="127">
      <c r="A127" s="49"/>
      <c r="B127" s="70" t="str">
        <f>IFERROR(VLOOKUP(C127, 'Tổng hợp thông tin sinh viên'!A:E, 2, 0), "")</f>
        <v>Phạm Quốc Minh</v>
      </c>
      <c r="C127" s="31" t="s">
        <v>213</v>
      </c>
      <c r="D127" s="31" t="str">
        <f>IFERROR(VLOOKUP(C127, 'Tổng hợp thông tin sinh viên'!A:E, 3, 0), "")</f>
        <v>minh.pq225743@sis.hust.edu.vn</v>
      </c>
      <c r="E127" s="31" t="str">
        <f>IFERROR(VLOOKUP(C127, 'Tổng hợp thông tin sinh viên'!A:E, 5, 0), "")</f>
        <v>Việt Nhật 03-K67</v>
      </c>
      <c r="F127" s="49"/>
      <c r="G127" s="1"/>
      <c r="H127" s="1"/>
      <c r="I127" s="1"/>
      <c r="J127" s="1"/>
      <c r="K127" s="1"/>
      <c r="L127" s="1"/>
      <c r="M127" s="1"/>
      <c r="N127" s="1"/>
      <c r="O127" s="1"/>
      <c r="P127" s="82"/>
      <c r="Q127" s="1"/>
      <c r="R127" s="1"/>
      <c r="S127" s="83"/>
      <c r="T127" s="1"/>
      <c r="U127" s="1"/>
      <c r="V127" s="1"/>
      <c r="W127" s="1"/>
      <c r="X127" s="1"/>
      <c r="Y127" s="1"/>
    </row>
    <row r="128">
      <c r="A128" s="49"/>
      <c r="B128" s="70" t="str">
        <f>IFERROR(VLOOKUP(C128, 'Tổng hợp thông tin sinh viên'!A:E, 2, 0), "")</f>
        <v>Đặng Quang Huy</v>
      </c>
      <c r="C128" s="31" t="s">
        <v>214</v>
      </c>
      <c r="D128" s="31" t="str">
        <f>IFERROR(VLOOKUP(C128, 'Tổng hợp thông tin sinh viên'!A:E, 3, 0), "")</f>
        <v>huy.dq225853@sis.hust.edu.vn</v>
      </c>
      <c r="E128" s="31" t="str">
        <f>IFERROR(VLOOKUP(C128, 'Tổng hợp thông tin sinh viên'!A:E, 5, 0), "")</f>
        <v>Việt Nhật 03-K67</v>
      </c>
      <c r="F128" s="49"/>
      <c r="G128" s="1"/>
      <c r="H128" s="1"/>
      <c r="I128" s="1"/>
      <c r="J128" s="1"/>
      <c r="K128" s="1"/>
      <c r="L128" s="1"/>
      <c r="M128" s="1"/>
      <c r="N128" s="1"/>
      <c r="O128" s="1"/>
      <c r="P128" s="82"/>
      <c r="Q128" s="1"/>
      <c r="R128" s="1"/>
      <c r="S128" s="83"/>
      <c r="T128" s="1"/>
      <c r="U128" s="1"/>
      <c r="V128" s="1"/>
      <c r="W128" s="1"/>
      <c r="X128" s="1"/>
      <c r="Y128" s="1"/>
    </row>
    <row r="129">
      <c r="A129" s="49"/>
      <c r="B129" s="70" t="str">
        <f>IFERROR(VLOOKUP(C129, 'Tổng hợp thông tin sinh viên'!A:E, 2, 0), "")</f>
        <v>Phạm Đức Long</v>
      </c>
      <c r="C129" s="31" t="s">
        <v>215</v>
      </c>
      <c r="D129" s="31" t="str">
        <f>IFERROR(VLOOKUP(C129, 'Tổng hợp thông tin sinh viên'!A:E, 3, 0), "")</f>
        <v>long.pd225737@sis.hust.edu.vn</v>
      </c>
      <c r="E129" s="31" t="str">
        <f>IFERROR(VLOOKUP(C129, 'Tổng hợp thông tin sinh viên'!A:E, 5, 0), "")</f>
        <v>Việt Nhật 03-K67</v>
      </c>
      <c r="F129" s="49"/>
      <c r="G129" s="1"/>
      <c r="H129" s="1"/>
      <c r="I129" s="1"/>
      <c r="J129" s="1"/>
      <c r="K129" s="1"/>
      <c r="L129" s="1"/>
      <c r="M129" s="1"/>
      <c r="N129" s="1"/>
      <c r="O129" s="1"/>
      <c r="P129" s="82"/>
      <c r="Q129" s="1"/>
      <c r="R129" s="1"/>
      <c r="S129" s="83"/>
      <c r="T129" s="1"/>
      <c r="U129" s="1"/>
      <c r="V129" s="1"/>
      <c r="W129" s="1"/>
      <c r="X129" s="1"/>
      <c r="Y129" s="1"/>
    </row>
    <row r="130">
      <c r="A130" s="49"/>
      <c r="B130" s="70" t="str">
        <f>IFERROR(VLOOKUP(C130, 'Tổng hợp thông tin sinh viên'!A:E, 2, 0), "")</f>
        <v>Nguyễn Bá Hoàng</v>
      </c>
      <c r="C130" s="31" t="s">
        <v>216</v>
      </c>
      <c r="D130" s="31" t="str">
        <f>IFERROR(VLOOKUP(C130, 'Tổng hợp thông tin sinh viên'!A:E, 3, 0), "")</f>
        <v>hoang.nb225844@sis.hust.edu.vn</v>
      </c>
      <c r="E130" s="31" t="str">
        <f>IFERROR(VLOOKUP(C130, 'Tổng hợp thông tin sinh viên'!A:E, 5, 0), "")</f>
        <v>Việt Nhật 01-K67</v>
      </c>
      <c r="F130" s="49"/>
      <c r="G130" s="1"/>
      <c r="H130" s="1"/>
      <c r="I130" s="1"/>
      <c r="J130" s="1"/>
      <c r="K130" s="1"/>
      <c r="L130" s="1"/>
      <c r="M130" s="1"/>
      <c r="N130" s="1"/>
      <c r="O130" s="1"/>
      <c r="P130" s="82"/>
      <c r="Q130" s="1"/>
      <c r="R130" s="1"/>
      <c r="S130" s="83"/>
      <c r="T130" s="1"/>
      <c r="U130" s="1"/>
      <c r="V130" s="1"/>
      <c r="W130" s="1"/>
      <c r="X130" s="1"/>
      <c r="Y130" s="1"/>
    </row>
    <row r="131">
      <c r="A131" s="52"/>
      <c r="B131" s="70" t="str">
        <f>IFERROR(VLOOKUP(C131, 'Tổng hợp thông tin sinh viên'!A:E, 2, 0), "")</f>
        <v>Trần Gia Huy</v>
      </c>
      <c r="C131" s="31" t="s">
        <v>217</v>
      </c>
      <c r="D131" s="31" t="str">
        <f>IFERROR(VLOOKUP(C131, 'Tổng hợp thông tin sinh viên'!A:E, 3, 0), "")</f>
        <v>huy.tg207988@sis.hust.edu.vn</v>
      </c>
      <c r="E131" s="31" t="str">
        <f>IFERROR(VLOOKUP(C131, 'Tổng hợp thông tin sinh viên'!A:E, 5, 0), "")</f>
        <v>IT-VUW 02-K65</v>
      </c>
      <c r="F131" s="52"/>
      <c r="G131" s="1"/>
      <c r="H131" s="1"/>
      <c r="I131" s="1"/>
      <c r="J131" s="1"/>
      <c r="K131" s="1"/>
      <c r="L131" s="1"/>
      <c r="M131" s="1"/>
      <c r="N131" s="1"/>
      <c r="O131" s="1"/>
      <c r="P131" s="82"/>
      <c r="Q131" s="1"/>
      <c r="R131" s="1"/>
      <c r="S131" s="83"/>
      <c r="T131" s="1"/>
      <c r="U131" s="1"/>
      <c r="V131" s="1"/>
      <c r="W131" s="1"/>
      <c r="X131" s="1"/>
      <c r="Y131" s="1"/>
    </row>
    <row r="132">
      <c r="A132" s="77">
        <v>18.0</v>
      </c>
      <c r="B132" s="78" t="str">
        <f>IFERROR(VLOOKUP(C132, 'Tổng hợp thông tin sinh viên'!A:E, 2, 0), "")</f>
        <v>Nhữ Ngọc Minh</v>
      </c>
      <c r="C132" s="79" t="s">
        <v>218</v>
      </c>
      <c r="D132" s="27" t="str">
        <f>IFERROR(VLOOKUP(C132, 'Tổng hợp thông tin sinh viên'!A:E, 3, 0), "")</f>
        <v>minh.nn225046@sis.hust.edu.vn</v>
      </c>
      <c r="E132" s="27" t="str">
        <f>IFERROR(VLOOKUP(C132, 'Tổng hợp thông tin sinh viên'!A:E, 5, 0), "")</f>
        <v>Khoa học máy tính 02-K67</v>
      </c>
      <c r="F132" s="71" t="str">
        <f>IF(COUNTBLANK(C132:C141) = 0, "Đủ", "Thiếu: " &amp; COUNTBLANK(C132:C141))</f>
        <v>Đủ</v>
      </c>
      <c r="G132" s="1"/>
      <c r="H132" s="1"/>
      <c r="I132" s="1"/>
      <c r="J132" s="1"/>
      <c r="K132" s="1"/>
      <c r="L132" s="1"/>
      <c r="M132" s="1"/>
      <c r="N132" s="1"/>
      <c r="O132" s="1"/>
      <c r="P132" s="82"/>
      <c r="Q132" s="1"/>
      <c r="R132" s="1"/>
      <c r="S132" s="83"/>
      <c r="T132" s="1"/>
      <c r="U132" s="1"/>
      <c r="V132" s="1"/>
      <c r="W132" s="1"/>
      <c r="X132" s="1"/>
      <c r="Y132" s="1"/>
    </row>
    <row r="133">
      <c r="A133" s="49"/>
      <c r="B133" s="78" t="str">
        <f>IFERROR(VLOOKUP(C133, 'Tổng hợp thông tin sinh viên'!A:E, 2, 0), "")</f>
        <v>Nguyễn Công Phương</v>
      </c>
      <c r="C133" s="27" t="s">
        <v>219</v>
      </c>
      <c r="D133" s="27" t="str">
        <f>IFERROR(VLOOKUP(C133, 'Tổng hợp thông tin sinh viên'!A:E, 3, 0), "")</f>
        <v>phuong.nc225069@sis.hust.edu.vn</v>
      </c>
      <c r="E133" s="27" t="str">
        <f>IFERROR(VLOOKUP(C133, 'Tổng hợp thông tin sinh viên'!A:E, 5, 0), "")</f>
        <v>Khoa học máy tính 01-K67</v>
      </c>
      <c r="F133" s="49"/>
      <c r="G133" s="1"/>
      <c r="H133" s="1"/>
      <c r="I133" s="1"/>
      <c r="J133" s="1"/>
      <c r="K133" s="1"/>
      <c r="L133" s="1"/>
      <c r="M133" s="1"/>
      <c r="N133" s="1"/>
      <c r="O133" s="1"/>
      <c r="P133" s="82"/>
      <c r="Q133" s="1"/>
      <c r="R133" s="1"/>
      <c r="S133" s="83"/>
      <c r="T133" s="1"/>
      <c r="U133" s="1"/>
      <c r="V133" s="1"/>
      <c r="W133" s="1"/>
      <c r="X133" s="1"/>
      <c r="Y133" s="1"/>
    </row>
    <row r="134">
      <c r="A134" s="49"/>
      <c r="B134" s="78" t="str">
        <f>IFERROR(VLOOKUP(C134, 'Tổng hợp thông tin sinh viên'!A:E, 2, 0), "")</f>
        <v>Nguyễn Thế Anh</v>
      </c>
      <c r="C134" s="27" t="s">
        <v>220</v>
      </c>
      <c r="D134" s="27" t="str">
        <f>IFERROR(VLOOKUP(C134, 'Tổng hợp thông tin sinh viên'!A:E, 3, 0), "")</f>
        <v>anh.nt224920@sis.hust.edu.vn</v>
      </c>
      <c r="E134" s="27" t="str">
        <f>IFERROR(VLOOKUP(C134, 'Tổng hợp thông tin sinh viên'!A:E, 5, 0), "")</f>
        <v>Khoa học máy tính 01-K67</v>
      </c>
      <c r="F134" s="49"/>
      <c r="G134" s="1"/>
      <c r="H134" s="1"/>
      <c r="I134" s="1"/>
      <c r="J134" s="1"/>
      <c r="K134" s="1"/>
      <c r="L134" s="1"/>
      <c r="M134" s="1"/>
      <c r="N134" s="1"/>
      <c r="O134" s="1"/>
      <c r="P134" s="82"/>
      <c r="Q134" s="1"/>
      <c r="R134" s="1"/>
      <c r="S134" s="83"/>
      <c r="T134" s="1"/>
      <c r="U134" s="1"/>
      <c r="V134" s="1"/>
      <c r="W134" s="1"/>
      <c r="X134" s="1"/>
      <c r="Y134" s="1"/>
    </row>
    <row r="135">
      <c r="A135" s="49"/>
      <c r="B135" s="78" t="str">
        <f>IFERROR(VLOOKUP(C135, 'Tổng hợp thông tin sinh viên'!A:E, 2, 0), "")</f>
        <v>Nguyễn Thế Anh</v>
      </c>
      <c r="C135" s="27" t="s">
        <v>221</v>
      </c>
      <c r="D135" s="27" t="str">
        <f>IFERROR(VLOOKUP(C135, 'Tổng hợp thông tin sinh viên'!A:E, 3, 0), "")</f>
        <v>anh.nt224921@sis.hust.edu.vn</v>
      </c>
      <c r="E135" s="27" t="str">
        <f>IFERROR(VLOOKUP(C135, 'Tổng hợp thông tin sinh viên'!A:E, 5, 0), "")</f>
        <v>Khoa học máy tính 02-K67</v>
      </c>
      <c r="F135" s="49"/>
      <c r="G135" s="1"/>
      <c r="H135" s="1"/>
      <c r="I135" s="1"/>
      <c r="J135" s="1"/>
      <c r="K135" s="1"/>
      <c r="L135" s="1"/>
      <c r="M135" s="1"/>
      <c r="N135" s="1"/>
      <c r="O135" s="1"/>
      <c r="P135" s="82"/>
      <c r="Q135" s="1"/>
      <c r="R135" s="1"/>
      <c r="S135" s="83"/>
      <c r="T135" s="1"/>
      <c r="U135" s="1"/>
      <c r="V135" s="1"/>
      <c r="W135" s="1"/>
      <c r="X135" s="1"/>
      <c r="Y135" s="1"/>
    </row>
    <row r="136">
      <c r="A136" s="49"/>
      <c r="B136" s="78" t="str">
        <f>IFERROR(VLOOKUP(C136, 'Tổng hợp thông tin sinh viên'!A:E, 2, 0), "")</f>
        <v>Phạm Văn Thanh</v>
      </c>
      <c r="C136" s="27" t="s">
        <v>222</v>
      </c>
      <c r="D136" s="27" t="str">
        <f>IFERROR(VLOOKUP(C136, 'Tổng hợp thông tin sinh viên'!A:E, 3, 0), "")</f>
        <v>thanh.pv220042@sis.hust.edu.vn</v>
      </c>
      <c r="E136" s="27" t="str">
        <f>IFERROR(VLOOKUP(C136, 'Tổng hợp thông tin sinh viên'!A:E, 5, 0), "")</f>
        <v>Khoa học máy tính 02-K67</v>
      </c>
      <c r="F136" s="49"/>
      <c r="G136" s="1"/>
      <c r="H136" s="1"/>
      <c r="I136" s="1"/>
      <c r="J136" s="1"/>
      <c r="K136" s="1"/>
      <c r="L136" s="1"/>
      <c r="M136" s="1"/>
      <c r="N136" s="1"/>
      <c r="O136" s="1"/>
      <c r="P136" s="82"/>
      <c r="Q136" s="1"/>
      <c r="R136" s="1"/>
      <c r="S136" s="83"/>
      <c r="T136" s="1"/>
      <c r="U136" s="1"/>
      <c r="V136" s="1"/>
      <c r="W136" s="1"/>
      <c r="X136" s="1"/>
      <c r="Y136" s="1"/>
    </row>
    <row r="137">
      <c r="A137" s="49"/>
      <c r="B137" s="78" t="str">
        <f>IFERROR(VLOOKUP(C137, 'Tổng hợp thông tin sinh viên'!A:E, 2, 0), "")</f>
        <v>Mai Đức Thịnh</v>
      </c>
      <c r="C137" s="27" t="s">
        <v>223</v>
      </c>
      <c r="D137" s="27" t="str">
        <f>IFERROR(VLOOKUP(C137, 'Tổng hợp thông tin sinh viên'!A:E, 3, 0), "")</f>
        <v>thinh.md220043@sis.hust.edu.vn</v>
      </c>
      <c r="E137" s="27" t="str">
        <f>IFERROR(VLOOKUP(C137, 'Tổng hợp thông tin sinh viên'!A:E, 5, 0), "")</f>
        <v>Khoa học máy tính 01-K67</v>
      </c>
      <c r="F137" s="49"/>
      <c r="G137" s="1"/>
      <c r="H137" s="1"/>
      <c r="I137" s="1"/>
      <c r="J137" s="1"/>
      <c r="K137" s="1"/>
      <c r="L137" s="1"/>
      <c r="M137" s="1"/>
      <c r="N137" s="1"/>
      <c r="O137" s="1"/>
      <c r="P137" s="82"/>
      <c r="Q137" s="1"/>
      <c r="R137" s="1"/>
      <c r="S137" s="83"/>
      <c r="T137" s="1"/>
      <c r="U137" s="1"/>
      <c r="V137" s="1"/>
      <c r="W137" s="1"/>
      <c r="X137" s="1"/>
      <c r="Y137" s="1"/>
    </row>
    <row r="138">
      <c r="A138" s="49"/>
      <c r="B138" s="78" t="str">
        <f>IFERROR(VLOOKUP(C138, 'Tổng hợp thông tin sinh viên'!A:E, 2, 0), "")</f>
        <v>Lê Bá Minh Phúc</v>
      </c>
      <c r="C138" s="27" t="s">
        <v>224</v>
      </c>
      <c r="D138" s="27" t="str">
        <f>IFERROR(VLOOKUP(C138, 'Tổng hợp thông tin sinh viên'!A:E, 3, 0), "")</f>
        <v>phuc.lbm225065@sis.hust.edu.vn</v>
      </c>
      <c r="E138" s="27" t="str">
        <f>IFERROR(VLOOKUP(C138, 'Tổng hợp thông tin sinh viên'!A:E, 5, 0), "")</f>
        <v>Khoa học máy tính 01-K67</v>
      </c>
      <c r="F138" s="49"/>
      <c r="G138" s="1"/>
      <c r="H138" s="1"/>
      <c r="I138" s="1"/>
      <c r="J138" s="1"/>
      <c r="K138" s="1"/>
      <c r="L138" s="1"/>
      <c r="M138" s="1"/>
      <c r="N138" s="1"/>
      <c r="O138" s="1"/>
      <c r="P138" s="82"/>
      <c r="Q138" s="1"/>
      <c r="R138" s="1"/>
      <c r="S138" s="83"/>
      <c r="T138" s="1"/>
      <c r="U138" s="1"/>
      <c r="V138" s="1"/>
      <c r="W138" s="1"/>
      <c r="X138" s="1"/>
      <c r="Y138" s="1"/>
    </row>
    <row r="139">
      <c r="A139" s="49"/>
      <c r="B139" s="78" t="str">
        <f>IFERROR(VLOOKUP(C139, 'Tổng hợp thông tin sinh viên'!A:E, 2, 0), "")</f>
        <v>Nguyễn Xuân Bình</v>
      </c>
      <c r="C139" s="27" t="s">
        <v>225</v>
      </c>
      <c r="D139" s="27" t="str">
        <f>IFERROR(VLOOKUP(C139, 'Tổng hợp thông tin sinh viên'!A:E, 3, 0), "")</f>
        <v>binh.nx224930@sis.hust.edu.vn</v>
      </c>
      <c r="E139" s="27" t="str">
        <f>IFERROR(VLOOKUP(C139, 'Tổng hợp thông tin sinh viên'!A:E, 5, 0), "")</f>
        <v>Khoa học máy tính 01-K67</v>
      </c>
      <c r="F139" s="49"/>
      <c r="G139" s="1"/>
      <c r="H139" s="1"/>
      <c r="I139" s="1"/>
      <c r="J139" s="1"/>
      <c r="K139" s="1"/>
      <c r="L139" s="1"/>
      <c r="M139" s="1"/>
      <c r="N139" s="1"/>
      <c r="O139" s="1"/>
      <c r="P139" s="82"/>
      <c r="Q139" s="1"/>
      <c r="R139" s="1"/>
      <c r="S139" s="83"/>
      <c r="T139" s="1"/>
      <c r="U139" s="1"/>
      <c r="V139" s="1"/>
      <c r="W139" s="1"/>
      <c r="X139" s="1"/>
      <c r="Y139" s="1"/>
    </row>
    <row r="140">
      <c r="A140" s="49"/>
      <c r="B140" s="78" t="str">
        <f>IFERROR(VLOOKUP(C140, 'Tổng hợp thông tin sinh viên'!A:E, 2, 0), "")</f>
        <v>Nguyễn Nam</v>
      </c>
      <c r="C140" s="27" t="s">
        <v>226</v>
      </c>
      <c r="D140" s="27" t="str">
        <f>IFERROR(VLOOKUP(C140, 'Tổng hợp thông tin sinh viên'!A:E, 3, 0), "")</f>
        <v>nam.n220037@sis.hust.edu.vn</v>
      </c>
      <c r="E140" s="27" t="str">
        <f>IFERROR(VLOOKUP(C140, 'Tổng hợp thông tin sinh viên'!A:E, 5, 0), "")</f>
        <v>Khoa học máy tính 02-K67</v>
      </c>
      <c r="F140" s="49"/>
      <c r="G140" s="1"/>
      <c r="H140" s="1"/>
      <c r="I140" s="1"/>
      <c r="J140" s="1"/>
      <c r="K140" s="1"/>
      <c r="L140" s="1"/>
      <c r="M140" s="1"/>
      <c r="N140" s="1"/>
      <c r="O140" s="1"/>
      <c r="P140" s="82"/>
      <c r="Q140" s="1"/>
      <c r="R140" s="1"/>
      <c r="S140" s="83"/>
      <c r="T140" s="1"/>
      <c r="U140" s="1"/>
      <c r="V140" s="1"/>
      <c r="W140" s="1"/>
      <c r="X140" s="1"/>
      <c r="Y140" s="1"/>
    </row>
    <row r="141">
      <c r="A141" s="52"/>
      <c r="B141" s="78" t="str">
        <f>IFERROR(VLOOKUP(C141, 'Tổng hợp thông tin sinh viên'!A:E, 2, 0), "")</f>
        <v>Trần Lê Dũng</v>
      </c>
      <c r="C141" s="27" t="s">
        <v>227</v>
      </c>
      <c r="D141" s="27" t="str">
        <f>IFERROR(VLOOKUP(C141, 'Tổng hợp thông tin sinh viên'!A:E, 3, 0), "")</f>
        <v>dung.tl224964@sis.hust.edu.vn</v>
      </c>
      <c r="E141" s="27" t="str">
        <f>IFERROR(VLOOKUP(C141, 'Tổng hợp thông tin sinh viên'!A:E, 5, 0), "")</f>
        <v>Khoa học máy tính 02-K67</v>
      </c>
      <c r="F141" s="52"/>
      <c r="G141" s="1"/>
      <c r="H141" s="1"/>
      <c r="I141" s="1"/>
      <c r="J141" s="1"/>
      <c r="K141" s="1"/>
      <c r="L141" s="1"/>
      <c r="M141" s="1"/>
      <c r="N141" s="1"/>
      <c r="O141" s="1"/>
      <c r="P141" s="82"/>
      <c r="Q141" s="1"/>
      <c r="R141" s="1"/>
      <c r="S141" s="83"/>
      <c r="T141" s="1"/>
      <c r="U141" s="1"/>
      <c r="V141" s="1"/>
      <c r="W141" s="1"/>
      <c r="X141" s="1"/>
      <c r="Y141" s="1"/>
    </row>
    <row r="142">
      <c r="A142" s="69">
        <v>19.0</v>
      </c>
      <c r="B142" s="70" t="str">
        <f>IFERROR(VLOOKUP(C142, 'Tổng hợp thông tin sinh viên'!A:E, 2, 0), "")</f>
        <v>Phạm Gia Khiêm</v>
      </c>
      <c r="C142" s="31" t="s">
        <v>228</v>
      </c>
      <c r="D142" s="31" t="str">
        <f>IFERROR(VLOOKUP(C142, 'Tổng hợp thông tin sinh viên'!A:E, 3, 0), "")</f>
        <v>khiem.pg225868@sis.hust.edu.vn</v>
      </c>
      <c r="E142" s="31" t="str">
        <f>IFERROR(VLOOKUP(C142, 'Tổng hợp thông tin sinh viên'!A:E, 5, 0), "")</f>
        <v>Việt Nhật 01-K67</v>
      </c>
      <c r="F142" s="71" t="str">
        <f>IF(COUNTBLANK(C142:C151) = 0, "Đủ", "Thiếu: " &amp; COUNTBLANK(C142:C151))</f>
        <v>Đủ</v>
      </c>
      <c r="G142" s="1"/>
      <c r="H142" s="1"/>
      <c r="I142" s="1"/>
      <c r="J142" s="1"/>
      <c r="K142" s="1"/>
      <c r="L142" s="1"/>
      <c r="M142" s="1"/>
      <c r="N142" s="1"/>
      <c r="O142" s="1"/>
      <c r="P142" s="82"/>
      <c r="Q142" s="1"/>
      <c r="R142" s="1"/>
      <c r="S142" s="83"/>
      <c r="T142" s="1"/>
      <c r="U142" s="1"/>
      <c r="V142" s="1"/>
      <c r="W142" s="1"/>
      <c r="X142" s="1"/>
      <c r="Y142" s="1"/>
    </row>
    <row r="143">
      <c r="A143" s="49"/>
      <c r="B143" s="70" t="str">
        <f>IFERROR(VLOOKUP(C143, 'Tổng hợp thông tin sinh viên'!A:E, 2, 0), "")</f>
        <v>Nguyễn Đức Tấn Sang</v>
      </c>
      <c r="C143" s="31" t="s">
        <v>229</v>
      </c>
      <c r="D143" s="31" t="str">
        <f>IFERROR(VLOOKUP(C143, 'Tổng hợp thông tin sinh viên'!A:E, 3, 0), "")</f>
        <v>sang.ndt225664@sis.hust.edu.vn</v>
      </c>
      <c r="E143" s="31" t="str">
        <f>IFERROR(VLOOKUP(C143, 'Tổng hợp thông tin sinh viên'!A:E, 5, 0), "")</f>
        <v>Việt Nhật 01-K67</v>
      </c>
      <c r="F143" s="49"/>
      <c r="G143" s="1"/>
      <c r="H143" s="1"/>
      <c r="I143" s="1"/>
      <c r="J143" s="1"/>
      <c r="K143" s="1"/>
      <c r="L143" s="1"/>
      <c r="M143" s="1"/>
      <c r="N143" s="1"/>
      <c r="O143" s="1"/>
      <c r="P143" s="82"/>
      <c r="Q143" s="1"/>
      <c r="R143" s="1"/>
      <c r="S143" s="83"/>
      <c r="T143" s="1"/>
      <c r="U143" s="1"/>
      <c r="V143" s="1"/>
      <c r="W143" s="1"/>
      <c r="X143" s="1"/>
      <c r="Y143" s="1"/>
    </row>
    <row r="144">
      <c r="A144" s="49"/>
      <c r="B144" s="70" t="str">
        <f>IFERROR(VLOOKUP(C144, 'Tổng hợp thông tin sinh viên'!A:E, 2, 0), "")</f>
        <v>Nguyễn Đình Thành</v>
      </c>
      <c r="C144" s="31" t="s">
        <v>230</v>
      </c>
      <c r="D144" s="31" t="str">
        <f>IFERROR(VLOOKUP(C144, 'Tổng hợp thông tin sinh viên'!A:E, 3, 0), "")</f>
        <v>thanh.nd225670@sis.hust.edu.vn</v>
      </c>
      <c r="E144" s="31" t="str">
        <f>IFERROR(VLOOKUP(C144, 'Tổng hợp thông tin sinh viên'!A:E, 5, 0), "")</f>
        <v>Việt Nhật 01-K67</v>
      </c>
      <c r="F144" s="49"/>
      <c r="G144" s="1"/>
      <c r="H144" s="1"/>
      <c r="I144" s="1"/>
      <c r="J144" s="1"/>
      <c r="K144" s="1"/>
      <c r="L144" s="1"/>
      <c r="M144" s="1"/>
      <c r="N144" s="1"/>
      <c r="O144" s="1"/>
      <c r="P144" s="82"/>
      <c r="Q144" s="1"/>
      <c r="R144" s="1"/>
      <c r="S144" s="83"/>
      <c r="T144" s="1"/>
      <c r="U144" s="1"/>
      <c r="V144" s="1"/>
      <c r="W144" s="1"/>
      <c r="X144" s="1"/>
      <c r="Y144" s="1"/>
    </row>
    <row r="145">
      <c r="A145" s="49"/>
      <c r="B145" s="70" t="str">
        <f>IFERROR(VLOOKUP(C145, 'Tổng hợp thông tin sinh viên'!A:E, 2, 0), "")</f>
        <v>Vũ Quang Dũng</v>
      </c>
      <c r="C145" s="31" t="s">
        <v>231</v>
      </c>
      <c r="D145" s="31" t="str">
        <f>IFERROR(VLOOKUP(C145, 'Tổng hợp thông tin sinh viên'!A:E, 3, 0), "")</f>
        <v>dung.vq225818@sis.hust.edu.vn</v>
      </c>
      <c r="E145" s="31" t="str">
        <f>IFERROR(VLOOKUP(C145, 'Tổng hợp thông tin sinh viên'!A:E, 5, 0), "")</f>
        <v>Việt Nhật 01-K67</v>
      </c>
      <c r="F145" s="49"/>
      <c r="G145" s="1"/>
      <c r="H145" s="1"/>
      <c r="I145" s="1"/>
      <c r="J145" s="1"/>
      <c r="K145" s="1"/>
      <c r="L145" s="1"/>
      <c r="M145" s="1"/>
      <c r="N145" s="1"/>
      <c r="O145" s="1"/>
      <c r="P145" s="82"/>
      <c r="Q145" s="1"/>
      <c r="R145" s="1"/>
      <c r="S145" s="83"/>
      <c r="T145" s="1"/>
      <c r="U145" s="1"/>
      <c r="V145" s="1"/>
      <c r="W145" s="1"/>
      <c r="X145" s="1"/>
      <c r="Y145" s="1"/>
    </row>
    <row r="146">
      <c r="A146" s="49"/>
      <c r="B146" s="70" t="str">
        <f>IFERROR(VLOOKUP(C146, 'Tổng hợp thông tin sinh viên'!A:E, 2, 0), "")</f>
        <v>Nguyễn Đăng Bảo Lâm</v>
      </c>
      <c r="C146" s="31" t="s">
        <v>232</v>
      </c>
      <c r="D146" s="31" t="str">
        <f>IFERROR(VLOOKUP(C146, 'Tổng hợp thông tin sinh viên'!A:E, 3, 0), "")</f>
        <v>lam.ndb225873@sis.hust.edu.vn</v>
      </c>
      <c r="E146" s="31" t="str">
        <f>IFERROR(VLOOKUP(C146, 'Tổng hợp thông tin sinh viên'!A:E, 5, 0), "")</f>
        <v>Việt Nhật 01-K67</v>
      </c>
      <c r="F146" s="49"/>
      <c r="G146" s="1"/>
      <c r="H146" s="1"/>
      <c r="I146" s="1"/>
      <c r="J146" s="1"/>
      <c r="K146" s="1"/>
      <c r="L146" s="1"/>
      <c r="M146" s="1"/>
      <c r="N146" s="1"/>
      <c r="O146" s="1"/>
      <c r="P146" s="82"/>
      <c r="Q146" s="1"/>
      <c r="R146" s="1"/>
      <c r="S146" s="83"/>
      <c r="T146" s="1"/>
      <c r="U146" s="1"/>
      <c r="V146" s="1"/>
      <c r="W146" s="1"/>
      <c r="X146" s="1"/>
      <c r="Y146" s="1"/>
    </row>
    <row r="147">
      <c r="A147" s="49"/>
      <c r="B147" s="70" t="str">
        <f>IFERROR(VLOOKUP(C147, 'Tổng hợp thông tin sinh viên'!A:E, 2, 0), "")</f>
        <v>Nguyễn khắc quang</v>
      </c>
      <c r="C147" s="31" t="s">
        <v>233</v>
      </c>
      <c r="D147" s="31" t="str">
        <f>IFERROR(VLOOKUP(C147, 'Tổng hợp thông tin sinh viên'!A:E, 3, 0), "")</f>
        <v>quang.nk225760@sis.hust.edu.vn</v>
      </c>
      <c r="E147" s="31" t="str">
        <f>IFERROR(VLOOKUP(C147, 'Tổng hợp thông tin sinh viên'!A:E, 5, 0), "")</f>
        <v/>
      </c>
      <c r="F147" s="49"/>
      <c r="G147" s="1"/>
      <c r="H147" s="1"/>
      <c r="I147" s="1"/>
      <c r="J147" s="1"/>
      <c r="K147" s="1"/>
      <c r="L147" s="1"/>
      <c r="M147" s="1"/>
      <c r="N147" s="1"/>
      <c r="O147" s="1"/>
      <c r="P147" s="82"/>
      <c r="Q147" s="1"/>
      <c r="R147" s="1"/>
      <c r="S147" s="83"/>
      <c r="T147" s="1"/>
      <c r="U147" s="1"/>
      <c r="V147" s="1"/>
      <c r="W147" s="1"/>
      <c r="X147" s="1"/>
      <c r="Y147" s="1"/>
    </row>
    <row r="148">
      <c r="A148" s="49"/>
      <c r="B148" s="70" t="str">
        <f>IFERROR(VLOOKUP(C148, 'Tổng hợp thông tin sinh viên'!A:E, 2, 0), "")</f>
        <v>Bùi Ngọc Hợp</v>
      </c>
      <c r="C148" s="31" t="s">
        <v>234</v>
      </c>
      <c r="D148" s="31" t="str">
        <f>IFERROR(VLOOKUP(C148, 'Tổng hợp thông tin sinh viên'!A:E, 3, 0), "")</f>
        <v>hop.bn225721@sis.hust.edu.vn</v>
      </c>
      <c r="E148" s="31" t="str">
        <f>IFERROR(VLOOKUP(C148, 'Tổng hợp thông tin sinh viên'!A:E, 5, 0), "")</f>
        <v/>
      </c>
      <c r="F148" s="49"/>
      <c r="G148" s="1"/>
      <c r="H148" s="1"/>
      <c r="I148" s="1"/>
      <c r="J148" s="1"/>
      <c r="K148" s="1"/>
      <c r="L148" s="1"/>
      <c r="M148" s="1"/>
      <c r="N148" s="1"/>
      <c r="O148" s="1"/>
      <c r="P148" s="82"/>
      <c r="Q148" s="1"/>
      <c r="R148" s="1"/>
      <c r="S148" s="83"/>
      <c r="T148" s="1"/>
      <c r="U148" s="1"/>
      <c r="V148" s="1"/>
      <c r="W148" s="1"/>
      <c r="X148" s="1"/>
      <c r="Y148" s="1"/>
    </row>
    <row r="149">
      <c r="A149" s="49"/>
      <c r="B149" s="70" t="str">
        <f>IFERROR(VLOOKUP(C149, 'Tổng hợp thông tin sinh viên'!A:E, 2, 0), "")</f>
        <v>Dương Tuấn Nghĩa</v>
      </c>
      <c r="C149" s="31" t="s">
        <v>235</v>
      </c>
      <c r="D149" s="31" t="str">
        <f>IFERROR(VLOOKUP(C149, 'Tổng hợp thông tin sinh viên'!A:E, 3, 0), "")</f>
        <v>nghia.dt225753@sis.hust.edu.vn</v>
      </c>
      <c r="E149" s="31" t="str">
        <f>IFERROR(VLOOKUP(C149, 'Tổng hợp thông tin sinh viên'!A:E, 5, 0), "")</f>
        <v>Việt Nhật 01-K67</v>
      </c>
      <c r="F149" s="49"/>
      <c r="G149" s="1"/>
      <c r="H149" s="1"/>
      <c r="I149" s="1"/>
      <c r="J149" s="1"/>
      <c r="K149" s="1"/>
      <c r="L149" s="1"/>
      <c r="M149" s="1"/>
      <c r="N149" s="1"/>
      <c r="O149" s="1"/>
      <c r="P149" s="82"/>
      <c r="Q149" s="1"/>
      <c r="R149" s="1"/>
      <c r="S149" s="83"/>
      <c r="T149" s="1"/>
      <c r="U149" s="1"/>
      <c r="V149" s="1"/>
      <c r="W149" s="1"/>
      <c r="X149" s="1"/>
      <c r="Y149" s="1"/>
    </row>
    <row r="150">
      <c r="A150" s="49"/>
      <c r="B150" s="70" t="str">
        <f>IFERROR(VLOOKUP(C150, 'Tổng hợp thông tin sinh viên'!A:E, 2, 0), "")</f>
        <v>Nguyễn Đức Nghĩa</v>
      </c>
      <c r="C150" s="31" t="s">
        <v>236</v>
      </c>
      <c r="D150" s="31" t="str">
        <f>IFERROR(VLOOKUP(C150, 'Tổng hợp thông tin sinh viên'!A:E, 3, 0), "")</f>
        <v>nghia.nd225895@sis.hust.edu.vn</v>
      </c>
      <c r="E150" s="31" t="str">
        <f>IFERROR(VLOOKUP(C150, 'Tổng hợp thông tin sinh viên'!A:E, 5, 0), "")</f>
        <v>Việt Nhật 03-K67</v>
      </c>
      <c r="F150" s="49"/>
      <c r="G150" s="1"/>
      <c r="H150" s="1"/>
      <c r="I150" s="1"/>
      <c r="J150" s="1"/>
      <c r="K150" s="1"/>
      <c r="L150" s="1"/>
      <c r="M150" s="1"/>
      <c r="N150" s="1"/>
      <c r="O150" s="1"/>
      <c r="P150" s="82"/>
      <c r="Q150" s="1"/>
      <c r="R150" s="1"/>
      <c r="S150" s="83"/>
      <c r="T150" s="1"/>
      <c r="U150" s="1"/>
      <c r="V150" s="1"/>
      <c r="W150" s="1"/>
      <c r="X150" s="1"/>
      <c r="Y150" s="1"/>
    </row>
    <row r="151">
      <c r="A151" s="52"/>
      <c r="B151" s="70" t="str">
        <f>IFERROR(VLOOKUP(C151, 'Tổng hợp thông tin sinh viên'!A:E, 2, 0), "")</f>
        <v>Bùi quang tùng</v>
      </c>
      <c r="C151" s="31" t="s">
        <v>237</v>
      </c>
      <c r="D151" s="31" t="str">
        <f>IFERROR(VLOOKUP(C151, 'Tổng hợp thông tin sinh viên'!A:E, 3, 0), "")</f>
        <v>tung.bq225945@sis.hust.edu.vn</v>
      </c>
      <c r="E151" s="31" t="str">
        <f>IFERROR(VLOOKUP(C151, 'Tổng hợp thông tin sinh viên'!A:E, 5, 0), "")</f>
        <v/>
      </c>
      <c r="F151" s="52"/>
      <c r="G151" s="1"/>
      <c r="H151" s="1"/>
      <c r="I151" s="1"/>
      <c r="J151" s="1"/>
      <c r="K151" s="1"/>
      <c r="L151" s="1"/>
      <c r="M151" s="1"/>
      <c r="N151" s="1"/>
      <c r="O151" s="1"/>
      <c r="P151" s="82"/>
      <c r="Q151" s="1"/>
      <c r="R151" s="1"/>
      <c r="S151" s="83"/>
      <c r="T151" s="1"/>
      <c r="U151" s="1"/>
      <c r="V151" s="1"/>
      <c r="W151" s="1"/>
      <c r="X151" s="1"/>
      <c r="Y151" s="1"/>
    </row>
    <row r="152">
      <c r="A152" s="77">
        <v>20.0</v>
      </c>
      <c r="B152" s="78" t="str">
        <f>IFERROR(VLOOKUP(C152, 'Tổng hợp thông tin sinh viên'!A:E, 2, 0), "")</f>
        <v>Nguyễn Khánh Toàn</v>
      </c>
      <c r="C152" s="79" t="s">
        <v>238</v>
      </c>
      <c r="D152" s="27" t="str">
        <f>IFERROR(VLOOKUP(C152, 'Tổng hợp thông tin sinh viên'!A:E, 3, 0), "")</f>
        <v>toan.nk225936@sis.hust.edu.vn</v>
      </c>
      <c r="E152" s="27" t="str">
        <f>IFERROR(VLOOKUP(C152, 'Tổng hợp thông tin sinh viên'!A:E, 5, 0), "")</f>
        <v>Việt Nhật 07-K67</v>
      </c>
      <c r="F152" s="71" t="str">
        <f>IF(COUNTBLANK(C152:C161) = 0, "Đủ", "Thiếu: " &amp; COUNTBLANK(C152:C161))</f>
        <v>Đủ</v>
      </c>
      <c r="G152" s="1"/>
      <c r="H152" s="1"/>
      <c r="I152" s="1"/>
      <c r="J152" s="1"/>
      <c r="K152" s="1"/>
      <c r="L152" s="1"/>
      <c r="M152" s="1"/>
      <c r="N152" s="1"/>
      <c r="O152" s="1"/>
      <c r="P152" s="82"/>
      <c r="Q152" s="1"/>
      <c r="R152" s="1"/>
      <c r="S152" s="83"/>
      <c r="T152" s="1"/>
      <c r="U152" s="1"/>
      <c r="V152" s="1"/>
      <c r="W152" s="1"/>
      <c r="X152" s="1"/>
      <c r="Y152" s="1"/>
    </row>
    <row r="153">
      <c r="A153" s="49"/>
      <c r="B153" s="78" t="str">
        <f>IFERROR(VLOOKUP(C153, 'Tổng hợp thông tin sinh viên'!A:E, 2, 0), "")</f>
        <v>Nguyễn Bùi Tuấn Linh</v>
      </c>
      <c r="C153" s="27" t="s">
        <v>239</v>
      </c>
      <c r="D153" s="27" t="str">
        <f>IFERROR(VLOOKUP(C153, 'Tổng hợp thông tin sinh viên'!A:E, 3, 0), "")</f>
        <v>linh.nbt225732@sis.hust.edu.vn</v>
      </c>
      <c r="E153" s="27" t="str">
        <f>IFERROR(VLOOKUP(C153, 'Tổng hợp thông tin sinh viên'!A:E, 5, 0), "")</f>
        <v>Việt Nhật 01-K67</v>
      </c>
      <c r="F153" s="49"/>
      <c r="G153" s="1"/>
      <c r="H153" s="1"/>
      <c r="I153" s="1"/>
      <c r="J153" s="1"/>
      <c r="K153" s="1"/>
      <c r="L153" s="1"/>
      <c r="M153" s="1"/>
      <c r="N153" s="1"/>
      <c r="O153" s="1"/>
      <c r="P153" s="82"/>
      <c r="Q153" s="1"/>
      <c r="R153" s="1"/>
      <c r="S153" s="83"/>
      <c r="T153" s="1"/>
      <c r="U153" s="1"/>
      <c r="V153" s="1"/>
      <c r="W153" s="1"/>
      <c r="X153" s="1"/>
      <c r="Y153" s="1"/>
    </row>
    <row r="154">
      <c r="A154" s="49"/>
      <c r="B154" s="78" t="str">
        <f>IFERROR(VLOOKUP(C154, 'Tổng hợp thông tin sinh viên'!A:E, 2, 0), "")</f>
        <v>Phạm Quốc Cường</v>
      </c>
      <c r="C154" s="27" t="s">
        <v>240</v>
      </c>
      <c r="D154" s="27" t="str">
        <f>IFERROR(VLOOKUP(C154, 'Tổng hợp thông tin sinh viên'!A:E, 3, 0), "")</f>
        <v>cuong.pq225604@sis.hust.edu.vn</v>
      </c>
      <c r="E154" s="27" t="str">
        <f>IFERROR(VLOOKUP(C154, 'Tổng hợp thông tin sinh viên'!A:E, 5, 0), "")</f>
        <v>Việt Nhật 01-K67</v>
      </c>
      <c r="F154" s="49"/>
      <c r="G154" s="1"/>
      <c r="H154" s="1"/>
      <c r="I154" s="1"/>
      <c r="J154" s="1"/>
      <c r="K154" s="1"/>
      <c r="L154" s="1"/>
      <c r="M154" s="1"/>
      <c r="N154" s="1"/>
      <c r="O154" s="1"/>
      <c r="P154" s="82"/>
      <c r="Q154" s="1"/>
      <c r="R154" s="1"/>
      <c r="S154" s="83"/>
      <c r="T154" s="1"/>
      <c r="U154" s="1"/>
      <c r="V154" s="1"/>
      <c r="W154" s="1"/>
      <c r="X154" s="1"/>
      <c r="Y154" s="1"/>
    </row>
    <row r="155">
      <c r="A155" s="49"/>
      <c r="B155" s="78" t="str">
        <f>IFERROR(VLOOKUP(C155, 'Tổng hợp thông tin sinh viên'!A:E, 2, 0), "")</f>
        <v>Hồ Tuấn Huy</v>
      </c>
      <c r="C155" s="27" t="s">
        <v>241</v>
      </c>
      <c r="D155" s="27" t="str">
        <f>IFERROR(VLOOKUP(C155, 'Tổng hợp thông tin sinh viên'!A:E, 3, 0), "")</f>
        <v>huy.ht225856@sis.hust.edu.vn</v>
      </c>
      <c r="E155" s="27" t="str">
        <f>IFERROR(VLOOKUP(C155, 'Tổng hợp thông tin sinh viên'!A:E, 5, 0), "")</f>
        <v>Việt Nhật 06-K67</v>
      </c>
      <c r="F155" s="49"/>
      <c r="G155" s="1"/>
      <c r="H155" s="1"/>
      <c r="I155" s="1"/>
      <c r="J155" s="1"/>
      <c r="K155" s="1"/>
      <c r="L155" s="1"/>
      <c r="M155" s="1"/>
      <c r="N155" s="1"/>
      <c r="O155" s="1"/>
      <c r="P155" s="82"/>
      <c r="Q155" s="1"/>
      <c r="R155" s="1"/>
      <c r="S155" s="83"/>
      <c r="T155" s="1"/>
      <c r="U155" s="1"/>
      <c r="V155" s="1"/>
      <c r="W155" s="1"/>
      <c r="X155" s="1"/>
      <c r="Y155" s="1"/>
    </row>
    <row r="156">
      <c r="A156" s="49"/>
      <c r="B156" s="78" t="str">
        <f>IFERROR(VLOOKUP(C156, 'Tổng hợp thông tin sinh viên'!A:E, 2, 0), "")</f>
        <v>Hà Trung Chiến</v>
      </c>
      <c r="C156" s="27" t="s">
        <v>242</v>
      </c>
      <c r="D156" s="27" t="str">
        <f>IFERROR(VLOOKUP(C156, 'Tổng hợp thông tin sinh viên'!A:E, 3, 0), "")</f>
        <v>chien.ht225794@sis.hust.edu.vn</v>
      </c>
      <c r="E156" s="27" t="str">
        <f>IFERROR(VLOOKUP(C156, 'Tổng hợp thông tin sinh viên'!A:E, 5, 0), "")</f>
        <v>Việt Nhật 01-K67</v>
      </c>
      <c r="F156" s="49"/>
      <c r="G156" s="1"/>
      <c r="H156" s="1"/>
      <c r="I156" s="1"/>
      <c r="J156" s="1"/>
      <c r="K156" s="1"/>
      <c r="L156" s="1"/>
      <c r="M156" s="1"/>
      <c r="N156" s="1"/>
      <c r="O156" s="1"/>
      <c r="P156" s="82"/>
      <c r="Q156" s="1"/>
      <c r="R156" s="1"/>
      <c r="S156" s="83"/>
      <c r="T156" s="1"/>
      <c r="U156" s="1"/>
      <c r="V156" s="1"/>
      <c r="W156" s="1"/>
      <c r="X156" s="1"/>
      <c r="Y156" s="1"/>
    </row>
    <row r="157">
      <c r="A157" s="49"/>
      <c r="B157" s="78" t="str">
        <f>IFERROR(VLOOKUP(C157, 'Tổng hợp thông tin sinh viên'!A:E, 2, 0), "")</f>
        <v>Nguyễn Tiến Đăng</v>
      </c>
      <c r="C157" s="27" t="s">
        <v>243</v>
      </c>
      <c r="D157" s="27" t="str">
        <f>IFERROR(VLOOKUP(C157, 'Tổng hợp thông tin sinh viên'!A:E, 3, 0), "")</f>
        <v>dang.nt224945@sis.hust.edu.vn</v>
      </c>
      <c r="E157" s="27" t="str">
        <f>IFERROR(VLOOKUP(C157, 'Tổng hợp thông tin sinh viên'!A:E, 5, 0), "")</f>
        <v>Khoa học máy tính 01-K67</v>
      </c>
      <c r="F157" s="49"/>
      <c r="G157" s="1"/>
      <c r="H157" s="1"/>
      <c r="I157" s="1"/>
      <c r="J157" s="1"/>
      <c r="K157" s="1"/>
      <c r="L157" s="1"/>
      <c r="M157" s="1"/>
      <c r="N157" s="1"/>
      <c r="O157" s="1"/>
      <c r="P157" s="82"/>
      <c r="Q157" s="1"/>
      <c r="R157" s="1"/>
      <c r="S157" s="83"/>
      <c r="T157" s="1"/>
      <c r="U157" s="1"/>
      <c r="V157" s="1"/>
      <c r="W157" s="1"/>
      <c r="X157" s="1"/>
      <c r="Y157" s="1"/>
    </row>
    <row r="158">
      <c r="A158" s="49"/>
      <c r="B158" s="78" t="str">
        <f>IFERROR(VLOOKUP(C158, 'Tổng hợp thông tin sinh viên'!A:E, 2, 0), "")</f>
        <v>Trần Đức An</v>
      </c>
      <c r="C158" s="27" t="s">
        <v>244</v>
      </c>
      <c r="D158" s="27" t="str">
        <f>IFERROR(VLOOKUP(C158, 'Tổng hợp thông tin sinh viên'!A:E, 3, 0), "")</f>
        <v>an.td224912@sis.hust.edu.vn</v>
      </c>
      <c r="E158" s="27" t="str">
        <f>IFERROR(VLOOKUP(C158, 'Tổng hợp thông tin sinh viên'!A:E, 5, 0), "")</f>
        <v>Khoa học máy tính 05-K67</v>
      </c>
      <c r="F158" s="49"/>
      <c r="G158" s="1"/>
      <c r="H158" s="1"/>
      <c r="I158" s="1"/>
      <c r="J158" s="1"/>
      <c r="K158" s="1"/>
      <c r="L158" s="1"/>
      <c r="M158" s="1"/>
      <c r="N158" s="1"/>
      <c r="O158" s="1"/>
      <c r="P158" s="82"/>
      <c r="Q158" s="1"/>
      <c r="R158" s="1"/>
      <c r="S158" s="83"/>
      <c r="T158" s="1"/>
      <c r="U158" s="1"/>
      <c r="V158" s="1"/>
      <c r="W158" s="1"/>
      <c r="X158" s="1"/>
      <c r="Y158" s="1"/>
    </row>
    <row r="159">
      <c r="A159" s="49"/>
      <c r="B159" s="78" t="str">
        <f>IFERROR(VLOOKUP(C159, 'Tổng hợp thông tin sinh viên'!A:E, 2, 0), "")</f>
        <v>Nguyễn Đức Thắng</v>
      </c>
      <c r="C159" s="27" t="s">
        <v>245</v>
      </c>
      <c r="D159" s="27" t="str">
        <f>IFERROR(VLOOKUP(C159, 'Tổng hợp thông tin sinh viên'!A:E, 3, 0), "")</f>
        <v>thang.nd225089@sis.hust.edu.vn</v>
      </c>
      <c r="E159" s="27" t="str">
        <f>IFERROR(VLOOKUP(C159, 'Tổng hợp thông tin sinh viên'!A:E, 5, 0), "")</f>
        <v>Khoa học máy tính 01-K67</v>
      </c>
      <c r="F159" s="49"/>
      <c r="G159" s="1"/>
      <c r="H159" s="1"/>
      <c r="I159" s="1"/>
      <c r="J159" s="1"/>
      <c r="K159" s="1"/>
      <c r="L159" s="1"/>
      <c r="M159" s="1"/>
      <c r="N159" s="1"/>
      <c r="O159" s="1"/>
      <c r="P159" s="82"/>
      <c r="Q159" s="1"/>
      <c r="R159" s="1"/>
      <c r="S159" s="83"/>
      <c r="T159" s="1"/>
      <c r="U159" s="1"/>
      <c r="V159" s="1"/>
      <c r="W159" s="1"/>
      <c r="X159" s="1"/>
      <c r="Y159" s="1"/>
    </row>
    <row r="160">
      <c r="A160" s="49"/>
      <c r="B160" s="78" t="str">
        <f>IFERROR(VLOOKUP(C160, 'Tổng hợp thông tin sinh viên'!A:E, 2, 0), "")</f>
        <v>Trần Thành Vinh</v>
      </c>
      <c r="C160" s="27" t="s">
        <v>246</v>
      </c>
      <c r="D160" s="27" t="str">
        <f>IFERROR(VLOOKUP(C160, 'Tổng hợp thông tin sinh viên'!A:E, 3, 0), "")</f>
        <v>vinh.tt225539@sis.hust.edu.vn</v>
      </c>
      <c r="E160" s="27" t="str">
        <f>IFERROR(VLOOKUP(C160, 'Tổng hợp thông tin sinh viên'!A:E, 5, 0), "")</f>
        <v>CTTT Data Science &amp; AI 03-K67</v>
      </c>
      <c r="F160" s="49"/>
      <c r="G160" s="1"/>
      <c r="H160" s="1"/>
      <c r="I160" s="1"/>
      <c r="J160" s="1"/>
      <c r="K160" s="1"/>
      <c r="L160" s="1"/>
      <c r="M160" s="1"/>
      <c r="N160" s="1"/>
      <c r="O160" s="1"/>
      <c r="P160" s="82"/>
      <c r="Q160" s="1"/>
      <c r="R160" s="1"/>
      <c r="S160" s="83"/>
      <c r="T160" s="1"/>
      <c r="U160" s="1"/>
      <c r="V160" s="1"/>
      <c r="W160" s="1"/>
      <c r="X160" s="1"/>
      <c r="Y160" s="1"/>
    </row>
    <row r="161">
      <c r="A161" s="52"/>
      <c r="B161" s="78" t="str">
        <f>IFERROR(VLOOKUP(C161, 'Tổng hợp thông tin sinh viên'!A:E, 2, 0), "")</f>
        <v>Nguyễn Đình Chiến</v>
      </c>
      <c r="C161" s="27" t="s">
        <v>247</v>
      </c>
      <c r="D161" s="27" t="str">
        <f>IFERROR(VLOOKUP(C161, 'Tổng hợp thông tin sinh viên'!A:E, 3, 0), "")</f>
        <v>chien.nd215262@sis.hust.edu.vn</v>
      </c>
      <c r="E161" s="27" t="str">
        <f>IFERROR(VLOOKUP(C161, 'Tổng hợp thông tin sinh viên'!A:E, 5, 0), "")</f>
        <v>PFIEV Công nghệ thông tin 01-K66</v>
      </c>
      <c r="F161" s="52"/>
      <c r="G161" s="1"/>
      <c r="H161" s="1"/>
      <c r="I161" s="1"/>
      <c r="J161" s="1"/>
      <c r="K161" s="1"/>
      <c r="L161" s="1"/>
      <c r="M161" s="1"/>
      <c r="N161" s="1"/>
      <c r="O161" s="1"/>
      <c r="P161" s="82"/>
      <c r="Q161" s="1"/>
      <c r="R161" s="1"/>
      <c r="S161" s="83"/>
      <c r="T161" s="1"/>
      <c r="U161" s="1"/>
      <c r="V161" s="1"/>
      <c r="W161" s="1"/>
      <c r="X161" s="1"/>
      <c r="Y161" s="1"/>
    </row>
    <row r="162">
      <c r="A162" s="69">
        <v>21.0</v>
      </c>
      <c r="B162" s="70" t="str">
        <f>IFERROR(VLOOKUP(C162, 'Tổng hợp thông tin sinh viên'!A:E, 2, 0), "")</f>
        <v>Phạm Huy Sơn</v>
      </c>
      <c r="C162" s="31" t="s">
        <v>248</v>
      </c>
      <c r="D162" s="31" t="str">
        <f>IFERROR(VLOOKUP(C162, 'Tổng hợp thông tin sinh viên'!A:E, 3, 0), "")</f>
        <v>son.ph225080@sis.hust.edu.vn</v>
      </c>
      <c r="E162" s="31" t="str">
        <f>IFERROR(VLOOKUP(C162, 'Tổng hợp thông tin sinh viên'!A:E, 5, 0), "")</f>
        <v>Khoa học máy tính 04-K67</v>
      </c>
      <c r="F162" s="71" t="str">
        <f>IF(COUNTBLANK(C162:C171) = 0, "Đủ", "Thiếu: " &amp; COUNTBLANK(C162:C171))</f>
        <v>Đủ</v>
      </c>
      <c r="G162" s="1"/>
      <c r="H162" s="1"/>
      <c r="I162" s="1"/>
      <c r="J162" s="1"/>
      <c r="K162" s="1"/>
      <c r="L162" s="1"/>
      <c r="M162" s="1"/>
      <c r="N162" s="1"/>
      <c r="O162" s="1"/>
      <c r="P162" s="82"/>
      <c r="Q162" s="1"/>
      <c r="R162" s="1"/>
      <c r="S162" s="83"/>
      <c r="T162" s="1"/>
      <c r="U162" s="1"/>
      <c r="V162" s="1"/>
      <c r="W162" s="1"/>
      <c r="X162" s="1"/>
      <c r="Y162" s="1"/>
    </row>
    <row r="163">
      <c r="A163" s="49"/>
      <c r="B163" s="70" t="str">
        <f>IFERROR(VLOOKUP(C163, 'Tổng hợp thông tin sinh viên'!A:E, 2, 0), "")</f>
        <v>Lê Nhật Hoàng</v>
      </c>
      <c r="C163" s="31" t="s">
        <v>249</v>
      </c>
      <c r="D163" s="31" t="str">
        <f>IFERROR(VLOOKUP(C163, 'Tổng hợp thông tin sinh viên'!A:E, 3, 0), "")</f>
        <v>hoang.ln224989@sis.hust.edu.vn</v>
      </c>
      <c r="E163" s="31" t="str">
        <f>IFERROR(VLOOKUP(C163, 'Tổng hợp thông tin sinh viên'!A:E, 5, 0), "")</f>
        <v>Khoa học máy tính 07-K67</v>
      </c>
      <c r="F163" s="49"/>
      <c r="G163" s="1"/>
      <c r="H163" s="1"/>
      <c r="I163" s="1"/>
      <c r="J163" s="1"/>
      <c r="K163" s="1"/>
      <c r="L163" s="1"/>
      <c r="M163" s="1"/>
      <c r="N163" s="1"/>
      <c r="O163" s="1"/>
      <c r="P163" s="82"/>
      <c r="Q163" s="1"/>
      <c r="R163" s="1"/>
      <c r="S163" s="83"/>
      <c r="T163" s="1"/>
      <c r="U163" s="1"/>
      <c r="V163" s="1"/>
      <c r="W163" s="1"/>
      <c r="X163" s="1"/>
      <c r="Y163" s="1"/>
    </row>
    <row r="164">
      <c r="A164" s="49"/>
      <c r="B164" s="70" t="str">
        <f>IFERROR(VLOOKUP(C164, 'Tổng hợp thông tin sinh viên'!A:E, 2, 0), "")</f>
        <v>Trần Tuấn Hùng</v>
      </c>
      <c r="C164" s="31" t="s">
        <v>250</v>
      </c>
      <c r="D164" s="31" t="str">
        <f>IFERROR(VLOOKUP(C164, 'Tổng hợp thông tin sinh viên'!A:E, 3, 0), "")</f>
        <v>hung.tt225000@sis.hust.edu.vn</v>
      </c>
      <c r="E164" s="31" t="str">
        <f>IFERROR(VLOOKUP(C164, 'Tổng hợp thông tin sinh viên'!A:E, 5, 0), "")</f>
        <v>Khoa học máy tính 04-K67</v>
      </c>
      <c r="F164" s="49"/>
      <c r="G164" s="1"/>
      <c r="H164" s="1"/>
      <c r="I164" s="1"/>
      <c r="J164" s="1"/>
      <c r="K164" s="1"/>
      <c r="L164" s="1"/>
      <c r="M164" s="1"/>
      <c r="N164" s="1"/>
      <c r="O164" s="1"/>
      <c r="P164" s="82"/>
      <c r="Q164" s="1"/>
      <c r="R164" s="1"/>
      <c r="S164" s="83"/>
      <c r="T164" s="1"/>
      <c r="U164" s="1"/>
      <c r="V164" s="1"/>
      <c r="W164" s="1"/>
      <c r="X164" s="1"/>
      <c r="Y164" s="1"/>
    </row>
    <row r="165">
      <c r="A165" s="49"/>
      <c r="B165" s="70" t="str">
        <f>IFERROR(VLOOKUP(C165, 'Tổng hợp thông tin sinh viên'!A:E, 2, 0), "")</f>
        <v>Vương Văn Thành</v>
      </c>
      <c r="C165" s="31" t="s">
        <v>251</v>
      </c>
      <c r="D165" s="31" t="str">
        <f>IFERROR(VLOOKUP(C165, 'Tổng hợp thông tin sinh viên'!A:E, 3, 0), "")</f>
        <v>thanh.vv225094@sis.hust.edu.vn</v>
      </c>
      <c r="E165" s="31" t="str">
        <f>IFERROR(VLOOKUP(C165, 'Tổng hợp thông tin sinh viên'!A:E, 5, 0), "")</f>
        <v>Khoa học máy tính 07-K67</v>
      </c>
      <c r="F165" s="49"/>
      <c r="G165" s="1"/>
      <c r="H165" s="1"/>
      <c r="I165" s="1"/>
      <c r="J165" s="1"/>
      <c r="K165" s="1"/>
      <c r="L165" s="1"/>
      <c r="M165" s="1"/>
      <c r="N165" s="1"/>
      <c r="O165" s="1"/>
      <c r="P165" s="82"/>
      <c r="Q165" s="1"/>
      <c r="R165" s="1"/>
      <c r="S165" s="83"/>
      <c r="T165" s="1"/>
      <c r="U165" s="1"/>
      <c r="V165" s="1"/>
      <c r="W165" s="1"/>
      <c r="X165" s="1"/>
      <c r="Y165" s="1"/>
    </row>
    <row r="166">
      <c r="A166" s="49"/>
      <c r="B166" s="70" t="str">
        <f>IFERROR(VLOOKUP(C166, 'Tổng hợp thông tin sinh viên'!A:E, 2, 0), "")</f>
        <v>Đậu Quốc Duy</v>
      </c>
      <c r="C166" s="31" t="s">
        <v>252</v>
      </c>
      <c r="D166" s="31" t="str">
        <f>IFERROR(VLOOKUP(C166, 'Tổng hợp thông tin sinh viên'!A:E, 3, 0), "")</f>
        <v>duy.dq224971@sis.hust.edu.vn</v>
      </c>
      <c r="E166" s="31" t="str">
        <f>IFERROR(VLOOKUP(C166, 'Tổng hợp thông tin sinh viên'!A:E, 5, 0), "")</f>
        <v>Khoa học máy tính 04-K67</v>
      </c>
      <c r="F166" s="49"/>
      <c r="G166" s="1"/>
      <c r="H166" s="1"/>
      <c r="I166" s="1"/>
      <c r="J166" s="1"/>
      <c r="K166" s="1"/>
      <c r="L166" s="1"/>
      <c r="M166" s="1"/>
      <c r="N166" s="1"/>
      <c r="O166" s="1"/>
      <c r="P166" s="82"/>
      <c r="Q166" s="1"/>
      <c r="R166" s="1"/>
      <c r="S166" s="83"/>
      <c r="T166" s="1"/>
      <c r="U166" s="1"/>
      <c r="V166" s="1"/>
      <c r="W166" s="1"/>
      <c r="X166" s="1"/>
      <c r="Y166" s="1"/>
    </row>
    <row r="167">
      <c r="A167" s="49"/>
      <c r="B167" s="70" t="str">
        <f>IFERROR(VLOOKUP(C167, 'Tổng hợp thông tin sinh viên'!A:E, 2, 0), "")</f>
        <v>Vũ Anh Huy</v>
      </c>
      <c r="C167" s="31" t="s">
        <v>253</v>
      </c>
      <c r="D167" s="31" t="str">
        <f>IFERROR(VLOOKUP(C167, 'Tổng hợp thông tin sinh viên'!A:E, 3, 0), "")</f>
        <v>huy.va220029@sis.hust.edu.vn</v>
      </c>
      <c r="E167" s="31" t="str">
        <f>IFERROR(VLOOKUP(C167, 'Tổng hợp thông tin sinh viên'!A:E, 5, 0), "")</f>
        <v>Khoa học máy tính 04-K67</v>
      </c>
      <c r="F167" s="49"/>
      <c r="G167" s="1"/>
      <c r="H167" s="1"/>
      <c r="I167" s="1"/>
      <c r="J167" s="1"/>
      <c r="K167" s="1"/>
      <c r="L167" s="1"/>
      <c r="M167" s="1"/>
      <c r="N167" s="1"/>
      <c r="O167" s="1"/>
      <c r="P167" s="82"/>
      <c r="Q167" s="1"/>
      <c r="R167" s="1"/>
      <c r="S167" s="83"/>
      <c r="T167" s="1"/>
      <c r="U167" s="1"/>
      <c r="V167" s="1"/>
      <c r="W167" s="1"/>
      <c r="X167" s="1"/>
      <c r="Y167" s="1"/>
    </row>
    <row r="168">
      <c r="A168" s="49"/>
      <c r="B168" s="70" t="str">
        <f>IFERROR(VLOOKUP(C168, 'Tổng hợp thông tin sinh viên'!A:E, 2, 0), "")</f>
        <v>Bùi Lê Huy</v>
      </c>
      <c r="C168" s="31" t="s">
        <v>254</v>
      </c>
      <c r="D168" s="31" t="str">
        <f>IFERROR(VLOOKUP(C168, 'Tổng hợp thông tin sinh viên'!A:E, 3, 0), "")</f>
        <v>huy.bl225005@sis.hust.edu.vn</v>
      </c>
      <c r="E168" s="31" t="str">
        <f>IFERROR(VLOOKUP(C168, 'Tổng hợp thông tin sinh viên'!A:E, 5, 0), "")</f>
        <v>Khoa học máy tính 06-K67</v>
      </c>
      <c r="F168" s="49"/>
      <c r="G168" s="1"/>
      <c r="H168" s="1"/>
      <c r="I168" s="1"/>
      <c r="J168" s="1"/>
      <c r="K168" s="1"/>
      <c r="L168" s="1"/>
      <c r="M168" s="1"/>
      <c r="N168" s="1"/>
      <c r="O168" s="1"/>
      <c r="P168" s="82"/>
      <c r="Q168" s="1"/>
      <c r="R168" s="1"/>
      <c r="S168" s="83"/>
      <c r="T168" s="1"/>
      <c r="U168" s="1"/>
      <c r="V168" s="1"/>
      <c r="W168" s="1"/>
      <c r="X168" s="1"/>
      <c r="Y168" s="1"/>
    </row>
    <row r="169">
      <c r="A169" s="49"/>
      <c r="B169" s="70" t="str">
        <f>IFERROR(VLOOKUP(C169, 'Tổng hợp thông tin sinh viên'!A:E, 2, 0), "")</f>
        <v>Bùi Lê Hùng</v>
      </c>
      <c r="C169" s="31" t="s">
        <v>255</v>
      </c>
      <c r="D169" s="31" t="str">
        <f>IFERROR(VLOOKUP(C169, 'Tổng hợp thông tin sinh viên'!A:E, 3, 0), "")</f>
        <v>hung.bl224994@sis.hust.edu.vn</v>
      </c>
      <c r="E169" s="31" t="str">
        <f>IFERROR(VLOOKUP(C169, 'Tổng hợp thông tin sinh viên'!A:E, 5, 0), "")</f>
        <v>Khoa học máy tính 02-K67</v>
      </c>
      <c r="F169" s="49"/>
      <c r="G169" s="1"/>
      <c r="H169" s="1"/>
      <c r="I169" s="1"/>
      <c r="J169" s="1"/>
      <c r="K169" s="1"/>
      <c r="L169" s="1"/>
      <c r="M169" s="1"/>
      <c r="N169" s="1"/>
      <c r="O169" s="1"/>
      <c r="P169" s="82"/>
      <c r="Q169" s="1"/>
      <c r="R169" s="1"/>
      <c r="S169" s="83"/>
      <c r="T169" s="1"/>
      <c r="U169" s="1"/>
      <c r="V169" s="1"/>
      <c r="W169" s="1"/>
      <c r="X169" s="1"/>
      <c r="Y169" s="1"/>
    </row>
    <row r="170">
      <c r="A170" s="49"/>
      <c r="B170" s="70" t="str">
        <f>IFERROR(VLOOKUP(C170, 'Tổng hợp thông tin sinh viên'!A:E, 2, 0), "")</f>
        <v>Trương Ngọc Hải</v>
      </c>
      <c r="C170" s="31" t="s">
        <v>256</v>
      </c>
      <c r="D170" s="31" t="str">
        <f>IFERROR(VLOOKUP(C170, 'Tổng hợp thông tin sinh viên'!A:E, 3, 0), "")</f>
        <v>hai.tn225309@sis.hust.edu.vn</v>
      </c>
      <c r="E170" s="31" t="str">
        <f>IFERROR(VLOOKUP(C170, 'Tổng hợp thông tin sinh viên'!A:E, 5, 0), "")</f>
        <v>Kỹ thuật máy tính 04-K67</v>
      </c>
      <c r="F170" s="49"/>
      <c r="G170" s="1"/>
      <c r="H170" s="1"/>
      <c r="I170" s="1"/>
      <c r="J170" s="1"/>
      <c r="K170" s="1"/>
      <c r="L170" s="1"/>
      <c r="M170" s="1"/>
      <c r="N170" s="1"/>
      <c r="O170" s="1"/>
      <c r="P170" s="82"/>
      <c r="Q170" s="1"/>
      <c r="R170" s="1"/>
      <c r="S170" s="83"/>
      <c r="T170" s="1"/>
      <c r="U170" s="1"/>
      <c r="V170" s="1"/>
      <c r="W170" s="1"/>
      <c r="X170" s="1"/>
      <c r="Y170" s="1"/>
    </row>
    <row r="171">
      <c r="A171" s="52"/>
      <c r="B171" s="70" t="str">
        <f>IFERROR(VLOOKUP(C171, 'Tổng hợp thông tin sinh viên'!A:E, 2, 0), "")</f>
        <v>Trần Xuân Phúc</v>
      </c>
      <c r="C171" s="31" t="s">
        <v>257</v>
      </c>
      <c r="D171" s="31" t="str">
        <f>IFERROR(VLOOKUP(C171, 'Tổng hợp thông tin sinh viên'!A:E, 3, 0), "")</f>
        <v>phuc.tx225379@sis.hust.edu.vn</v>
      </c>
      <c r="E171" s="31" t="str">
        <f>IFERROR(VLOOKUP(C171, 'Tổng hợp thông tin sinh viên'!A:E, 5, 0), "")</f>
        <v>Kỹ thuật máy tính 07-K67</v>
      </c>
      <c r="F171" s="52"/>
      <c r="G171" s="1"/>
      <c r="H171" s="1"/>
      <c r="I171" s="1"/>
      <c r="J171" s="1"/>
      <c r="K171" s="1"/>
      <c r="L171" s="1"/>
      <c r="M171" s="1"/>
      <c r="N171" s="1"/>
      <c r="O171" s="1"/>
      <c r="P171" s="82"/>
      <c r="Q171" s="1"/>
      <c r="R171" s="1"/>
      <c r="S171" s="83"/>
      <c r="T171" s="1"/>
      <c r="U171" s="1"/>
      <c r="V171" s="1"/>
      <c r="W171" s="1"/>
      <c r="X171" s="1"/>
      <c r="Y171" s="1"/>
    </row>
    <row r="172">
      <c r="A172" s="77">
        <v>22.0</v>
      </c>
      <c r="B172" s="78" t="str">
        <f>IFERROR(VLOOKUP(C172, 'Tổng hợp thông tin sinh viên'!A:E, 2, 0), "")</f>
        <v>Triệu Kinh Quốc</v>
      </c>
      <c r="C172" s="79" t="s">
        <v>258</v>
      </c>
      <c r="D172" s="27" t="str">
        <f>IFERROR(VLOOKUP(C172, 'Tổng hợp thông tin sinh viên'!A:E, 3, 0), "")</f>
        <v>quoc.tk225524@sis.hust.edu.vn</v>
      </c>
      <c r="E172" s="27" t="str">
        <f>IFERROR(VLOOKUP(C172, 'Tổng hợp thông tin sinh viên'!A:E, 5, 0), "")</f>
        <v>CTTT Data Science &amp; AI 03-K67</v>
      </c>
      <c r="F172" s="71" t="str">
        <f>IF(COUNTBLANK(C172:C181) = 0, "Đủ", "Thiếu: " &amp; COUNTBLANK(C172:C181))</f>
        <v>Đủ</v>
      </c>
      <c r="G172" s="1"/>
      <c r="H172" s="1"/>
      <c r="I172" s="1"/>
      <c r="J172" s="1"/>
      <c r="K172" s="1"/>
      <c r="L172" s="1"/>
      <c r="M172" s="1"/>
      <c r="N172" s="1"/>
      <c r="O172" s="1"/>
      <c r="P172" s="82"/>
      <c r="Q172" s="1"/>
      <c r="R172" s="1"/>
      <c r="S172" s="83"/>
      <c r="T172" s="1"/>
      <c r="U172" s="1"/>
      <c r="V172" s="1"/>
      <c r="W172" s="1"/>
      <c r="X172" s="1"/>
      <c r="Y172" s="1"/>
    </row>
    <row r="173">
      <c r="A173" s="49"/>
      <c r="B173" s="78" t="str">
        <f>IFERROR(VLOOKUP(C173, 'Tổng hợp thông tin sinh viên'!A:E, 2, 0), "")</f>
        <v>Vũ Quốc Dũng</v>
      </c>
      <c r="C173" s="27" t="s">
        <v>259</v>
      </c>
      <c r="D173" s="27" t="str">
        <f>IFERROR(VLOOKUP(C173, 'Tổng hợp thông tin sinh viên'!A:E, 3, 0), "")</f>
        <v>dung.vq225488@sis.hust.edu.vn</v>
      </c>
      <c r="E173" s="27" t="str">
        <f>IFERROR(VLOOKUP(C173, 'Tổng hợp thông tin sinh viên'!A:E, 5, 0), "")</f>
        <v>CTTT Data Science &amp; AI 03-K67</v>
      </c>
      <c r="F173" s="49"/>
      <c r="G173" s="1"/>
      <c r="H173" s="1"/>
      <c r="I173" s="1"/>
      <c r="J173" s="1"/>
      <c r="K173" s="1"/>
      <c r="L173" s="1"/>
      <c r="M173" s="1"/>
      <c r="N173" s="1"/>
      <c r="O173" s="1"/>
      <c r="P173" s="82"/>
      <c r="Q173" s="1"/>
      <c r="R173" s="1"/>
      <c r="S173" s="83"/>
      <c r="T173" s="1"/>
      <c r="U173" s="1"/>
      <c r="V173" s="1"/>
      <c r="W173" s="1"/>
      <c r="X173" s="1"/>
      <c r="Y173" s="1"/>
    </row>
    <row r="174">
      <c r="A174" s="49"/>
      <c r="B174" s="78" t="str">
        <f>IFERROR(VLOOKUP(C174, 'Tổng hợp thông tin sinh viên'!A:E, 2, 0), "")</f>
        <v>Phạm Long Hải</v>
      </c>
      <c r="C174" s="27" t="s">
        <v>260</v>
      </c>
      <c r="D174" s="27" t="str">
        <f>IFERROR(VLOOKUP(C174, 'Tổng hợp thông tin sinh viên'!A:E, 3, 0), "")</f>
        <v>hai.pl225492@sis.hust.edu.vn</v>
      </c>
      <c r="E174" s="27" t="str">
        <f>IFERROR(VLOOKUP(C174, 'Tổng hợp thông tin sinh viên'!A:E, 5, 0), "")</f>
        <v>CTTT Data Science &amp; AI 01-K67</v>
      </c>
      <c r="F174" s="49"/>
      <c r="G174" s="1"/>
      <c r="H174" s="1"/>
      <c r="I174" s="1"/>
      <c r="J174" s="1"/>
      <c r="K174" s="1"/>
      <c r="L174" s="1"/>
      <c r="M174" s="1"/>
      <c r="N174" s="1"/>
      <c r="O174" s="1"/>
      <c r="P174" s="82"/>
      <c r="Q174" s="1"/>
      <c r="R174" s="1"/>
      <c r="S174" s="83"/>
      <c r="T174" s="1"/>
      <c r="U174" s="1"/>
      <c r="V174" s="1"/>
      <c r="W174" s="1"/>
      <c r="X174" s="1"/>
      <c r="Y174" s="1"/>
    </row>
    <row r="175">
      <c r="A175" s="49"/>
      <c r="B175" s="78" t="str">
        <f>IFERROR(VLOOKUP(C175, 'Tổng hợp thông tin sinh viên'!A:E, 2, 0), "")</f>
        <v>Lê Minh Hải</v>
      </c>
      <c r="C175" s="27" t="s">
        <v>261</v>
      </c>
      <c r="D175" s="27" t="str">
        <f>IFERROR(VLOOKUP(C175, 'Tổng hợp thông tin sinh viên'!A:E, 3, 0), "")</f>
        <v>hai.lm225491@sis.hust.edu.vn</v>
      </c>
      <c r="E175" s="27" t="str">
        <f>IFERROR(VLOOKUP(C175, 'Tổng hợp thông tin sinh viên'!A:E, 5, 0), "")</f>
        <v>CTTT Data Science &amp; AI 03-K67</v>
      </c>
      <c r="F175" s="49"/>
      <c r="G175" s="1"/>
      <c r="H175" s="1"/>
      <c r="I175" s="1"/>
      <c r="J175" s="1"/>
      <c r="K175" s="1"/>
      <c r="L175" s="1"/>
      <c r="M175" s="1"/>
      <c r="N175" s="1"/>
      <c r="O175" s="1"/>
      <c r="P175" s="82"/>
      <c r="Q175" s="1"/>
      <c r="R175" s="1"/>
      <c r="S175" s="83"/>
      <c r="T175" s="1"/>
      <c r="U175" s="1"/>
      <c r="V175" s="1"/>
      <c r="W175" s="1"/>
      <c r="X175" s="1"/>
      <c r="Y175" s="1"/>
    </row>
    <row r="176">
      <c r="A176" s="49"/>
      <c r="B176" s="78" t="str">
        <f>IFERROR(VLOOKUP(C176, 'Tổng hợp thông tin sinh viên'!A:E, 2, 0), "")</f>
        <v>Lại Trí Dũng</v>
      </c>
      <c r="C176" s="27" t="s">
        <v>262</v>
      </c>
      <c r="D176" s="27" t="str">
        <f>IFERROR(VLOOKUP(C176, 'Tổng hợp thông tin sinh viên'!A:E, 3, 0), "")</f>
        <v>dung.lt225486@sis.hust.edu.vn</v>
      </c>
      <c r="E176" s="27" t="str">
        <f>IFERROR(VLOOKUP(C176, 'Tổng hợp thông tin sinh viên'!A:E, 5, 0), "")</f>
        <v>CTTT Data Science &amp; AI 03-K67</v>
      </c>
      <c r="F176" s="49"/>
      <c r="G176" s="1"/>
      <c r="H176" s="1"/>
      <c r="I176" s="1"/>
      <c r="J176" s="1"/>
      <c r="K176" s="1"/>
      <c r="L176" s="1"/>
      <c r="M176" s="1"/>
      <c r="N176" s="1"/>
      <c r="O176" s="1"/>
      <c r="P176" s="82"/>
      <c r="Q176" s="1"/>
      <c r="R176" s="1"/>
      <c r="S176" s="83"/>
      <c r="T176" s="1"/>
      <c r="U176" s="1"/>
      <c r="V176" s="1"/>
      <c r="W176" s="1"/>
      <c r="X176" s="1"/>
      <c r="Y176" s="1"/>
    </row>
    <row r="177">
      <c r="A177" s="49"/>
      <c r="B177" s="78" t="str">
        <f>IFERROR(VLOOKUP(C177, 'Tổng hợp thông tin sinh viên'!A:E, 2, 0), "")</f>
        <v>Nguyễn Phan Thắng</v>
      </c>
      <c r="C177" s="27" t="s">
        <v>263</v>
      </c>
      <c r="D177" s="27" t="str">
        <f>IFERROR(VLOOKUP(C177, 'Tổng hợp thông tin sinh viên'!A:E, 3, 0), "")</f>
        <v>thang.np225529@sis.hust.edu.vn</v>
      </c>
      <c r="E177" s="27" t="str">
        <f>IFERROR(VLOOKUP(C177, 'Tổng hợp thông tin sinh viên'!A:E, 5, 0), "")</f>
        <v>CTTT Data Science &amp; AI 03-K67</v>
      </c>
      <c r="F177" s="49"/>
      <c r="G177" s="1"/>
      <c r="H177" s="1"/>
      <c r="I177" s="1"/>
      <c r="J177" s="1"/>
      <c r="K177" s="1"/>
      <c r="L177" s="1"/>
      <c r="M177" s="1"/>
      <c r="N177" s="1"/>
      <c r="O177" s="1"/>
      <c r="P177" s="82"/>
      <c r="Q177" s="1"/>
      <c r="R177" s="1"/>
      <c r="S177" s="83"/>
      <c r="T177" s="1"/>
      <c r="U177" s="1"/>
      <c r="V177" s="1"/>
      <c r="W177" s="1"/>
      <c r="X177" s="1"/>
      <c r="Y177" s="1"/>
    </row>
    <row r="178">
      <c r="A178" s="49"/>
      <c r="B178" s="78" t="str">
        <f>IFERROR(VLOOKUP(C178, 'Tổng hợp thông tin sinh viên'!A:E, 2, 0), "")</f>
        <v>Lưu Thiện Việt Cường</v>
      </c>
      <c r="C178" s="27" t="s">
        <v>264</v>
      </c>
      <c r="D178" s="27" t="str">
        <f>IFERROR(VLOOKUP(C178, 'Tổng hợp thông tin sinh viên'!A:E, 3, 0), "")</f>
        <v>cuong.ltv225477@sis.hust.edu.vn</v>
      </c>
      <c r="E178" s="27" t="str">
        <f>IFERROR(VLOOKUP(C178, 'Tổng hợp thông tin sinh viên'!A:E, 5, 0), "")</f>
        <v>CTTT Data Science &amp; AI 03-K67</v>
      </c>
      <c r="F178" s="49"/>
      <c r="G178" s="1"/>
      <c r="H178" s="1"/>
      <c r="I178" s="1"/>
      <c r="J178" s="1"/>
      <c r="K178" s="1"/>
      <c r="L178" s="1"/>
      <c r="M178" s="1"/>
      <c r="N178" s="1"/>
      <c r="O178" s="1"/>
      <c r="P178" s="82"/>
      <c r="Q178" s="1"/>
      <c r="R178" s="1"/>
      <c r="S178" s="83"/>
      <c r="T178" s="1"/>
      <c r="U178" s="1"/>
      <c r="V178" s="1"/>
      <c r="W178" s="1"/>
      <c r="X178" s="1"/>
      <c r="Y178" s="1"/>
    </row>
    <row r="179">
      <c r="A179" s="49"/>
      <c r="B179" s="78" t="str">
        <f>IFERROR(VLOOKUP(C179, 'Tổng hợp thông tin sinh viên'!A:E, 2, 0), "")</f>
        <v>Phùng Tiến Thành</v>
      </c>
      <c r="C179" s="27" t="s">
        <v>265</v>
      </c>
      <c r="D179" s="27" t="str">
        <f>IFERROR(VLOOKUP(C179, 'Tổng hợp thông tin sinh viên'!A:E, 3, 0), "")</f>
        <v>thanh.pt225531@sis.hust.edu.vn</v>
      </c>
      <c r="E179" s="27" t="str">
        <f>IFERROR(VLOOKUP(C179, 'Tổng hợp thông tin sinh viên'!A:E, 5, 0), "")</f>
        <v>CTTT Data Science &amp; AI 03-K67</v>
      </c>
      <c r="F179" s="49"/>
      <c r="G179" s="1"/>
      <c r="H179" s="1"/>
      <c r="I179" s="1"/>
      <c r="J179" s="1"/>
      <c r="K179" s="1"/>
      <c r="L179" s="1"/>
      <c r="M179" s="1"/>
      <c r="N179" s="1"/>
      <c r="O179" s="1"/>
      <c r="P179" s="82"/>
      <c r="Q179" s="1"/>
      <c r="R179" s="1"/>
      <c r="S179" s="83"/>
      <c r="T179" s="1"/>
      <c r="U179" s="1"/>
      <c r="V179" s="1"/>
      <c r="W179" s="1"/>
      <c r="X179" s="1"/>
      <c r="Y179" s="1"/>
    </row>
    <row r="180">
      <c r="A180" s="49"/>
      <c r="B180" s="78" t="str">
        <f>IFERROR(VLOOKUP(C180, 'Tổng hợp thông tin sinh viên'!A:E, 2, 0), "")</f>
        <v>Bùi Văn Huy</v>
      </c>
      <c r="C180" s="27" t="s">
        <v>266</v>
      </c>
      <c r="D180" s="27" t="str">
        <f>IFERROR(VLOOKUP(C180, 'Tổng hợp thông tin sinh viên'!A:E, 3, 0), "")</f>
        <v>huy.bv225497@sis.hust.edu.vn</v>
      </c>
      <c r="E180" s="27" t="str">
        <f>IFERROR(VLOOKUP(C180, 'Tổng hợp thông tin sinh viên'!A:E, 5, 0), "")</f>
        <v>CTTT Data Science &amp; AI 03-K67</v>
      </c>
      <c r="F180" s="49"/>
      <c r="G180" s="1"/>
      <c r="H180" s="1"/>
      <c r="I180" s="1"/>
      <c r="J180" s="1"/>
      <c r="K180" s="1"/>
      <c r="L180" s="1"/>
      <c r="M180" s="1"/>
      <c r="N180" s="1"/>
      <c r="O180" s="1"/>
      <c r="P180" s="82"/>
      <c r="Q180" s="1"/>
      <c r="R180" s="1"/>
      <c r="S180" s="83"/>
      <c r="T180" s="1"/>
      <c r="U180" s="1"/>
      <c r="V180" s="1"/>
      <c r="W180" s="1"/>
      <c r="X180" s="1"/>
      <c r="Y180" s="1"/>
    </row>
    <row r="181">
      <c r="A181" s="52"/>
      <c r="B181" s="84" t="str">
        <f>IFERROR(VLOOKUP(C181, 'Tổng hợp thông tin sinh viên'!A:E, 2, 0), "")</f>
        <v>Vũ Việt Long</v>
      </c>
      <c r="C181" s="85" t="s">
        <v>267</v>
      </c>
      <c r="D181" s="85" t="str">
        <f>IFERROR(VLOOKUP(C181, 'Tổng hợp thông tin sinh viên'!A:E, 3, 0), "")</f>
        <v>long.vv225508@sis.hust.edu.vn</v>
      </c>
      <c r="E181" s="85" t="str">
        <f>IFERROR(VLOOKUP(C181, 'Tổng hợp thông tin sinh viên'!A:E, 5, 0), "")</f>
        <v>CTTT Data Science &amp; AI 03-K67</v>
      </c>
      <c r="F181" s="52"/>
      <c r="G181" s="1"/>
      <c r="H181" s="1"/>
      <c r="I181" s="1"/>
      <c r="J181" s="1"/>
      <c r="K181" s="1"/>
      <c r="L181" s="1"/>
      <c r="M181" s="1"/>
      <c r="N181" s="1"/>
      <c r="O181" s="1"/>
      <c r="P181" s="82"/>
      <c r="Q181" s="1"/>
      <c r="R181" s="1"/>
      <c r="S181" s="83"/>
      <c r="T181" s="1"/>
      <c r="U181" s="1"/>
      <c r="V181" s="1"/>
      <c r="W181" s="1"/>
      <c r="X181" s="1"/>
      <c r="Y181" s="1"/>
    </row>
    <row r="182">
      <c r="A182" s="69">
        <v>23.0</v>
      </c>
      <c r="B182" s="70" t="str">
        <f>IFERROR(VLOOKUP(C182, 'Tổng hợp thông tin sinh viên'!A:E, 2, 0), "")</f>
        <v>Trần Tùng Dương</v>
      </c>
      <c r="C182" s="31" t="s">
        <v>268</v>
      </c>
      <c r="D182" s="31" t="str">
        <f>IFERROR(VLOOKUP(C182, 'Tổng hợp thông tin sinh viên'!A:E, 3, 0), "")</f>
        <v>duong.tt226033@sis.hust.edu.vn</v>
      </c>
      <c r="E182" s="31" t="str">
        <f>IFERROR(VLOOKUP(C182, 'Tổng hợp thông tin sinh viên'!A:E, 5, 0), "")</f>
        <v>ICT 01-K67</v>
      </c>
      <c r="F182" s="71" t="str">
        <f>IF(COUNTBLANK(C182:C191) = 0, "Đủ", "Thiếu: " &amp; COUNTBLANK(C182:C191))</f>
        <v>Đủ</v>
      </c>
      <c r="G182" s="1"/>
      <c r="H182" s="1"/>
      <c r="I182" s="1"/>
      <c r="J182" s="1"/>
      <c r="K182" s="1"/>
      <c r="L182" s="1"/>
      <c r="M182" s="1"/>
      <c r="N182" s="1"/>
      <c r="O182" s="1"/>
      <c r="P182" s="82"/>
      <c r="Q182" s="1"/>
      <c r="R182" s="1"/>
      <c r="S182" s="83"/>
      <c r="T182" s="1"/>
      <c r="U182" s="1"/>
      <c r="V182" s="1"/>
      <c r="W182" s="1"/>
      <c r="X182" s="1"/>
      <c r="Y182" s="1"/>
    </row>
    <row r="183">
      <c r="A183" s="49"/>
      <c r="B183" s="70" t="str">
        <f>IFERROR(VLOOKUP(C183, 'Tổng hợp thông tin sinh viên'!A:E, 2, 0), "")</f>
        <v>Hoàng Trung Hiếu</v>
      </c>
      <c r="C183" s="31" t="s">
        <v>269</v>
      </c>
      <c r="D183" s="31" t="str">
        <f>IFERROR(VLOOKUP(C183, 'Tổng hợp thông tin sinh viên'!A:E, 3, 0), "")</f>
        <v>hieu.ht226039@sis.hust.edu.vn</v>
      </c>
      <c r="E183" s="31" t="str">
        <f>IFERROR(VLOOKUP(C183, 'Tổng hợp thông tin sinh viên'!A:E, 5, 0), "")</f>
        <v>ICT 01-K67</v>
      </c>
      <c r="F183" s="49"/>
      <c r="G183" s="1"/>
      <c r="H183" s="1"/>
      <c r="I183" s="1"/>
      <c r="J183" s="1"/>
      <c r="K183" s="1"/>
      <c r="L183" s="1"/>
      <c r="M183" s="1"/>
      <c r="N183" s="1"/>
      <c r="O183" s="1"/>
      <c r="P183" s="82"/>
      <c r="Q183" s="1"/>
      <c r="R183" s="1"/>
      <c r="S183" s="83"/>
      <c r="T183" s="1"/>
      <c r="U183" s="1"/>
      <c r="V183" s="1"/>
      <c r="W183" s="1"/>
      <c r="X183" s="1"/>
      <c r="Y183" s="1"/>
    </row>
    <row r="184">
      <c r="A184" s="49"/>
      <c r="B184" s="70" t="str">
        <f>IFERROR(VLOOKUP(C184, 'Tổng hợp thông tin sinh viên'!A:E, 2, 0), "")</f>
        <v>Ngô Minh Đức</v>
      </c>
      <c r="C184" s="31" t="s">
        <v>270</v>
      </c>
      <c r="D184" s="31" t="str">
        <f>IFERROR(VLOOKUP(C184, 'Tổng hợp thông tin sinh viên'!A:E, 3, 0), "")</f>
        <v>duc.nm226028@sis.hust.edu.vn</v>
      </c>
      <c r="E184" s="31" t="str">
        <f>IFERROR(VLOOKUP(C184, 'Tổng hợp thông tin sinh viên'!A:E, 5, 0), "")</f>
        <v>ICT 01-K67</v>
      </c>
      <c r="F184" s="49"/>
      <c r="G184" s="1"/>
      <c r="H184" s="1"/>
      <c r="I184" s="1"/>
      <c r="J184" s="1"/>
      <c r="K184" s="1"/>
      <c r="L184" s="1"/>
      <c r="M184" s="1"/>
      <c r="N184" s="1"/>
      <c r="O184" s="1"/>
      <c r="P184" s="82"/>
      <c r="Q184" s="1"/>
      <c r="R184" s="1"/>
      <c r="S184" s="83"/>
      <c r="T184" s="1"/>
      <c r="U184" s="1"/>
      <c r="V184" s="1"/>
      <c r="W184" s="1"/>
      <c r="X184" s="1"/>
      <c r="Y184" s="1"/>
    </row>
    <row r="185">
      <c r="A185" s="49"/>
      <c r="B185" s="70" t="str">
        <f>IFERROR(VLOOKUP(C185, 'Tổng hợp thông tin sinh viên'!A:E, 2, 0), "")</f>
        <v>Nguyễn Huy Hoàng</v>
      </c>
      <c r="C185" s="31" t="s">
        <v>271</v>
      </c>
      <c r="D185" s="31" t="str">
        <f>IFERROR(VLOOKUP(C185, 'Tổng hợp thông tin sinh viên'!A:E, 3, 0), "")</f>
        <v>hoang.nh226041@sis.hust.edu.vn</v>
      </c>
      <c r="E185" s="31" t="str">
        <f>IFERROR(VLOOKUP(C185, 'Tổng hợp thông tin sinh viên'!A:E, 5, 0), "")</f>
        <v>ICT 01-K67</v>
      </c>
      <c r="F185" s="49"/>
      <c r="G185" s="1"/>
      <c r="H185" s="1"/>
      <c r="I185" s="1"/>
      <c r="J185" s="1"/>
      <c r="K185" s="1"/>
      <c r="L185" s="1"/>
      <c r="M185" s="1"/>
      <c r="N185" s="1"/>
      <c r="O185" s="1"/>
      <c r="P185" s="82"/>
      <c r="Q185" s="1"/>
      <c r="R185" s="1"/>
      <c r="S185" s="83"/>
      <c r="T185" s="1"/>
      <c r="U185" s="1"/>
      <c r="V185" s="1"/>
      <c r="W185" s="1"/>
    </row>
    <row r="186">
      <c r="A186" s="49"/>
      <c r="B186" s="70" t="str">
        <f>IFERROR(VLOOKUP(C186, 'Tổng hợp thông tin sinh viên'!A:E, 2, 0), "")</f>
        <v>Nguyễn Hữu Nam Hoà</v>
      </c>
      <c r="C186" s="31" t="s">
        <v>272</v>
      </c>
      <c r="D186" s="31" t="str">
        <f>IFERROR(VLOOKUP(C186, 'Tổng hợp thông tin sinh viên'!A:E, 3, 0), "")</f>
        <v>hoa.nhn226040@sis.hust.edu.vn</v>
      </c>
      <c r="E186" s="31" t="str">
        <f>IFERROR(VLOOKUP(C186, 'Tổng hợp thông tin sinh viên'!A:E, 5, 0), "")</f>
        <v>ICT 01-K67</v>
      </c>
      <c r="F186" s="49"/>
      <c r="G186" s="1"/>
      <c r="H186" s="1"/>
      <c r="I186" s="1"/>
      <c r="J186" s="1"/>
      <c r="K186" s="1"/>
      <c r="L186" s="1"/>
      <c r="M186" s="1"/>
      <c r="N186" s="1"/>
      <c r="O186" s="1"/>
      <c r="P186" s="82"/>
      <c r="Q186" s="1"/>
      <c r="R186" s="1"/>
      <c r="S186" s="83"/>
      <c r="T186" s="1"/>
      <c r="U186" s="1"/>
      <c r="V186" s="1"/>
      <c r="W186" s="1"/>
    </row>
    <row r="187">
      <c r="A187" s="49"/>
      <c r="B187" s="70" t="str">
        <f>IFERROR(VLOOKUP(C187, 'Tổng hợp thông tin sinh viên'!A:E, 2, 0), "")</f>
        <v>Trần Việt Anh</v>
      </c>
      <c r="C187" s="31" t="s">
        <v>273</v>
      </c>
      <c r="D187" s="31" t="str">
        <f>IFERROR(VLOOKUP(C187, 'Tổng hợp thông tin sinh viên'!A:E, 3, 0), "")</f>
        <v>anh.tv226012@sis.hust.edu.vn</v>
      </c>
      <c r="E187" s="31" t="str">
        <f>IFERROR(VLOOKUP(C187, 'Tổng hợp thông tin sinh viên'!A:E, 5, 0), "")</f>
        <v>ICT 01-K67</v>
      </c>
      <c r="F187" s="49"/>
      <c r="G187" s="1"/>
      <c r="H187" s="1"/>
      <c r="I187" s="1"/>
      <c r="J187" s="1"/>
      <c r="K187" s="1"/>
      <c r="L187" s="1"/>
      <c r="M187" s="1"/>
      <c r="N187" s="1"/>
      <c r="O187" s="1"/>
      <c r="P187" s="82"/>
      <c r="Q187" s="1"/>
      <c r="R187" s="1"/>
      <c r="S187" s="83"/>
      <c r="T187" s="1"/>
      <c r="U187" s="1"/>
      <c r="V187" s="1"/>
      <c r="W187" s="1"/>
    </row>
    <row r="188">
      <c r="A188" s="49"/>
      <c r="B188" s="70" t="str">
        <f>IFERROR(VLOOKUP(C188, 'Tổng hợp thông tin sinh viên'!A:E, 2, 0), "")</f>
        <v>Nguyễn Đình An</v>
      </c>
      <c r="C188" s="31" t="s">
        <v>274</v>
      </c>
      <c r="D188" s="31" t="str">
        <f>IFERROR(VLOOKUP(C188, 'Tổng hợp thông tin sinh viên'!A:E, 3, 0), "")</f>
        <v>an.nd226007@sis.hust.edu.vn</v>
      </c>
      <c r="E188" s="31" t="str">
        <f>IFERROR(VLOOKUP(C188, 'Tổng hợp thông tin sinh viên'!A:E, 5, 0), "")</f>
        <v>ICT 01-K67</v>
      </c>
      <c r="F188" s="49"/>
      <c r="G188" s="1"/>
      <c r="H188" s="1"/>
      <c r="I188" s="1"/>
      <c r="J188" s="1"/>
      <c r="K188" s="1"/>
      <c r="L188" s="1"/>
      <c r="M188" s="1"/>
      <c r="N188" s="1"/>
      <c r="O188" s="1"/>
      <c r="P188" s="82"/>
      <c r="Q188" s="1"/>
      <c r="R188" s="1"/>
      <c r="S188" s="83"/>
      <c r="T188" s="1"/>
      <c r="U188" s="1"/>
      <c r="V188" s="1"/>
      <c r="W188" s="1"/>
    </row>
    <row r="189">
      <c r="A189" s="49"/>
      <c r="B189" s="70" t="str">
        <f>IFERROR(VLOOKUP(C189, 'Tổng hợp thông tin sinh viên'!A:E, 2, 0), "")</f>
        <v>Lê Hoàng Huy</v>
      </c>
      <c r="C189" s="31" t="s">
        <v>275</v>
      </c>
      <c r="D189" s="31" t="str">
        <f>IFERROR(VLOOKUP(C189, 'Tổng hợp thông tin sinh viên'!A:E, 3, 0), "")</f>
        <v>huy.lh225976@sis.hust.edu.vn</v>
      </c>
      <c r="E189" s="31" t="str">
        <f>IFERROR(VLOOKUP(C189, 'Tổng hợp thông tin sinh viên'!A:E, 5, 0), "")</f>
        <v>ICT 02-K67</v>
      </c>
      <c r="F189" s="49"/>
      <c r="G189" s="1"/>
      <c r="H189" s="1"/>
      <c r="I189" s="1"/>
      <c r="J189" s="1"/>
      <c r="K189" s="1"/>
      <c r="L189" s="1"/>
      <c r="M189" s="1"/>
      <c r="N189" s="1"/>
      <c r="O189" s="1"/>
      <c r="P189" s="82"/>
      <c r="Q189" s="1"/>
      <c r="R189" s="1"/>
      <c r="S189" s="83"/>
      <c r="T189" s="1"/>
      <c r="U189" s="1"/>
      <c r="V189" s="1"/>
      <c r="W189" s="1"/>
    </row>
    <row r="190">
      <c r="A190" s="49"/>
      <c r="B190" s="70" t="str">
        <f>IFERROR(VLOOKUP(C190, 'Tổng hợp thông tin sinh viên'!A:E, 2, 0), "")</f>
        <v>Nguyễn Khắc Giáp</v>
      </c>
      <c r="C190" s="31" t="s">
        <v>276</v>
      </c>
      <c r="D190" s="31" t="str">
        <f>IFERROR(VLOOKUP(C190, 'Tổng hợp thông tin sinh viên'!A:E, 3, 0), "")</f>
        <v>giap.nk224975@sis.hust.edu.vn</v>
      </c>
      <c r="E190" s="31" t="str">
        <f>IFERROR(VLOOKUP(C190, 'Tổng hợp thông tin sinh viên'!A:E, 5, 0), "")</f>
        <v>Khoa học máy tính 02-K67</v>
      </c>
      <c r="F190" s="49"/>
      <c r="G190" s="1"/>
      <c r="H190" s="1"/>
      <c r="I190" s="1"/>
      <c r="J190" s="1"/>
      <c r="K190" s="1"/>
      <c r="L190" s="1"/>
      <c r="M190" s="1"/>
      <c r="N190" s="1"/>
      <c r="O190" s="1"/>
      <c r="P190" s="82"/>
      <c r="Q190" s="1"/>
      <c r="R190" s="1"/>
      <c r="S190" s="83"/>
      <c r="T190" s="1"/>
      <c r="U190" s="1"/>
      <c r="V190" s="1"/>
      <c r="W190" s="1"/>
    </row>
    <row r="191">
      <c r="A191" s="52"/>
      <c r="B191" s="70" t="str">
        <f>IFERROR(VLOOKUP(C191, 'Tổng hợp thông tin sinh viên'!A:E, 2, 0), "")</f>
        <v>Hoàng Minh Hiếu</v>
      </c>
      <c r="C191" s="31" t="s">
        <v>277</v>
      </c>
      <c r="D191" s="31" t="str">
        <f>IFERROR(VLOOKUP(C191, 'Tổng hợp thông tin sinh viên'!A:E, 3, 0), "")</f>
        <v>HIEU.HM224981@sis.hust.edu.vn</v>
      </c>
      <c r="E191" s="31" t="str">
        <f>IFERROR(VLOOKUP(C191, 'Tổng hợp thông tin sinh viên'!A:E, 5, 0), "")</f>
        <v/>
      </c>
      <c r="F191" s="52"/>
      <c r="G191" s="1"/>
      <c r="H191" s="1"/>
      <c r="I191" s="1"/>
      <c r="J191" s="1"/>
      <c r="K191" s="1"/>
      <c r="L191" s="1"/>
      <c r="M191" s="1"/>
      <c r="N191" s="1"/>
      <c r="O191" s="1"/>
      <c r="P191" s="82"/>
      <c r="Q191" s="1"/>
      <c r="R191" s="1"/>
      <c r="S191" s="83"/>
      <c r="T191" s="1"/>
      <c r="U191" s="1"/>
      <c r="V191" s="1"/>
      <c r="W191" s="1"/>
      <c r="X191" s="1"/>
      <c r="Y191" s="1"/>
    </row>
    <row r="192">
      <c r="A192" s="77">
        <v>24.0</v>
      </c>
      <c r="B192" s="78" t="str">
        <f>IFERROR(VLOOKUP(C192, 'Tổng hợp thông tin sinh viên'!A:E, 2, 0), "")</f>
        <v>Nguyễn Văn An</v>
      </c>
      <c r="C192" s="79" t="s">
        <v>278</v>
      </c>
      <c r="D192" s="27" t="str">
        <f>IFERROR(VLOOKUP(C192, 'Tổng hợp thông tin sinh viên'!A:E, 3, 0), "")</f>
        <v>an.nv220013@sis.hust.edu.vn</v>
      </c>
      <c r="E192" s="27" t="str">
        <f>IFERROR(VLOOKUP(C192, 'Tổng hợp thông tin sinh viên'!A:E, 5, 0), "")</f>
        <v>CTTN-Khoa học máy tính-K67</v>
      </c>
      <c r="F192" s="71" t="str">
        <f>IF(COUNTBLANK(C192:C201) = 0, "Đủ", "Thiếu: " &amp; COUNTBLANK(C192:C201))</f>
        <v>Đủ</v>
      </c>
      <c r="G192" s="1"/>
      <c r="H192" s="1"/>
      <c r="I192" s="1"/>
      <c r="J192" s="1"/>
      <c r="K192" s="1"/>
      <c r="L192" s="1"/>
      <c r="M192" s="1"/>
      <c r="N192" s="1"/>
      <c r="O192" s="1"/>
      <c r="P192" s="82"/>
      <c r="Q192" s="1"/>
      <c r="R192" s="1"/>
      <c r="S192" s="83"/>
      <c r="T192" s="1"/>
      <c r="U192" s="1"/>
      <c r="V192" s="1"/>
      <c r="W192" s="1"/>
      <c r="X192" s="1"/>
      <c r="Y192" s="1"/>
    </row>
    <row r="193">
      <c r="A193" s="49"/>
      <c r="B193" s="78" t="str">
        <f>IFERROR(VLOOKUP(C193, 'Tổng hợp thông tin sinh viên'!A:E, 2, 0), "")</f>
        <v>Nguyễn Hồng Đăng</v>
      </c>
      <c r="C193" s="27" t="s">
        <v>279</v>
      </c>
      <c r="D193" s="27" t="str">
        <f>IFERROR(VLOOKUP(C193, 'Tổng hợp thông tin sinh viên'!A:E, 3, 0), "")</f>
        <v>dang.nh220025@sis.hust.edu.vn</v>
      </c>
      <c r="E193" s="27" t="str">
        <f>IFERROR(VLOOKUP(C193, 'Tổng hợp thông tin sinh viên'!A:E, 5, 0), "")</f>
        <v>CTTN-Khoa học máy tính-K67</v>
      </c>
      <c r="F193" s="49"/>
      <c r="G193" s="1"/>
      <c r="H193" s="1"/>
      <c r="I193" s="1"/>
      <c r="J193" s="1"/>
      <c r="K193" s="1"/>
      <c r="L193" s="1"/>
      <c r="M193" s="1"/>
      <c r="N193" s="1"/>
      <c r="O193" s="1"/>
      <c r="P193" s="82"/>
      <c r="Q193" s="1"/>
      <c r="R193" s="1"/>
      <c r="S193" s="83"/>
      <c r="T193" s="1"/>
      <c r="U193" s="1"/>
      <c r="V193" s="1"/>
      <c r="W193" s="1"/>
      <c r="X193" s="1"/>
      <c r="Y193" s="1"/>
    </row>
    <row r="194">
      <c r="A194" s="49"/>
      <c r="B194" s="78" t="str">
        <f>IFERROR(VLOOKUP(C194, 'Tổng hợp thông tin sinh viên'!A:E, 2, 0), "")</f>
        <v>Văn Đức Cường</v>
      </c>
      <c r="C194" s="27" t="s">
        <v>280</v>
      </c>
      <c r="D194" s="27" t="str">
        <f>IFERROR(VLOOKUP(C194, 'Tổng hợp thông tin sinh viên'!A:E, 3, 0), "")</f>
        <v>cuong.vd220021@sis.hust.edu.vn</v>
      </c>
      <c r="E194" s="27" t="str">
        <f>IFERROR(VLOOKUP(C194, 'Tổng hợp thông tin sinh viên'!A:E, 5, 0), "")</f>
        <v>CTTN-Khoa học máy tính-K67</v>
      </c>
      <c r="F194" s="49"/>
      <c r="G194" s="1"/>
      <c r="H194" s="1"/>
      <c r="I194" s="1"/>
      <c r="J194" s="1"/>
      <c r="K194" s="1"/>
      <c r="L194" s="1"/>
      <c r="M194" s="1"/>
      <c r="N194" s="1"/>
      <c r="O194" s="1"/>
      <c r="P194" s="82"/>
      <c r="Q194" s="1"/>
      <c r="R194" s="1"/>
      <c r="S194" s="83"/>
      <c r="T194" s="1"/>
      <c r="U194" s="1"/>
      <c r="V194" s="1"/>
      <c r="W194" s="1"/>
      <c r="X194" s="1"/>
      <c r="Y194" s="1"/>
    </row>
    <row r="195">
      <c r="A195" s="49"/>
      <c r="B195" s="78" t="str">
        <f>IFERROR(VLOOKUP(C195, 'Tổng hợp thông tin sinh viên'!A:E, 2, 0), "")</f>
        <v>Nguyễn Thị Hà Chi</v>
      </c>
      <c r="C195" s="27" t="s">
        <v>281</v>
      </c>
      <c r="D195" s="27" t="str">
        <f>IFERROR(VLOOKUP(C195, 'Tổng hợp thông tin sinh viên'!A:E, 3, 0), "")</f>
        <v>chi.nth220016@sis.hust.edu.vn</v>
      </c>
      <c r="E195" s="27" t="str">
        <f>IFERROR(VLOOKUP(C195, 'Tổng hợp thông tin sinh viên'!A:E, 5, 0), "")</f>
        <v>CTTN-Khoa học máy tính-K67</v>
      </c>
      <c r="F195" s="49"/>
      <c r="G195" s="1"/>
      <c r="H195" s="1"/>
      <c r="I195" s="1"/>
      <c r="J195" s="1"/>
      <c r="K195" s="1"/>
      <c r="L195" s="1"/>
      <c r="M195" s="1"/>
      <c r="N195" s="1"/>
      <c r="O195" s="1"/>
      <c r="P195" s="82"/>
      <c r="Q195" s="1"/>
      <c r="R195" s="1"/>
      <c r="S195" s="83"/>
      <c r="T195" s="1"/>
      <c r="U195" s="1"/>
      <c r="V195" s="1"/>
      <c r="W195" s="1"/>
      <c r="X195" s="1"/>
      <c r="Y195" s="1"/>
    </row>
    <row r="196">
      <c r="A196" s="49"/>
      <c r="B196" s="78" t="str">
        <f>IFERROR(VLOOKUP(C196, 'Tổng hợp thông tin sinh viên'!A:E, 2, 0), "")</f>
        <v>Hà Minh Hiếu</v>
      </c>
      <c r="C196" s="27" t="s">
        <v>282</v>
      </c>
      <c r="D196" s="27" t="str">
        <f>IFERROR(VLOOKUP(C196, 'Tổng hợp thông tin sinh viên'!A:E, 3, 0), "")</f>
        <v>hieu.hm220026@sis.hust.edu.vn</v>
      </c>
      <c r="E196" s="27" t="str">
        <f>IFERROR(VLOOKUP(C196, 'Tổng hợp thông tin sinh viên'!A:E, 5, 0), "")</f>
        <v>CTTN-Khoa học máy tính-K67</v>
      </c>
      <c r="F196" s="49"/>
      <c r="G196" s="1"/>
      <c r="H196" s="1"/>
      <c r="I196" s="1"/>
      <c r="J196" s="1"/>
      <c r="K196" s="1"/>
      <c r="L196" s="1"/>
      <c r="M196" s="1"/>
      <c r="N196" s="1"/>
      <c r="O196" s="1"/>
      <c r="P196" s="82"/>
      <c r="Q196" s="1"/>
      <c r="R196" s="1"/>
      <c r="S196" s="83"/>
      <c r="T196" s="1"/>
      <c r="U196" s="1"/>
      <c r="V196" s="1"/>
      <c r="W196" s="1"/>
      <c r="X196" s="1"/>
      <c r="Y196" s="1"/>
    </row>
    <row r="197">
      <c r="A197" s="49"/>
      <c r="B197" s="78" t="str">
        <f>IFERROR(VLOOKUP(C197, 'Tổng hợp thông tin sinh viên'!A:E, 2, 0), "")</f>
        <v>Trương Xuân Thông</v>
      </c>
      <c r="C197" s="27" t="s">
        <v>283</v>
      </c>
      <c r="D197" s="27" t="str">
        <f>IFERROR(VLOOKUP(C197, 'Tổng hợp thông tin sinh viên'!A:E, 3, 0), "")</f>
        <v>thong.tx220044@sis.hust.edu.vn</v>
      </c>
      <c r="E197" s="27" t="str">
        <f>IFERROR(VLOOKUP(C197, 'Tổng hợp thông tin sinh viên'!A:E, 5, 0), "")</f>
        <v>CTTN-Khoa học máy tính-K67</v>
      </c>
      <c r="F197" s="49"/>
      <c r="G197" s="1"/>
      <c r="H197" s="1"/>
      <c r="I197" s="1"/>
      <c r="J197" s="1"/>
      <c r="K197" s="1"/>
      <c r="L197" s="1"/>
      <c r="M197" s="1"/>
      <c r="N197" s="1"/>
      <c r="O197" s="1"/>
      <c r="P197" s="82"/>
      <c r="Q197" s="1"/>
      <c r="R197" s="1"/>
      <c r="S197" s="83"/>
      <c r="T197" s="1"/>
      <c r="U197" s="1"/>
      <c r="V197" s="1"/>
      <c r="W197" s="1"/>
      <c r="X197" s="1"/>
      <c r="Y197" s="1"/>
    </row>
    <row r="198">
      <c r="A198" s="49"/>
      <c r="B198" s="78" t="str">
        <f>IFERROR(VLOOKUP(C198, 'Tổng hợp thông tin sinh viên'!A:E, 2, 0), "")</f>
        <v>Đoàn Duy Tùng</v>
      </c>
      <c r="C198" s="27" t="s">
        <v>284</v>
      </c>
      <c r="D198" s="27" t="str">
        <f>IFERROR(VLOOKUP(C198, 'Tổng hợp thông tin sinh viên'!A:E, 3, 0), "")</f>
        <v>tung.dd224906@sis.hust.edu.vn</v>
      </c>
      <c r="E198" s="27" t="str">
        <f>IFERROR(VLOOKUP(C198, 'Tổng hợp thông tin sinh viên'!A:E, 5, 0), "")</f>
        <v>CTTN-Khoa học máy tính-K67</v>
      </c>
      <c r="F198" s="49"/>
      <c r="G198" s="1"/>
      <c r="H198" s="1"/>
      <c r="I198" s="1"/>
      <c r="J198" s="1"/>
      <c r="K198" s="1"/>
      <c r="L198" s="1"/>
      <c r="M198" s="1"/>
      <c r="N198" s="1"/>
      <c r="O198" s="1"/>
      <c r="P198" s="82"/>
      <c r="Q198" s="1"/>
      <c r="R198" s="1"/>
      <c r="S198" s="83"/>
      <c r="T198" s="1"/>
      <c r="U198" s="1"/>
      <c r="V198" s="1"/>
      <c r="W198" s="1"/>
      <c r="X198" s="1"/>
      <c r="Y198" s="1"/>
    </row>
    <row r="199">
      <c r="A199" s="49"/>
      <c r="B199" s="78" t="str">
        <f>IFERROR(VLOOKUP(C199, 'Tổng hợp thông tin sinh viên'!A:E, 2, 0), "")</f>
        <v>Trần Đức Chính</v>
      </c>
      <c r="C199" s="27" t="s">
        <v>285</v>
      </c>
      <c r="D199" s="27" t="str">
        <f>IFERROR(VLOOKUP(C199, 'Tổng hợp thông tin sinh viên'!A:E, 3, 0), "")</f>
        <v>chinh.td224936@sis.hust.edu.vn</v>
      </c>
      <c r="E199" s="27" t="str">
        <f>IFERROR(VLOOKUP(C199, 'Tổng hợp thông tin sinh viên'!A:E, 5, 0), "")</f>
        <v>CTTN-Khoa học máy tính-K67</v>
      </c>
      <c r="F199" s="49"/>
      <c r="G199" s="1"/>
      <c r="H199" s="1"/>
      <c r="I199" s="1"/>
      <c r="J199" s="1"/>
      <c r="K199" s="1"/>
      <c r="L199" s="1"/>
      <c r="M199" s="1"/>
      <c r="N199" s="1"/>
      <c r="O199" s="1"/>
      <c r="P199" s="82"/>
      <c r="Q199" s="1"/>
      <c r="R199" s="1"/>
      <c r="S199" s="83"/>
      <c r="T199" s="1"/>
      <c r="U199" s="1"/>
      <c r="V199" s="1"/>
      <c r="W199" s="1"/>
      <c r="X199" s="1"/>
      <c r="Y199" s="1"/>
    </row>
    <row r="200">
      <c r="A200" s="49"/>
      <c r="B200" s="78" t="str">
        <f>IFERROR(VLOOKUP(C200, 'Tổng hợp thông tin sinh viên'!A:E, 2, 0), "")</f>
        <v>Phí Hoàng Việt</v>
      </c>
      <c r="C200" s="27" t="s">
        <v>286</v>
      </c>
      <c r="D200" s="27" t="str">
        <f>IFERROR(VLOOKUP(C200, 'Tổng hợp thông tin sinh viên'!A:E, 3, 0), "")</f>
        <v>viet.ph225429@sis.hust.edu.vn</v>
      </c>
      <c r="E200" s="27" t="str">
        <f>IFERROR(VLOOKUP(C200, 'Tổng hợp thông tin sinh viên'!A:E, 5, 0), "")</f>
        <v>Kỹ thuật máy tính 05-K67</v>
      </c>
      <c r="F200" s="49"/>
      <c r="G200" s="1"/>
      <c r="H200" s="1"/>
      <c r="I200" s="1"/>
      <c r="J200" s="1"/>
      <c r="K200" s="1"/>
      <c r="L200" s="1"/>
      <c r="M200" s="1"/>
      <c r="N200" s="1"/>
      <c r="O200" s="1"/>
      <c r="P200" s="82"/>
      <c r="Q200" s="1"/>
      <c r="R200" s="1"/>
      <c r="S200" s="83"/>
      <c r="T200" s="1"/>
      <c r="U200" s="1"/>
      <c r="V200" s="1"/>
      <c r="W200" s="1"/>
      <c r="X200" s="1"/>
      <c r="Y200" s="1"/>
    </row>
    <row r="201">
      <c r="A201" s="52"/>
      <c r="B201" s="78" t="str">
        <f>IFERROR(VLOOKUP(C201, 'Tổng hợp thông tin sinh viên'!A:E, 2, 0), "")</f>
        <v>Vũ Mạnh Hưng</v>
      </c>
      <c r="C201" s="27" t="s">
        <v>287</v>
      </c>
      <c r="D201" s="27" t="str">
        <f>IFERROR(VLOOKUP(C201, 'Tổng hợp thông tin sinh viên'!A:E, 3, 0), "")</f>
        <v>hung.vm225198@sis.hust.edu.vn</v>
      </c>
      <c r="E201" s="27" t="str">
        <f>IFERROR(VLOOKUP(C201, 'Tổng hợp thông tin sinh viên'!A:E, 5, 0), "")</f>
        <v>Kỹ thuật máy tính 05-K67</v>
      </c>
      <c r="F201" s="52"/>
      <c r="G201" s="1"/>
      <c r="H201" s="1"/>
      <c r="I201" s="1"/>
      <c r="J201" s="1"/>
      <c r="K201" s="1"/>
      <c r="L201" s="1"/>
      <c r="M201" s="1"/>
      <c r="N201" s="1"/>
      <c r="O201" s="1"/>
      <c r="P201" s="82"/>
      <c r="Q201" s="1"/>
      <c r="R201" s="1"/>
      <c r="S201" s="83"/>
      <c r="T201" s="1"/>
      <c r="U201" s="1"/>
      <c r="V201" s="1"/>
      <c r="W201" s="1"/>
      <c r="X201" s="1"/>
      <c r="Y201" s="1"/>
    </row>
    <row r="202">
      <c r="A202" s="69">
        <v>25.0</v>
      </c>
      <c r="B202" s="70" t="str">
        <f>IFERROR(VLOOKUP(C202, 'Tổng hợp thông tin sinh viên'!A:E, 2, 0), "")</f>
        <v>Nguyễn Bùi Đức Anh</v>
      </c>
      <c r="C202" s="31" t="s">
        <v>288</v>
      </c>
      <c r="D202" s="31" t="str">
        <f>IFERROR(VLOOKUP(C202, 'Tổng hợp thông tin sinh viên'!A:E, 3, 0), "")</f>
        <v>anh.nbd220070@sis.hust.edu.vn</v>
      </c>
      <c r="E202" s="31" t="str">
        <f>IFERROR(VLOOKUP(C202, 'Tổng hợp thông tin sinh viên'!A:E, 5, 0), "")</f>
        <v>ICT 01-K67</v>
      </c>
      <c r="F202" s="71" t="str">
        <f>IF(COUNTBLANK(C202:C211) = 0, "Đủ", "Thiếu: " &amp; COUNTBLANK(C202:C211))</f>
        <v>Đủ</v>
      </c>
      <c r="G202" s="1"/>
      <c r="H202" s="1"/>
      <c r="I202" s="1"/>
      <c r="J202" s="1"/>
      <c r="K202" s="1"/>
      <c r="L202" s="1"/>
      <c r="M202" s="1"/>
      <c r="N202" s="1"/>
      <c r="O202" s="1"/>
      <c r="P202" s="82"/>
      <c r="Q202" s="1"/>
      <c r="R202" s="1"/>
      <c r="S202" s="83"/>
      <c r="T202" s="1"/>
      <c r="U202" s="1"/>
      <c r="V202" s="1"/>
      <c r="W202" s="1"/>
      <c r="X202" s="1"/>
      <c r="Y202" s="1"/>
    </row>
    <row r="203">
      <c r="A203" s="49"/>
      <c r="B203" s="70" t="str">
        <f>IFERROR(VLOOKUP(C203, 'Tổng hợp thông tin sinh viên'!A:E, 2, 0), "")</f>
        <v>Khuất Thế Anh</v>
      </c>
      <c r="C203" s="31" t="s">
        <v>289</v>
      </c>
      <c r="D203" s="31" t="str">
        <f>IFERROR(VLOOKUP(C203, 'Tổng hợp thông tin sinh viên'!A:E, 3, 0), "")</f>
        <v>anh.kt226008@sis.hust.edu.vn</v>
      </c>
      <c r="E203" s="31" t="str">
        <f>IFERROR(VLOOKUP(C203, 'Tổng hợp thông tin sinh viên'!A:E, 5, 0), "")</f>
        <v>ICT 01-K67</v>
      </c>
      <c r="F203" s="49"/>
      <c r="G203" s="1"/>
      <c r="H203" s="1"/>
      <c r="I203" s="1"/>
      <c r="J203" s="1"/>
      <c r="K203" s="1"/>
      <c r="L203" s="1"/>
      <c r="M203" s="1"/>
      <c r="N203" s="1"/>
      <c r="O203" s="1"/>
      <c r="P203" s="82"/>
      <c r="Q203" s="1"/>
      <c r="R203" s="1"/>
      <c r="S203" s="83"/>
      <c r="T203" s="1"/>
      <c r="U203" s="1"/>
      <c r="V203" s="1"/>
      <c r="W203" s="1"/>
      <c r="X203" s="1"/>
      <c r="Y203" s="1"/>
    </row>
    <row r="204">
      <c r="A204" s="49"/>
      <c r="B204" s="70" t="str">
        <f>IFERROR(VLOOKUP(C204, 'Tổng hợp thông tin sinh viên'!A:E, 2, 0), "")</f>
        <v>Nguyễn Đình Phúc</v>
      </c>
      <c r="C204" s="31" t="s">
        <v>290</v>
      </c>
      <c r="D204" s="31" t="str">
        <f>IFERROR(VLOOKUP(C204, 'Tổng hợp thông tin sinh viên'!A:E, 3, 0), "")</f>
        <v>phuc.nd226062@sis.hust.edu.vn</v>
      </c>
      <c r="E204" s="31" t="str">
        <f>IFERROR(VLOOKUP(C204, 'Tổng hợp thông tin sinh viên'!A:E, 5, 0), "")</f>
        <v>ICT 02-K67</v>
      </c>
      <c r="F204" s="49"/>
      <c r="G204" s="1"/>
      <c r="H204" s="1"/>
      <c r="I204" s="1"/>
      <c r="J204" s="1"/>
      <c r="K204" s="1"/>
      <c r="L204" s="1"/>
      <c r="M204" s="1"/>
      <c r="N204" s="1"/>
      <c r="O204" s="1"/>
      <c r="P204" s="82"/>
      <c r="Q204" s="1"/>
      <c r="R204" s="1"/>
      <c r="S204" s="83"/>
      <c r="T204" s="1"/>
      <c r="U204" s="1"/>
      <c r="V204" s="1"/>
      <c r="W204" s="1"/>
      <c r="X204" s="1"/>
      <c r="Y204" s="1"/>
    </row>
    <row r="205">
      <c r="A205" s="49"/>
      <c r="B205" s="70" t="str">
        <f>IFERROR(VLOOKUP(C205, 'Tổng hợp thông tin sinh viên'!A:E, 2, 0), "")</f>
        <v>Nguyễn Trần Ngân Hà</v>
      </c>
      <c r="C205" s="31" t="s">
        <v>291</v>
      </c>
      <c r="D205" s="31" t="str">
        <f>IFERROR(VLOOKUP(C205, 'Tổng hợp thông tin sinh viên'!A:E, 3, 0), "")</f>
        <v>ha.ntn225969@sis.hust.edu.vn</v>
      </c>
      <c r="E205" s="31" t="str">
        <f>IFERROR(VLOOKUP(C205, 'Tổng hợp thông tin sinh viên'!A:E, 5, 0), "")</f>
        <v>ICT 01-K67</v>
      </c>
      <c r="F205" s="49"/>
      <c r="G205" s="1"/>
      <c r="H205" s="1"/>
      <c r="I205" s="1"/>
      <c r="J205" s="1"/>
      <c r="K205" s="1"/>
      <c r="L205" s="1"/>
      <c r="M205" s="1"/>
      <c r="N205" s="1"/>
      <c r="O205" s="1"/>
      <c r="P205" s="82"/>
      <c r="Q205" s="1"/>
      <c r="R205" s="1"/>
      <c r="S205" s="83"/>
      <c r="T205" s="1"/>
      <c r="U205" s="1"/>
      <c r="V205" s="1"/>
      <c r="W205" s="1"/>
      <c r="X205" s="1"/>
      <c r="Y205" s="1"/>
    </row>
    <row r="206">
      <c r="A206" s="49"/>
      <c r="B206" s="70" t="str">
        <f>IFERROR(VLOOKUP(C206, 'Tổng hợp thông tin sinh viên'!A:E, 2, 0), "")</f>
        <v>Trương Linh Duyên</v>
      </c>
      <c r="C206" s="31" t="s">
        <v>292</v>
      </c>
      <c r="D206" s="31" t="str">
        <f>IFERROR(VLOOKUP(C206, 'Tổng hợp thông tin sinh viên'!A:E, 3, 0), "")</f>
        <v>duyen.tl225968@sis.hust.edu.vn</v>
      </c>
      <c r="E206" s="31" t="str">
        <f>IFERROR(VLOOKUP(C206, 'Tổng hợp thông tin sinh viên'!A:E, 5, 0), "")</f>
        <v>ICT 01-K67</v>
      </c>
      <c r="F206" s="49"/>
      <c r="G206" s="1"/>
      <c r="H206" s="1"/>
      <c r="I206" s="1"/>
      <c r="J206" s="1"/>
      <c r="K206" s="1"/>
      <c r="L206" s="1"/>
      <c r="M206" s="1"/>
      <c r="N206" s="1"/>
      <c r="O206" s="1"/>
      <c r="P206" s="82"/>
      <c r="Q206" s="1"/>
      <c r="R206" s="1"/>
      <c r="S206" s="83"/>
      <c r="T206" s="1"/>
      <c r="U206" s="1"/>
      <c r="V206" s="1"/>
      <c r="W206" s="1"/>
      <c r="X206" s="1"/>
      <c r="Y206" s="1"/>
    </row>
    <row r="207">
      <c r="A207" s="49"/>
      <c r="B207" s="70" t="str">
        <f>IFERROR(VLOOKUP(C207, 'Tổng hợp thông tin sinh viên'!A:E, 2, 0), "")</f>
        <v>Vũ Thái Hưng</v>
      </c>
      <c r="C207" s="31" t="s">
        <v>293</v>
      </c>
      <c r="D207" s="31" t="str">
        <f>IFERROR(VLOOKUP(C207, 'Tổng hợp thông tin sinh viên'!A:E, 3, 0), "")</f>
        <v>hung.vt226046@sis.hust.edu.vn</v>
      </c>
      <c r="E207" s="31" t="str">
        <f>IFERROR(VLOOKUP(C207, 'Tổng hợp thông tin sinh viên'!A:E, 5, 0), "")</f>
        <v>ICT 01-K67</v>
      </c>
      <c r="F207" s="49"/>
      <c r="G207" s="1"/>
      <c r="H207" s="1"/>
      <c r="I207" s="1"/>
      <c r="J207" s="1"/>
      <c r="K207" s="1"/>
      <c r="L207" s="1"/>
      <c r="M207" s="1"/>
      <c r="N207" s="1"/>
      <c r="O207" s="1"/>
      <c r="P207" s="82"/>
      <c r="Q207" s="1"/>
      <c r="R207" s="1"/>
      <c r="S207" s="83"/>
      <c r="T207" s="1"/>
      <c r="U207" s="1"/>
      <c r="V207" s="1"/>
      <c r="W207" s="1"/>
      <c r="X207" s="1"/>
      <c r="Y207" s="1"/>
    </row>
    <row r="208">
      <c r="A208" s="49"/>
      <c r="B208" s="70" t="str">
        <f>IFERROR(VLOOKUP(C208, 'Tổng hợp thông tin sinh viên'!A:E, 2, 0), "")</f>
        <v>Trần Anh Khôi</v>
      </c>
      <c r="C208" s="31" t="s">
        <v>294</v>
      </c>
      <c r="D208" s="31" t="str">
        <f>IFERROR(VLOOKUP(C208, 'Tổng hợp thông tin sinh viên'!A:E, 3, 0), "")</f>
        <v>khoi.ta225981@sis.hust.edu.vn</v>
      </c>
      <c r="E208" s="31" t="str">
        <f>IFERROR(VLOOKUP(C208, 'Tổng hợp thông tin sinh viên'!A:E, 5, 0), "")</f>
        <v>ICT 02-K67</v>
      </c>
      <c r="F208" s="49"/>
      <c r="G208" s="1"/>
      <c r="H208" s="1"/>
      <c r="I208" s="1"/>
      <c r="J208" s="1"/>
      <c r="K208" s="1"/>
      <c r="L208" s="1"/>
      <c r="M208" s="1"/>
      <c r="N208" s="1"/>
      <c r="O208" s="1"/>
      <c r="P208" s="82"/>
      <c r="Q208" s="1"/>
      <c r="R208" s="1"/>
      <c r="S208" s="83"/>
      <c r="T208" s="1"/>
      <c r="U208" s="1"/>
      <c r="V208" s="1"/>
      <c r="W208" s="1"/>
      <c r="X208" s="1"/>
      <c r="Y208" s="1"/>
    </row>
    <row r="209">
      <c r="A209" s="49"/>
      <c r="B209" s="70" t="str">
        <f>IFERROR(VLOOKUP(C209, 'Tổng hợp thông tin sinh viên'!A:E, 2, 0), "")</f>
        <v>Hoàng Quốc Hưng</v>
      </c>
      <c r="C209" s="31" t="s">
        <v>295</v>
      </c>
      <c r="D209" s="31" t="str">
        <f>IFERROR(VLOOKUP(C209, 'Tổng hợp thông tin sinh viên'!A:E, 3, 0), "")</f>
        <v>hung.hq226043@sis.hust.edu.vn</v>
      </c>
      <c r="E209" s="31" t="str">
        <f>IFERROR(VLOOKUP(C209, 'Tổng hợp thông tin sinh viên'!A:E, 5, 0), "")</f>
        <v>ICT 01-K67</v>
      </c>
      <c r="F209" s="49"/>
      <c r="G209" s="1"/>
      <c r="H209" s="1"/>
      <c r="I209" s="1"/>
      <c r="J209" s="1"/>
      <c r="K209" s="1"/>
      <c r="L209" s="1"/>
      <c r="M209" s="1"/>
      <c r="N209" s="1"/>
      <c r="O209" s="1"/>
      <c r="P209" s="82"/>
      <c r="Q209" s="1"/>
      <c r="R209" s="1"/>
      <c r="S209" s="83"/>
      <c r="T209" s="1"/>
      <c r="U209" s="1"/>
      <c r="V209" s="1"/>
      <c r="W209" s="1"/>
      <c r="X209" s="1"/>
      <c r="Y209" s="1"/>
    </row>
    <row r="210">
      <c r="A210" s="49"/>
      <c r="B210" s="70" t="str">
        <f>IFERROR(VLOOKUP(C210, 'Tổng hợp thông tin sinh viên'!A:E, 2, 0), "")</f>
        <v>Vương Lê Bình Dương</v>
      </c>
      <c r="C210" s="31" t="s">
        <v>296</v>
      </c>
      <c r="D210" s="31" t="str">
        <f>IFERROR(VLOOKUP(C210, 'Tổng hợp thông tin sinh viên'!A:E, 3, 0), "")</f>
        <v>duong.vlb226035@sis.hust.edu.vn</v>
      </c>
      <c r="E210" s="31" t="str">
        <f>IFERROR(VLOOKUP(C210, 'Tổng hợp thông tin sinh viên'!A:E, 5, 0), "")</f>
        <v>ICT 01-K67</v>
      </c>
      <c r="F210" s="49"/>
      <c r="G210" s="1"/>
      <c r="H210" s="1"/>
      <c r="I210" s="1"/>
      <c r="J210" s="1"/>
      <c r="K210" s="1"/>
      <c r="L210" s="1"/>
      <c r="M210" s="1"/>
      <c r="N210" s="1"/>
      <c r="O210" s="1"/>
      <c r="P210" s="82"/>
      <c r="Q210" s="1"/>
      <c r="R210" s="1"/>
      <c r="S210" s="83"/>
      <c r="T210" s="1"/>
      <c r="U210" s="1"/>
      <c r="V210" s="1"/>
      <c r="W210" s="1"/>
      <c r="X210" s="1"/>
      <c r="Y210" s="1"/>
    </row>
    <row r="211">
      <c r="A211" s="52"/>
      <c r="B211" s="70" t="str">
        <f>IFERROR(VLOOKUP(C211, 'Tổng hợp thông tin sinh viên'!A:E, 2, 0), "")</f>
        <v>Trần Đắc Lương </v>
      </c>
      <c r="C211" s="31">
        <v>2.0215611E7</v>
      </c>
      <c r="D211" s="31" t="str">
        <f>IFERROR(VLOOKUP(C211, 'Tổng hợp thông tin sinh viên'!A:E, 3, 0), "")</f>
        <v>luong2442003@gmail.com</v>
      </c>
      <c r="E211" s="31" t="str">
        <f>IFERROR(VLOOKUP(C211, 'Tổng hợp thông tin sinh viên'!A:E, 5, 0), "")</f>
        <v/>
      </c>
      <c r="F211" s="52"/>
      <c r="G211" s="1"/>
      <c r="H211" s="1"/>
      <c r="I211" s="1"/>
      <c r="J211" s="1"/>
      <c r="K211" s="1"/>
      <c r="L211" s="1"/>
      <c r="M211" s="1"/>
      <c r="N211" s="1"/>
      <c r="O211" s="1"/>
      <c r="P211" s="82"/>
      <c r="Q211" s="1"/>
      <c r="R211" s="1"/>
      <c r="S211" s="83"/>
      <c r="T211" s="1"/>
      <c r="U211" s="1"/>
      <c r="V211" s="1"/>
      <c r="W211" s="1"/>
      <c r="X211" s="1"/>
      <c r="Y211" s="1"/>
    </row>
    <row r="212">
      <c r="A212" s="77">
        <v>26.0</v>
      </c>
      <c r="B212" s="78" t="str">
        <f>IFERROR(VLOOKUP(C212, 'Tổng hợp thông tin sinh viên'!A:E, 2, 0), "")</f>
        <v>Nguyễn Việt Phong</v>
      </c>
      <c r="C212" s="79" t="s">
        <v>297</v>
      </c>
      <c r="D212" s="27" t="str">
        <f>IFERROR(VLOOKUP(C212, 'Tổng hợp thông tin sinh viên'!A:E, 3, 0), "")</f>
        <v>phong.nv225901@sis.hust.edu.vn</v>
      </c>
      <c r="E212" s="27" t="str">
        <f>IFERROR(VLOOKUP(C212, 'Tổng hợp thông tin sinh viên'!A:E, 5, 0), "")</f>
        <v>Việt Nhật 06-K67</v>
      </c>
      <c r="F212" s="71" t="str">
        <f>IF(COUNTBLANK(C212:C221) = 0, "Đủ", "Thiếu: " &amp; COUNTBLANK(C212:C221))</f>
        <v>Đủ</v>
      </c>
      <c r="G212" s="1"/>
      <c r="H212" s="1"/>
      <c r="I212" s="1"/>
      <c r="J212" s="1"/>
      <c r="K212" s="1"/>
      <c r="L212" s="1"/>
      <c r="M212" s="1"/>
      <c r="N212" s="1"/>
      <c r="O212" s="1"/>
      <c r="P212" s="82"/>
      <c r="Q212" s="1"/>
      <c r="R212" s="1"/>
      <c r="S212" s="83"/>
      <c r="T212" s="1"/>
      <c r="U212" s="1"/>
      <c r="V212" s="1"/>
      <c r="W212" s="1"/>
      <c r="X212" s="1"/>
      <c r="Y212" s="1"/>
    </row>
    <row r="213">
      <c r="A213" s="49"/>
      <c r="B213" s="78" t="str">
        <f>IFERROR(VLOOKUP(C213, 'Tổng hợp thông tin sinh viên'!A:E, 2, 0), "")</f>
        <v>Đặng Minh Hoàng</v>
      </c>
      <c r="C213" s="27" t="s">
        <v>298</v>
      </c>
      <c r="D213" s="27" t="str">
        <f>IFERROR(VLOOKUP(C213, 'Tổng hợp thông tin sinh viên'!A:E, 3, 0), "")</f>
        <v>hoang.dm225719@sis.hust.edu.vn</v>
      </c>
      <c r="E213" s="27" t="str">
        <f>IFERROR(VLOOKUP(C213, 'Tổng hợp thông tin sinh viên'!A:E, 5, 0), "")</f>
        <v>Việt Nhật 07-K67</v>
      </c>
      <c r="F213" s="49"/>
      <c r="G213" s="1"/>
      <c r="H213" s="1"/>
      <c r="I213" s="1"/>
      <c r="J213" s="1"/>
      <c r="K213" s="1"/>
      <c r="L213" s="1"/>
      <c r="M213" s="1"/>
      <c r="N213" s="1"/>
      <c r="O213" s="1"/>
      <c r="P213" s="82"/>
      <c r="Q213" s="1"/>
      <c r="R213" s="1"/>
      <c r="S213" s="83"/>
      <c r="T213" s="1"/>
      <c r="U213" s="1"/>
      <c r="V213" s="1"/>
      <c r="W213" s="1"/>
      <c r="X213" s="1"/>
      <c r="Y213" s="1"/>
    </row>
    <row r="214">
      <c r="A214" s="49"/>
      <c r="B214" s="78" t="str">
        <f>IFERROR(VLOOKUP(C214, 'Tổng hợp thông tin sinh viên'!A:E, 2, 0), "")</f>
        <v>Nguyễn Lê Minh</v>
      </c>
      <c r="C214" s="27" t="s">
        <v>299</v>
      </c>
      <c r="D214" s="27" t="str">
        <f>IFERROR(VLOOKUP(C214, 'Tổng hợp thông tin sinh viên'!A:E, 3, 0), "")</f>
        <v>minh.nl225651@sis.hust.edu.vn</v>
      </c>
      <c r="E214" s="27" t="str">
        <f>IFERROR(VLOOKUP(C214, 'Tổng hợp thông tin sinh viên'!A:E, 5, 0), "")</f>
        <v>Việt Nhật 06-K67</v>
      </c>
      <c r="F214" s="49"/>
      <c r="G214" s="1"/>
      <c r="H214" s="1"/>
      <c r="I214" s="1"/>
      <c r="J214" s="1"/>
      <c r="K214" s="1"/>
      <c r="L214" s="1"/>
      <c r="M214" s="1"/>
      <c r="N214" s="1"/>
      <c r="O214" s="1"/>
      <c r="P214" s="82"/>
      <c r="Q214" s="1"/>
      <c r="R214" s="1"/>
      <c r="S214" s="83"/>
      <c r="T214" s="1"/>
      <c r="U214" s="1"/>
      <c r="V214" s="1"/>
      <c r="W214" s="1"/>
      <c r="X214" s="1"/>
      <c r="Y214" s="1"/>
    </row>
    <row r="215">
      <c r="A215" s="49"/>
      <c r="B215" s="78" t="str">
        <f>IFERROR(VLOOKUP(C215, 'Tổng hợp thông tin sinh viên'!A:E, 2, 0), "")</f>
        <v>Phan Hoàng Hải</v>
      </c>
      <c r="C215" s="27" t="s">
        <v>300</v>
      </c>
      <c r="D215" s="27" t="str">
        <f>IFERROR(VLOOKUP(C215, 'Tổng hợp thông tin sinh viên'!A:E, 3, 0), "")</f>
        <v>hai.ph225715@sis.hust.edu.vn</v>
      </c>
      <c r="E215" s="27" t="str">
        <f>IFERROR(VLOOKUP(C215, 'Tổng hợp thông tin sinh viên'!A:E, 5, 0), "")</f>
        <v>Việt Nhật 02-K67</v>
      </c>
      <c r="F215" s="49"/>
      <c r="G215" s="1"/>
      <c r="H215" s="1"/>
      <c r="I215" s="1"/>
      <c r="J215" s="1"/>
      <c r="K215" s="1"/>
      <c r="L215" s="1"/>
      <c r="M215" s="1"/>
      <c r="N215" s="1"/>
      <c r="O215" s="1"/>
      <c r="P215" s="82"/>
      <c r="Q215" s="1"/>
      <c r="R215" s="1"/>
      <c r="S215" s="83"/>
      <c r="T215" s="1"/>
      <c r="U215" s="1"/>
      <c r="V215" s="1"/>
      <c r="W215" s="1"/>
      <c r="X215" s="1"/>
      <c r="Y215" s="1"/>
    </row>
    <row r="216">
      <c r="A216" s="49"/>
      <c r="B216" s="78" t="str">
        <f>IFERROR(VLOOKUP(C216, 'Tổng hợp thông tin sinh viên'!A:E, 2, 0), "")</f>
        <v>Đặng Phương Nam</v>
      </c>
      <c r="C216" s="27" t="s">
        <v>301</v>
      </c>
      <c r="D216" s="27" t="str">
        <f>IFERROR(VLOOKUP(C216, 'Tổng hợp thông tin sinh viên'!A:E, 3, 0), "")</f>
        <v>nam.dp225892@sis.hust.edu.vn</v>
      </c>
      <c r="E216" s="27" t="str">
        <f>IFERROR(VLOOKUP(C216, 'Tổng hợp thông tin sinh viên'!A:E, 5, 0), "")</f>
        <v>Việt Nhật 06-K67</v>
      </c>
      <c r="F216" s="49"/>
      <c r="G216" s="1"/>
      <c r="H216" s="1"/>
      <c r="I216" s="1"/>
      <c r="J216" s="1"/>
      <c r="K216" s="1"/>
      <c r="L216" s="1"/>
      <c r="M216" s="1"/>
      <c r="N216" s="1"/>
      <c r="O216" s="1"/>
      <c r="P216" s="82"/>
      <c r="Q216" s="1"/>
      <c r="R216" s="1"/>
      <c r="S216" s="83"/>
      <c r="T216" s="1"/>
      <c r="U216" s="1"/>
      <c r="V216" s="1"/>
      <c r="W216" s="1"/>
      <c r="X216" s="1"/>
      <c r="Y216" s="1"/>
    </row>
    <row r="217">
      <c r="A217" s="49"/>
      <c r="B217" s="78" t="str">
        <f>IFERROR(VLOOKUP(C217, 'Tổng hợp thông tin sinh viên'!A:E, 2, 0), "")</f>
        <v>Hoàng Đức Tấn</v>
      </c>
      <c r="C217" s="27" t="s">
        <v>302</v>
      </c>
      <c r="D217" s="27" t="str">
        <f>IFERROR(VLOOKUP(C217, 'Tổng hợp thông tin sinh viên'!A:E, 3, 0), "")</f>
        <v>tan.hd225924@sis.hust.edu.vn</v>
      </c>
      <c r="E217" s="27" t="str">
        <f>IFERROR(VLOOKUP(C217, 'Tổng hợp thông tin sinh viên'!A:E, 5, 0), "")</f>
        <v>Việt Nhật 06-K67</v>
      </c>
      <c r="F217" s="49"/>
      <c r="G217" s="1"/>
      <c r="H217" s="1"/>
      <c r="I217" s="1"/>
      <c r="J217" s="1"/>
      <c r="K217" s="1"/>
      <c r="L217" s="1"/>
      <c r="M217" s="1"/>
      <c r="N217" s="1"/>
      <c r="O217" s="1"/>
      <c r="P217" s="82"/>
      <c r="Q217" s="1"/>
      <c r="R217" s="1"/>
      <c r="S217" s="83"/>
      <c r="T217" s="1"/>
      <c r="U217" s="1"/>
      <c r="V217" s="1"/>
      <c r="W217" s="1"/>
      <c r="X217" s="1"/>
      <c r="Y217" s="1"/>
    </row>
    <row r="218">
      <c r="A218" s="49"/>
      <c r="B218" s="78" t="str">
        <f>IFERROR(VLOOKUP(C218, 'Tổng hợp thông tin sinh viên'!A:E, 2, 0), "")</f>
        <v>Nguyễn Thị Thúy Hiền</v>
      </c>
      <c r="C218" s="27" t="s">
        <v>303</v>
      </c>
      <c r="D218" s="27" t="str">
        <f>IFERROR(VLOOKUP(C218, 'Tổng hợp thông tin sinh viên'!A:E, 3, 0), "")</f>
        <v>hien.ntt224844@sis.hust.edu.vn</v>
      </c>
      <c r="E218" s="27" t="str">
        <f>IFERROR(VLOOKUP(C218, 'Tổng hợp thông tin sinh viên'!A:E, 5, 0), "")</f>
        <v>Khoa học máy tính 01-K67</v>
      </c>
      <c r="F218" s="49"/>
      <c r="G218" s="1"/>
      <c r="H218" s="1"/>
      <c r="I218" s="1"/>
      <c r="J218" s="1"/>
      <c r="K218" s="1"/>
      <c r="L218" s="1"/>
      <c r="M218" s="1"/>
      <c r="N218" s="1"/>
      <c r="O218" s="1"/>
      <c r="P218" s="82"/>
      <c r="Q218" s="1"/>
      <c r="R218" s="1"/>
      <c r="S218" s="83"/>
      <c r="T218" s="1"/>
      <c r="U218" s="1"/>
      <c r="V218" s="1"/>
      <c r="W218" s="1"/>
      <c r="X218" s="1"/>
      <c r="Y218" s="1"/>
    </row>
    <row r="219">
      <c r="A219" s="49"/>
      <c r="B219" s="78" t="str">
        <f>IFERROR(VLOOKUP(C219, 'Tổng hợp thông tin sinh viên'!A:E, 2, 0), "")</f>
        <v>Cao Thị Ngọc Huyền</v>
      </c>
      <c r="C219" s="27" t="s">
        <v>304</v>
      </c>
      <c r="D219" s="27" t="str">
        <f>IFERROR(VLOOKUP(C219, 'Tổng hợp thông tin sinh viên'!A:E, 3, 0), "")</f>
        <v>huyen.ctn225015@sis.hust.edu.vn</v>
      </c>
      <c r="E219" s="27" t="str">
        <f>IFERROR(VLOOKUP(C219, 'Tổng hợp thông tin sinh viên'!A:E, 5, 0), "")</f>
        <v>Khoa học máy tính 05-K67</v>
      </c>
      <c r="F219" s="49"/>
      <c r="G219" s="1"/>
      <c r="H219" s="1"/>
      <c r="I219" s="1"/>
      <c r="J219" s="1"/>
      <c r="K219" s="1"/>
      <c r="L219" s="1"/>
      <c r="M219" s="1"/>
      <c r="N219" s="1"/>
      <c r="O219" s="1"/>
      <c r="P219" s="82"/>
      <c r="Q219" s="1"/>
      <c r="R219" s="1"/>
      <c r="S219" s="83"/>
      <c r="T219" s="1"/>
      <c r="U219" s="1"/>
      <c r="V219" s="1"/>
      <c r="W219" s="1"/>
      <c r="X219" s="1"/>
      <c r="Y219" s="1"/>
    </row>
    <row r="220">
      <c r="A220" s="49"/>
      <c r="B220" s="78" t="str">
        <f>IFERROR(VLOOKUP(C220, 'Tổng hợp thông tin sinh viên'!A:E, 2, 0), "")</f>
        <v>Vi Hùng Đức</v>
      </c>
      <c r="C220" s="27" t="s">
        <v>305</v>
      </c>
      <c r="D220" s="27" t="str">
        <f>IFERROR(VLOOKUP(C220, 'Tổng hợp thông tin sinh viên'!A:E, 3, 0), "")</f>
        <v>duc.vh224836@sis.hust.edu.vn</v>
      </c>
      <c r="E220" s="27" t="str">
        <f>IFERROR(VLOOKUP(C220, 'Tổng hợp thông tin sinh viên'!A:E, 5, 0), "")</f>
        <v>Khoa học máy tính 05-K67</v>
      </c>
      <c r="F220" s="49"/>
      <c r="G220" s="1"/>
      <c r="H220" s="1"/>
      <c r="I220" s="1"/>
      <c r="J220" s="1"/>
      <c r="K220" s="1"/>
      <c r="L220" s="1"/>
      <c r="M220" s="1"/>
      <c r="N220" s="1"/>
      <c r="O220" s="1"/>
      <c r="P220" s="82"/>
      <c r="Q220" s="1"/>
      <c r="R220" s="1"/>
      <c r="S220" s="83"/>
      <c r="T220" s="1"/>
      <c r="U220" s="1"/>
      <c r="V220" s="1"/>
      <c r="W220" s="1"/>
      <c r="X220" s="1"/>
      <c r="Y220" s="1"/>
    </row>
    <row r="221">
      <c r="A221" s="52"/>
      <c r="B221" s="78" t="str">
        <f>IFERROR(VLOOKUP(C221, 'Tổng hợp thông tin sinh viên'!A:E, 2, 0), "")</f>
        <v>Vũ Đức Trung</v>
      </c>
      <c r="C221" s="27" t="s">
        <v>306</v>
      </c>
      <c r="D221" s="27" t="str">
        <f>IFERROR(VLOOKUP(C221, 'Tổng hợp thông tin sinh viên'!A:E, 3, 0), "")</f>
        <v>trung.vd220046@sis.hust.edu.vn</v>
      </c>
      <c r="E221" s="27" t="str">
        <f>IFERROR(VLOOKUP(C221, 'Tổng hợp thông tin sinh viên'!A:E, 5, 0), "")</f>
        <v>Khoa học máy tính 05-K67</v>
      </c>
      <c r="F221" s="52"/>
      <c r="G221" s="1"/>
      <c r="H221" s="1"/>
      <c r="I221" s="1"/>
      <c r="J221" s="1"/>
      <c r="K221" s="1"/>
      <c r="L221" s="1"/>
      <c r="M221" s="1"/>
      <c r="N221" s="1"/>
      <c r="O221" s="1"/>
      <c r="P221" s="82"/>
      <c r="Q221" s="1"/>
      <c r="R221" s="1"/>
      <c r="S221" s="83"/>
      <c r="T221" s="1"/>
      <c r="U221" s="1"/>
      <c r="V221" s="1"/>
      <c r="W221" s="1"/>
      <c r="X221" s="1"/>
      <c r="Y221" s="1"/>
    </row>
    <row r="222">
      <c r="A222" s="69">
        <v>27.0</v>
      </c>
      <c r="B222" s="70" t="str">
        <f>IFERROR(VLOOKUP(C222, 'Tổng hợp thông tin sinh viên'!A:E, 2, 0), "")</f>
        <v>Vũ Như Đức</v>
      </c>
      <c r="C222" s="31" t="s">
        <v>307</v>
      </c>
      <c r="D222" s="31" t="str">
        <f>IFERROR(VLOOKUP(C222, 'Tổng hợp thông tin sinh viên'!A:E, 3, 0), "")</f>
        <v>duc.vn225485@sis.hust.edu.vn</v>
      </c>
      <c r="E222" s="31" t="str">
        <f>IFERROR(VLOOKUP(C222, 'Tổng hợp thông tin sinh viên'!A:E, 5, 0), "")</f>
        <v>CTTT Data Science &amp; AI 02-K67</v>
      </c>
      <c r="F222" s="71" t="str">
        <f>IF(COUNTBLANK(C222:C231) = 0, "Đủ", "Thiếu: " &amp; COUNTBLANK(C222:C231))</f>
        <v>Đủ</v>
      </c>
      <c r="G222" s="1"/>
      <c r="H222" s="1"/>
      <c r="I222" s="1"/>
      <c r="J222" s="1"/>
      <c r="K222" s="1"/>
      <c r="L222" s="1"/>
      <c r="M222" s="1"/>
      <c r="N222" s="1"/>
      <c r="O222" s="1"/>
      <c r="P222" s="82"/>
      <c r="Q222" s="1"/>
      <c r="R222" s="1"/>
      <c r="S222" s="83"/>
      <c r="T222" s="1"/>
      <c r="U222" s="1"/>
      <c r="V222" s="1"/>
      <c r="W222" s="1"/>
      <c r="X222" s="1"/>
      <c r="Y222" s="1"/>
    </row>
    <row r="223">
      <c r="A223" s="49"/>
      <c r="B223" s="70" t="str">
        <f>IFERROR(VLOOKUP(C223, 'Tổng hợp thông tin sinh viên'!A:E, 2, 0), "")</f>
        <v>Bùi Nguyên Khải</v>
      </c>
      <c r="C223" s="31" t="s">
        <v>308</v>
      </c>
      <c r="D223" s="31" t="str">
        <f>IFERROR(VLOOKUP(C223, 'Tổng hợp thông tin sinh viên'!A:E, 3, 0), "")</f>
        <v>khai.bn225501@sis.hust.edu.vn</v>
      </c>
      <c r="E223" s="31" t="str">
        <f>IFERROR(VLOOKUP(C223, 'Tổng hợp thông tin sinh viên'!A:E, 5, 0), "")</f>
        <v>CTTT Data Science &amp; AI 02-K67</v>
      </c>
      <c r="F223" s="49"/>
      <c r="G223" s="1"/>
      <c r="H223" s="1"/>
      <c r="I223" s="1"/>
      <c r="J223" s="1"/>
      <c r="K223" s="1"/>
      <c r="L223" s="1"/>
      <c r="M223" s="1"/>
      <c r="N223" s="1"/>
      <c r="O223" s="1"/>
      <c r="P223" s="82"/>
      <c r="Q223" s="1"/>
      <c r="R223" s="1"/>
      <c r="S223" s="83"/>
      <c r="T223" s="1"/>
      <c r="U223" s="1"/>
      <c r="V223" s="1"/>
      <c r="W223" s="1"/>
      <c r="X223" s="1"/>
      <c r="Y223" s="1"/>
    </row>
    <row r="224">
      <c r="A224" s="49"/>
      <c r="B224" s="70" t="str">
        <f>IFERROR(VLOOKUP(C224, 'Tổng hợp thông tin sinh viên'!A:E, 2, 0), "")</f>
        <v>Nguyễn Trọng Phương Bách</v>
      </c>
      <c r="C224" s="31" t="s">
        <v>309</v>
      </c>
      <c r="D224" s="31" t="str">
        <f>IFERROR(VLOOKUP(C224, 'Tổng hợp thông tin sinh viên'!A:E, 3, 0), "")</f>
        <v>bach.ntp225473@sis.hust.edu.vn</v>
      </c>
      <c r="E224" s="31" t="str">
        <f>IFERROR(VLOOKUP(C224, 'Tổng hợp thông tin sinh viên'!A:E, 5, 0), "")</f>
        <v>CTTT Data Science &amp; AI 02-K67</v>
      </c>
      <c r="F224" s="49"/>
      <c r="G224" s="1"/>
      <c r="H224" s="1"/>
      <c r="I224" s="1"/>
      <c r="J224" s="1"/>
      <c r="K224" s="1"/>
      <c r="L224" s="1"/>
      <c r="M224" s="1"/>
      <c r="N224" s="1"/>
      <c r="O224" s="1"/>
      <c r="P224" s="82"/>
      <c r="Q224" s="1"/>
      <c r="R224" s="1"/>
      <c r="S224" s="83"/>
      <c r="T224" s="1"/>
      <c r="U224" s="1"/>
      <c r="V224" s="1"/>
      <c r="W224" s="1"/>
      <c r="X224" s="1"/>
      <c r="Y224" s="1"/>
    </row>
    <row r="225">
      <c r="A225" s="49"/>
      <c r="B225" s="70" t="str">
        <f>IFERROR(VLOOKUP(C225, 'Tổng hợp thông tin sinh viên'!A:E, 2, 0), "")</f>
        <v>Trần Ngọc Quang</v>
      </c>
      <c r="C225" s="31" t="s">
        <v>310</v>
      </c>
      <c r="D225" s="31" t="str">
        <f>IFERROR(VLOOKUP(C225, 'Tổng hợp thông tin sinh viên'!A:E, 3, 0), "")</f>
        <v>quang.tn225523@sis.hust.edu.vn</v>
      </c>
      <c r="E225" s="31" t="str">
        <f>IFERROR(VLOOKUP(C225, 'Tổng hợp thông tin sinh viên'!A:E, 5, 0), "")</f>
        <v>CTTT Data Science &amp; AI 02-K67</v>
      </c>
      <c r="F225" s="49"/>
      <c r="G225" s="1"/>
      <c r="H225" s="1"/>
      <c r="I225" s="1"/>
      <c r="J225" s="1"/>
      <c r="K225" s="1"/>
      <c r="L225" s="1"/>
      <c r="M225" s="1"/>
      <c r="N225" s="1"/>
      <c r="O225" s="1"/>
      <c r="P225" s="82"/>
      <c r="Q225" s="1"/>
      <c r="R225" s="1"/>
      <c r="S225" s="83"/>
      <c r="T225" s="1"/>
      <c r="U225" s="1"/>
      <c r="V225" s="1"/>
      <c r="W225" s="1"/>
      <c r="X225" s="1"/>
      <c r="Y225" s="1"/>
    </row>
    <row r="226">
      <c r="A226" s="49"/>
      <c r="B226" s="70" t="str">
        <f>IFERROR(VLOOKUP(C226, 'Tổng hợp thông tin sinh viên'!A:E, 2, 0), "")</f>
        <v>Nguyễn Việt Tiến</v>
      </c>
      <c r="C226" s="31" t="s">
        <v>311</v>
      </c>
      <c r="D226" s="31" t="str">
        <f>IFERROR(VLOOKUP(C226, 'Tổng hợp thông tin sinh viên'!A:E, 3, 0), "")</f>
        <v>tien.nv225533@sis.hust.edu.vn</v>
      </c>
      <c r="E226" s="31" t="str">
        <f>IFERROR(VLOOKUP(C226, 'Tổng hợp thông tin sinh viên'!A:E, 5, 0), "")</f>
        <v>CTTT Data Science &amp; AI 02-K67</v>
      </c>
      <c r="F226" s="49"/>
      <c r="G226" s="1"/>
      <c r="H226" s="1"/>
      <c r="I226" s="1"/>
      <c r="J226" s="1"/>
      <c r="K226" s="1"/>
      <c r="L226" s="1"/>
      <c r="M226" s="1"/>
      <c r="N226" s="1"/>
      <c r="O226" s="1"/>
      <c r="P226" s="82"/>
      <c r="Q226" s="1"/>
      <c r="R226" s="1"/>
      <c r="S226" s="83"/>
      <c r="T226" s="1"/>
      <c r="U226" s="1"/>
      <c r="V226" s="1"/>
      <c r="W226" s="1"/>
      <c r="X226" s="1"/>
      <c r="Y226" s="1"/>
    </row>
    <row r="227">
      <c r="A227" s="49"/>
      <c r="B227" s="70" t="str">
        <f>IFERROR(VLOOKUP(C227, 'Tổng hợp thông tin sinh viên'!A:E, 2, 0), "")</f>
        <v>Vũ Minh Hiếu</v>
      </c>
      <c r="C227" s="31" t="s">
        <v>312</v>
      </c>
      <c r="D227" s="31" t="str">
        <f>IFERROR(VLOOKUP(C227, 'Tổng hợp thông tin sinh viên'!A:E, 3, 0), "")</f>
        <v>hieu.vm225494@sis.hust.edu.vn</v>
      </c>
      <c r="E227" s="31" t="str">
        <f>IFERROR(VLOOKUP(C227, 'Tổng hợp thông tin sinh viên'!A:E, 5, 0), "")</f>
        <v>CTTT Data Science &amp; AI 01-K67</v>
      </c>
      <c r="F227" s="49"/>
      <c r="G227" s="1"/>
      <c r="H227" s="1"/>
      <c r="I227" s="1"/>
      <c r="J227" s="1"/>
      <c r="K227" s="1"/>
      <c r="L227" s="1"/>
      <c r="M227" s="1"/>
      <c r="N227" s="1"/>
      <c r="O227" s="1"/>
      <c r="P227" s="82"/>
      <c r="Q227" s="1"/>
      <c r="R227" s="1"/>
      <c r="S227" s="83"/>
      <c r="T227" s="1"/>
      <c r="U227" s="1"/>
      <c r="V227" s="1"/>
      <c r="W227" s="1"/>
      <c r="X227" s="1"/>
      <c r="Y227" s="1"/>
    </row>
    <row r="228">
      <c r="A228" s="49"/>
      <c r="B228" s="70" t="str">
        <f>IFERROR(VLOOKUP(C228, 'Tổng hợp thông tin sinh viên'!A:E, 2, 0), "")</f>
        <v>Đoàn Anh Vũ</v>
      </c>
      <c r="C228" s="31" t="s">
        <v>313</v>
      </c>
      <c r="D228" s="31" t="str">
        <f>IFERROR(VLOOKUP(C228, 'Tổng hợp thông tin sinh viên'!A:E, 3, 0), "")</f>
        <v>vu.da225465@sis.hust.edu.vn</v>
      </c>
      <c r="E228" s="31" t="str">
        <f>IFERROR(VLOOKUP(C228, 'Tổng hợp thông tin sinh viên'!A:E, 5, 0), "")</f>
        <v>CTTT Data Science &amp; AI 02-K67</v>
      </c>
      <c r="F228" s="49"/>
      <c r="G228" s="1"/>
      <c r="H228" s="1"/>
      <c r="I228" s="1"/>
      <c r="J228" s="1"/>
      <c r="K228" s="1"/>
      <c r="L228" s="1"/>
      <c r="M228" s="1"/>
      <c r="N228" s="1"/>
      <c r="O228" s="1"/>
      <c r="P228" s="82"/>
      <c r="Q228" s="1"/>
      <c r="R228" s="1"/>
      <c r="S228" s="83"/>
      <c r="T228" s="1"/>
      <c r="U228" s="1"/>
      <c r="V228" s="1"/>
      <c r="W228" s="1"/>
      <c r="X228" s="1"/>
      <c r="Y228" s="1"/>
    </row>
    <row r="229">
      <c r="A229" s="49"/>
      <c r="B229" s="70" t="str">
        <f>IFERROR(VLOOKUP(C229, 'Tổng hợp thông tin sinh viên'!A:E, 2, 0), "")</f>
        <v>Vũ Trung Thành</v>
      </c>
      <c r="C229" s="31" t="s">
        <v>314</v>
      </c>
      <c r="D229" s="31" t="str">
        <f>IFERROR(VLOOKUP(C229, 'Tổng hợp thông tin sinh viên'!A:E, 3, 0), "")</f>
        <v>thanh.vt220066@sis.hust.edu.vn</v>
      </c>
      <c r="E229" s="31" t="str">
        <f>IFERROR(VLOOKUP(C229, 'Tổng hợp thông tin sinh viên'!A:E, 5, 0), "")</f>
        <v>CTTT Data Science &amp; AI 03-K67</v>
      </c>
      <c r="F229" s="49"/>
      <c r="G229" s="1"/>
      <c r="H229" s="1"/>
      <c r="I229" s="1"/>
      <c r="J229" s="1"/>
      <c r="K229" s="1"/>
      <c r="L229" s="1"/>
      <c r="M229" s="1"/>
      <c r="N229" s="1"/>
      <c r="O229" s="1"/>
      <c r="P229" s="82"/>
      <c r="Q229" s="1"/>
      <c r="R229" s="1"/>
      <c r="S229" s="83"/>
      <c r="T229" s="1"/>
      <c r="U229" s="1"/>
      <c r="V229" s="1"/>
      <c r="W229" s="1"/>
      <c r="X229" s="1"/>
      <c r="Y229" s="1"/>
    </row>
    <row r="230">
      <c r="A230" s="49"/>
      <c r="B230" s="70" t="str">
        <f>IFERROR(VLOOKUP(C230, 'Tổng hợp thông tin sinh viên'!A:E, 2, 0), "")</f>
        <v>Nguyễn Nhật Huy</v>
      </c>
      <c r="C230" s="31" t="s">
        <v>315</v>
      </c>
      <c r="D230" s="31" t="str">
        <f>IFERROR(VLOOKUP(C230, 'Tổng hợp thông tin sinh viên'!A:E, 3, 0), "")</f>
        <v>huy.nn225335@sis.hust.edu.vn</v>
      </c>
      <c r="E230" s="31" t="str">
        <f>IFERROR(VLOOKUP(C230, 'Tổng hợp thông tin sinh viên'!A:E, 5, 0), "")</f>
        <v>Kỹ thuật máy tính 03-K67</v>
      </c>
      <c r="F230" s="49"/>
      <c r="G230" s="1"/>
      <c r="H230" s="1"/>
      <c r="I230" s="1"/>
      <c r="J230" s="1"/>
      <c r="K230" s="1"/>
      <c r="L230" s="1"/>
      <c r="M230" s="1"/>
      <c r="N230" s="1"/>
      <c r="O230" s="1"/>
      <c r="P230" s="82"/>
      <c r="Q230" s="1"/>
      <c r="R230" s="1"/>
      <c r="S230" s="83"/>
      <c r="T230" s="1"/>
      <c r="U230" s="1"/>
      <c r="V230" s="1"/>
      <c r="W230" s="1"/>
      <c r="X230" s="1"/>
      <c r="Y230" s="1"/>
    </row>
    <row r="231">
      <c r="A231" s="52"/>
      <c r="B231" s="70" t="str">
        <f>IFERROR(VLOOKUP(C231, 'Tổng hợp thông tin sinh viên'!A:E, 2, 0), "")</f>
        <v>Lê Xuân Đại</v>
      </c>
      <c r="C231" s="31" t="s">
        <v>316</v>
      </c>
      <c r="D231" s="31" t="str">
        <f>IFERROR(VLOOKUP(C231, 'Tổng hợp thông tin sinh viên'!A:E, 3, 0), "")</f>
        <v>dai.lx225271@sis.hust.edu.vn</v>
      </c>
      <c r="E231" s="31" t="str">
        <f>IFERROR(VLOOKUP(C231, 'Tổng hợp thông tin sinh viên'!A:E, 5, 0), "")</f>
        <v>Kỹ thuật máy tính 01-K67</v>
      </c>
      <c r="F231" s="52"/>
      <c r="G231" s="1"/>
      <c r="H231" s="1"/>
      <c r="I231" s="1"/>
      <c r="J231" s="1"/>
      <c r="K231" s="1"/>
      <c r="L231" s="1"/>
      <c r="M231" s="1"/>
      <c r="N231" s="1"/>
      <c r="O231" s="1"/>
      <c r="P231" s="82"/>
      <c r="Q231" s="1"/>
      <c r="R231" s="1"/>
      <c r="S231" s="83"/>
      <c r="T231" s="1"/>
      <c r="U231" s="1"/>
      <c r="V231" s="1"/>
      <c r="W231" s="1"/>
      <c r="X231" s="1"/>
      <c r="Y231" s="1"/>
    </row>
    <row r="232">
      <c r="A232" s="77">
        <v>28.0</v>
      </c>
      <c r="B232" s="78" t="str">
        <f>IFERROR(VLOOKUP(C232, 'Tổng hợp thông tin sinh viên'!A:E, 2, 0), "")</f>
        <v>Nguyễn Khánh Duy</v>
      </c>
      <c r="C232" s="79" t="s">
        <v>317</v>
      </c>
      <c r="D232" s="27" t="str">
        <f>IFERROR(VLOOKUP(C232, 'Tổng hợp thông tin sinh viên'!A:E, 3, 0), "")</f>
        <v>duy.nk225830@sis.hust.edu.vn</v>
      </c>
      <c r="E232" s="27" t="str">
        <f>IFERROR(VLOOKUP(C232, 'Tổng hợp thông tin sinh viên'!A:E, 5, 0), "")</f>
        <v>Việt Nhật 02-K67</v>
      </c>
      <c r="F232" s="71" t="str">
        <f>IF(COUNTBLANK(C232:C241) = 0, "Đủ", "Thiếu: " &amp; COUNTBLANK(C232:C241))</f>
        <v>Đủ</v>
      </c>
      <c r="G232" s="1"/>
      <c r="H232" s="1"/>
      <c r="I232" s="1"/>
      <c r="J232" s="1"/>
      <c r="K232" s="1"/>
      <c r="L232" s="1"/>
      <c r="M232" s="1"/>
      <c r="N232" s="1"/>
      <c r="O232" s="1"/>
      <c r="P232" s="82"/>
      <c r="Q232" s="1"/>
      <c r="R232" s="1"/>
      <c r="S232" s="83"/>
      <c r="T232" s="1"/>
      <c r="U232" s="1"/>
      <c r="V232" s="1"/>
      <c r="W232" s="1"/>
      <c r="X232" s="1"/>
      <c r="Y232" s="1"/>
    </row>
    <row r="233">
      <c r="A233" s="49"/>
      <c r="B233" s="78" t="str">
        <f>IFERROR(VLOOKUP(C233, 'Tổng hợp thông tin sinh viên'!A:E, 2, 0), "")</f>
        <v>Lê Minh Nghĩa</v>
      </c>
      <c r="C233" s="27" t="s">
        <v>318</v>
      </c>
      <c r="D233" s="27" t="str">
        <f>IFERROR(VLOOKUP(C233, 'Tổng hợp thông tin sinh viên'!A:E, 3, 0), "")</f>
        <v>nghia.lm225894@sis.hust.edu.vn</v>
      </c>
      <c r="E233" s="27" t="str">
        <f>IFERROR(VLOOKUP(C233, 'Tổng hợp thông tin sinh viên'!A:E, 5, 0), "")</f>
        <v>Việt Nhật 02-K67</v>
      </c>
      <c r="F233" s="49"/>
      <c r="G233" s="1"/>
      <c r="H233" s="1"/>
      <c r="I233" s="1"/>
      <c r="J233" s="1"/>
      <c r="K233" s="1"/>
      <c r="L233" s="1"/>
      <c r="M233" s="1"/>
      <c r="N233" s="1"/>
      <c r="O233" s="1"/>
      <c r="P233" s="82"/>
      <c r="Q233" s="1"/>
      <c r="R233" s="1"/>
      <c r="S233" s="83"/>
      <c r="T233" s="1"/>
      <c r="U233" s="1"/>
      <c r="V233" s="1"/>
      <c r="W233" s="1"/>
      <c r="X233" s="1"/>
      <c r="Y233" s="1"/>
    </row>
    <row r="234">
      <c r="A234" s="49"/>
      <c r="B234" s="78" t="str">
        <f>IFERROR(VLOOKUP(C234, 'Tổng hợp thông tin sinh viên'!A:E, 2, 0), "")</f>
        <v>Nguyễn Hoài Nam</v>
      </c>
      <c r="C234" s="27" t="s">
        <v>319</v>
      </c>
      <c r="D234" s="27" t="str">
        <f>IFERROR(VLOOKUP(C234, 'Tổng hợp thông tin sinh viên'!A:E, 3, 0), "")</f>
        <v>nam.nh225748@sis.hust.edu.vn</v>
      </c>
      <c r="E234" s="27" t="str">
        <f>IFERROR(VLOOKUP(C234, 'Tổng hợp thông tin sinh viên'!A:E, 5, 0), "")</f>
        <v>Việt Nhật 02-K67</v>
      </c>
      <c r="F234" s="49"/>
      <c r="G234" s="1"/>
      <c r="H234" s="1"/>
      <c r="I234" s="1"/>
      <c r="J234" s="1"/>
      <c r="K234" s="1"/>
      <c r="L234" s="1"/>
      <c r="M234" s="1"/>
      <c r="N234" s="1"/>
      <c r="O234" s="1"/>
      <c r="P234" s="82"/>
      <c r="Q234" s="1"/>
      <c r="R234" s="1"/>
      <c r="S234" s="83"/>
      <c r="T234" s="1"/>
      <c r="U234" s="1"/>
      <c r="V234" s="1"/>
      <c r="W234" s="1"/>
      <c r="X234" s="1"/>
      <c r="Y234" s="1"/>
    </row>
    <row r="235">
      <c r="A235" s="49"/>
      <c r="B235" s="78" t="str">
        <f>IFERROR(VLOOKUP(C235, 'Tổng hợp thông tin sinh viên'!A:E, 2, 0), "")</f>
        <v>Nguyễn Văn Phú</v>
      </c>
      <c r="C235" s="27" t="s">
        <v>320</v>
      </c>
      <c r="D235" s="27" t="str">
        <f>IFERROR(VLOOKUP(C235, 'Tổng hợp thông tin sinh viên'!A:E, 3, 0), "")</f>
        <v>phu.nv225658@sis.hust.edu.vn</v>
      </c>
      <c r="E235" s="27" t="str">
        <f>IFERROR(VLOOKUP(C235, 'Tổng hợp thông tin sinh viên'!A:E, 5, 0), "")</f>
        <v>Việt Nhật 02-K67</v>
      </c>
      <c r="F235" s="49"/>
      <c r="G235" s="1"/>
      <c r="H235" s="1"/>
      <c r="I235" s="1"/>
      <c r="J235" s="1"/>
      <c r="K235" s="1"/>
      <c r="L235" s="1"/>
      <c r="M235" s="1"/>
      <c r="N235" s="1"/>
      <c r="O235" s="1"/>
      <c r="P235" s="82"/>
      <c r="Q235" s="1"/>
      <c r="R235" s="1"/>
      <c r="S235" s="83"/>
      <c r="T235" s="1"/>
      <c r="U235" s="1"/>
      <c r="V235" s="1"/>
      <c r="W235" s="1"/>
      <c r="X235" s="1"/>
      <c r="Y235" s="1"/>
    </row>
    <row r="236">
      <c r="A236" s="49"/>
      <c r="B236" s="78" t="str">
        <f>IFERROR(VLOOKUP(C236, 'Tổng hợp thông tin sinh viên'!A:E, 2, 0), "")</f>
        <v>Ngô Việt Bách</v>
      </c>
      <c r="C236" s="27" t="s">
        <v>321</v>
      </c>
      <c r="D236" s="27" t="str">
        <f>IFERROR(VLOOKUP(C236, 'Tổng hợp thông tin sinh viên'!A:E, 3, 0), "")</f>
        <v>bach.nv225789@sis.hust.edu.vn</v>
      </c>
      <c r="E236" s="27" t="str">
        <f>IFERROR(VLOOKUP(C236, 'Tổng hợp thông tin sinh viên'!A:E, 5, 0), "")</f>
        <v>Việt Nhật 02-K67</v>
      </c>
      <c r="F236" s="49"/>
      <c r="G236" s="1"/>
      <c r="H236" s="1"/>
      <c r="I236" s="1"/>
      <c r="J236" s="1"/>
      <c r="K236" s="1"/>
      <c r="L236" s="1"/>
      <c r="M236" s="1"/>
      <c r="N236" s="1"/>
      <c r="O236" s="1"/>
      <c r="P236" s="82"/>
      <c r="Q236" s="1"/>
      <c r="R236" s="1"/>
      <c r="S236" s="83"/>
      <c r="T236" s="1"/>
      <c r="U236" s="1"/>
      <c r="V236" s="1"/>
      <c r="W236" s="1"/>
      <c r="X236" s="1"/>
      <c r="Y236" s="1"/>
    </row>
    <row r="237">
      <c r="A237" s="49"/>
      <c r="B237" s="78" t="str">
        <f>IFERROR(VLOOKUP(C237, 'Tổng hợp thông tin sinh viên'!A:E, 2, 0), "")</f>
        <v>Vũ Hoàng Việt</v>
      </c>
      <c r="C237" s="27" t="s">
        <v>322</v>
      </c>
      <c r="D237" s="27" t="str">
        <f>IFERROR(VLOOKUP(C237, 'Tổng hợp thông tin sinh viên'!A:E, 3, 0), "")</f>
        <v>viet.vh225777@sis.hust.edu.vn</v>
      </c>
      <c r="E237" s="27" t="str">
        <f>IFERROR(VLOOKUP(C237, 'Tổng hợp thông tin sinh viên'!A:E, 5, 0), "")</f>
        <v>Việt Nhật 02-K67</v>
      </c>
      <c r="F237" s="49"/>
      <c r="G237" s="1"/>
      <c r="H237" s="1"/>
      <c r="I237" s="1"/>
      <c r="J237" s="1"/>
      <c r="K237" s="1"/>
      <c r="L237" s="1"/>
      <c r="M237" s="1"/>
      <c r="N237" s="1"/>
      <c r="O237" s="1"/>
      <c r="P237" s="82"/>
      <c r="Q237" s="1"/>
      <c r="R237" s="1"/>
      <c r="S237" s="83"/>
      <c r="T237" s="1"/>
      <c r="U237" s="1"/>
      <c r="V237" s="1"/>
      <c r="W237" s="1"/>
      <c r="X237" s="1"/>
      <c r="Y237" s="1"/>
    </row>
    <row r="238">
      <c r="A238" s="49"/>
      <c r="B238" s="78" t="str">
        <f>IFERROR(VLOOKUP(C238, 'Tổng hợp thông tin sinh viên'!A:E, 2, 0), "")</f>
        <v>Hoàng Yến Nhi</v>
      </c>
      <c r="C238" s="27" t="s">
        <v>323</v>
      </c>
      <c r="D238" s="27" t="str">
        <f>IFERROR(VLOOKUP(C238, 'Tổng hợp thông tin sinh viên'!A:E, 3, 0), "")</f>
        <v>nhi.hy225898@sis.hust.edu.vn</v>
      </c>
      <c r="E238" s="27" t="str">
        <f>IFERROR(VLOOKUP(C238, 'Tổng hợp thông tin sinh viên'!A:E, 5, 0), "")</f>
        <v>Việt Nhật 02-K67</v>
      </c>
      <c r="F238" s="49"/>
      <c r="G238" s="1"/>
      <c r="H238" s="1"/>
      <c r="I238" s="1"/>
      <c r="J238" s="1"/>
      <c r="K238" s="1"/>
      <c r="L238" s="1"/>
      <c r="M238" s="1"/>
      <c r="N238" s="1"/>
      <c r="O238" s="1"/>
      <c r="P238" s="82"/>
      <c r="Q238" s="1"/>
      <c r="R238" s="1"/>
      <c r="S238" s="83"/>
      <c r="T238" s="1"/>
      <c r="U238" s="1"/>
      <c r="V238" s="1"/>
      <c r="W238" s="1"/>
      <c r="X238" s="1"/>
      <c r="Y238" s="1"/>
    </row>
    <row r="239">
      <c r="A239" s="49"/>
      <c r="B239" s="78" t="str">
        <f>IFERROR(VLOOKUP(C239, 'Tổng hợp thông tin sinh viên'!A:E, 2, 0), "")</f>
        <v>Nguyễn Quỳnh Anh</v>
      </c>
      <c r="C239" s="27" t="s">
        <v>324</v>
      </c>
      <c r="D239" s="27" t="str">
        <f>IFERROR(VLOOKUP(C239, 'Tổng hợp thông tin sinh viên'!A:E, 3, 0), "")</f>
        <v>anh.nq225785@sis.hust.edu.vn</v>
      </c>
      <c r="E239" s="27" t="str">
        <f>IFERROR(VLOOKUP(C239, 'Tổng hợp thông tin sinh viên'!A:E, 5, 0), "")</f>
        <v>Việt Nhật 02-K67</v>
      </c>
      <c r="F239" s="49"/>
      <c r="G239" s="1"/>
      <c r="H239" s="1"/>
      <c r="I239" s="1"/>
      <c r="J239" s="1"/>
      <c r="K239" s="1"/>
      <c r="L239" s="1"/>
      <c r="M239" s="1"/>
      <c r="N239" s="1"/>
      <c r="O239" s="1"/>
      <c r="P239" s="82"/>
      <c r="Q239" s="1"/>
      <c r="R239" s="1"/>
      <c r="S239" s="83"/>
      <c r="T239" s="1"/>
      <c r="U239" s="1"/>
      <c r="V239" s="1"/>
      <c r="W239" s="1"/>
      <c r="X239" s="1"/>
      <c r="Y239" s="1"/>
    </row>
    <row r="240">
      <c r="A240" s="49"/>
      <c r="B240" s="78" t="str">
        <f>IFERROR(VLOOKUP(C240, 'Tổng hợp thông tin sinh viên'!A:E, 2, 0), "")</f>
        <v>Nguyễn Bùi Việt Linh</v>
      </c>
      <c r="C240" s="27" t="s">
        <v>325</v>
      </c>
      <c r="D240" s="27" t="str">
        <f>IFERROR(VLOOKUP(C240, 'Tổng hợp thông tin sinh viên'!A:E, 3, 0), "")</f>
        <v>linh.nbv225733@sis.hust.edu.vn</v>
      </c>
      <c r="E240" s="27" t="str">
        <f>IFERROR(VLOOKUP(C240, 'Tổng hợp thông tin sinh viên'!A:E, 5, 0), "")</f>
        <v>Việt Nhật 02-K67</v>
      </c>
      <c r="F240" s="49"/>
      <c r="G240" s="1"/>
      <c r="H240" s="1"/>
      <c r="I240" s="1"/>
      <c r="J240" s="1"/>
      <c r="K240" s="1"/>
      <c r="L240" s="1"/>
      <c r="M240" s="1"/>
      <c r="N240" s="1"/>
      <c r="O240" s="1"/>
      <c r="P240" s="82"/>
      <c r="Q240" s="1"/>
      <c r="R240" s="1"/>
      <c r="S240" s="83"/>
      <c r="T240" s="1"/>
      <c r="U240" s="1"/>
      <c r="V240" s="1"/>
      <c r="W240" s="1"/>
      <c r="X240" s="1"/>
      <c r="Y240" s="1"/>
    </row>
    <row r="241">
      <c r="A241" s="52"/>
      <c r="B241" s="78" t="str">
        <f>IFERROR(VLOOKUP(C241, 'Tổng hợp thông tin sinh viên'!A:E, 2, 0), "")</f>
        <v>Trần Lê Anh Minh</v>
      </c>
      <c r="C241" s="27" t="s">
        <v>326</v>
      </c>
      <c r="D241" s="27" t="str">
        <f>IFERROR(VLOOKUP(C241, 'Tổng hợp thông tin sinh viên'!A:E, 3, 0), "")</f>
        <v>minh.tla225652@sis.hust.edu.vn</v>
      </c>
      <c r="E241" s="27" t="str">
        <f>IFERROR(VLOOKUP(C241, 'Tổng hợp thông tin sinh viên'!A:E, 5, 0), "")</f>
        <v>Việt Nhật 02-K67</v>
      </c>
      <c r="F241" s="52"/>
      <c r="G241" s="1"/>
      <c r="H241" s="1"/>
      <c r="I241" s="1"/>
      <c r="J241" s="1"/>
      <c r="K241" s="1"/>
      <c r="L241" s="1"/>
      <c r="M241" s="1"/>
      <c r="N241" s="1"/>
      <c r="O241" s="1"/>
      <c r="P241" s="82"/>
      <c r="Q241" s="1"/>
      <c r="R241" s="1"/>
      <c r="S241" s="83"/>
      <c r="T241" s="1"/>
      <c r="U241" s="1"/>
      <c r="V241" s="1"/>
      <c r="W241" s="1"/>
      <c r="X241" s="1"/>
      <c r="Y241" s="1"/>
    </row>
    <row r="242">
      <c r="A242" s="69">
        <v>29.0</v>
      </c>
      <c r="B242" s="70" t="str">
        <f>IFERROR(VLOOKUP(C242, 'Tổng hợp thông tin sinh viên'!A:E, 2, 0), "")</f>
        <v>Lê Minh Đức</v>
      </c>
      <c r="C242" s="31" t="s">
        <v>327</v>
      </c>
      <c r="D242" s="31" t="str">
        <f>IFERROR(VLOOKUP(C242, 'Tổng hợp thông tin sinh viên'!A:E, 3, 0), "")</f>
        <v>duc.lm225610@sis.hust.edu.vn</v>
      </c>
      <c r="E242" s="31" t="str">
        <f>IFERROR(VLOOKUP(C242, 'Tổng hợp thông tin sinh viên'!A:E, 5, 0), "")</f>
        <v>Việt Nhật 02-K67</v>
      </c>
      <c r="F242" s="71" t="str">
        <f>IF(COUNTBLANK(C242:C251) = 0, "Đủ", "Thiếu: " &amp; COUNTBLANK(C242:C251))</f>
        <v>Đủ</v>
      </c>
      <c r="G242" s="1"/>
      <c r="H242" s="1"/>
      <c r="I242" s="1"/>
      <c r="J242" s="1"/>
      <c r="K242" s="1"/>
      <c r="L242" s="1"/>
      <c r="M242" s="1"/>
      <c r="N242" s="1"/>
      <c r="O242" s="1"/>
      <c r="P242" s="82"/>
      <c r="Q242" s="1"/>
      <c r="R242" s="1"/>
      <c r="S242" s="83"/>
      <c r="T242" s="1"/>
      <c r="U242" s="1"/>
      <c r="V242" s="1"/>
      <c r="W242" s="1"/>
      <c r="X242" s="1"/>
      <c r="Y242" s="1"/>
    </row>
    <row r="243">
      <c r="A243" s="49"/>
      <c r="B243" s="70" t="str">
        <f>IFERROR(VLOOKUP(C243, 'Tổng hợp thông tin sinh viên'!A:E, 2, 0), "")</f>
        <v>Nguyễn Kiến Quốc</v>
      </c>
      <c r="C243" s="31" t="s">
        <v>328</v>
      </c>
      <c r="D243" s="31" t="str">
        <f>IFERROR(VLOOKUP(C243, 'Tổng hợp thông tin sinh viên'!A:E, 3, 0), "")</f>
        <v>quoc.nk225153@sis.hust.edu.vn</v>
      </c>
      <c r="E243" s="31" t="str">
        <f>IFERROR(VLOOKUP(C243, 'Tổng hợp thông tin sinh viên'!A:E, 5, 0), "")</f>
        <v>Kỹ thuật máy tính 06-K67</v>
      </c>
      <c r="F243" s="49"/>
      <c r="G243" s="1"/>
      <c r="H243" s="1"/>
      <c r="I243" s="1"/>
      <c r="J243" s="1"/>
      <c r="K243" s="1"/>
      <c r="L243" s="1"/>
      <c r="M243" s="1"/>
      <c r="N243" s="1"/>
      <c r="O243" s="1"/>
      <c r="P243" s="82"/>
      <c r="Q243" s="1"/>
      <c r="R243" s="1"/>
      <c r="S243" s="83"/>
      <c r="T243" s="1"/>
      <c r="U243" s="1"/>
      <c r="V243" s="1"/>
      <c r="W243" s="1"/>
      <c r="X243" s="1"/>
      <c r="Y243" s="1"/>
    </row>
    <row r="244">
      <c r="A244" s="49"/>
      <c r="B244" s="70" t="str">
        <f>IFERROR(VLOOKUP(C244, 'Tổng hợp thông tin sinh viên'!A:E, 2, 0), "")</f>
        <v>Bùi Xuân Đạt</v>
      </c>
      <c r="C244" s="31" t="s">
        <v>329</v>
      </c>
      <c r="D244" s="31" t="str">
        <f>IFERROR(VLOOKUP(C244, 'Tổng hợp thông tin sinh viên'!A:E, 3, 0), "")</f>
        <v>dat.bx225274@sis.hust.edu.vn</v>
      </c>
      <c r="E244" s="31" t="str">
        <f>IFERROR(VLOOKUP(C244, 'Tổng hợp thông tin sinh viên'!A:E, 5, 0), "")</f>
        <v>Kỹ thuật máy tính 06-K67</v>
      </c>
      <c r="F244" s="49"/>
      <c r="G244" s="1"/>
      <c r="H244" s="1"/>
      <c r="I244" s="1"/>
      <c r="J244" s="1"/>
      <c r="K244" s="1"/>
      <c r="L244" s="1"/>
      <c r="M244" s="1"/>
      <c r="N244" s="1"/>
      <c r="O244" s="1"/>
      <c r="P244" s="82"/>
      <c r="Q244" s="1"/>
      <c r="R244" s="1"/>
      <c r="S244" s="83"/>
      <c r="T244" s="1"/>
      <c r="U244" s="1"/>
      <c r="V244" s="1"/>
      <c r="W244" s="1"/>
      <c r="X244" s="1"/>
      <c r="Y244" s="1"/>
    </row>
    <row r="245">
      <c r="A245" s="49"/>
      <c r="B245" s="70" t="str">
        <f>IFERROR(VLOOKUP(C245, 'Tổng hợp thông tin sinh viên'!A:E, 2, 0), "")</f>
        <v>Vũ Tiến An Nguyên</v>
      </c>
      <c r="C245" s="31" t="s">
        <v>330</v>
      </c>
      <c r="D245" s="31" t="str">
        <f>IFERROR(VLOOKUP(C245, 'Tổng hợp thông tin sinh viên'!A:E, 3, 0), "")</f>
        <v>nguyen.vta225148@sis.hust.edu.vn</v>
      </c>
      <c r="E245" s="31" t="str">
        <f>IFERROR(VLOOKUP(C245, 'Tổng hợp thông tin sinh viên'!A:E, 5, 0), "")</f>
        <v>Kỹ thuật máy tính 06-K67</v>
      </c>
      <c r="F245" s="49"/>
      <c r="G245" s="1"/>
      <c r="H245" s="1"/>
      <c r="I245" s="1"/>
      <c r="J245" s="1"/>
      <c r="K245" s="1"/>
      <c r="L245" s="1"/>
      <c r="M245" s="1"/>
      <c r="N245" s="1"/>
      <c r="O245" s="1"/>
      <c r="P245" s="82"/>
      <c r="Q245" s="1"/>
      <c r="R245" s="1"/>
      <c r="S245" s="83"/>
      <c r="T245" s="1"/>
      <c r="U245" s="1"/>
      <c r="V245" s="1"/>
      <c r="W245" s="1"/>
      <c r="X245" s="1"/>
      <c r="Y245" s="1"/>
    </row>
    <row r="246">
      <c r="A246" s="49"/>
      <c r="B246" s="70" t="str">
        <f>IFERROR(VLOOKUP(C246, 'Tổng hợp thông tin sinh viên'!A:E, 2, 0), "")</f>
        <v>Vũ Hữu Tiến</v>
      </c>
      <c r="C246" s="31" t="s">
        <v>331</v>
      </c>
      <c r="D246" s="31" t="str">
        <f>IFERROR(VLOOKUP(C246, 'Tổng hợp thông tin sinh viên'!A:E, 3, 0), "")</f>
        <v>tien.vh225231@sis.hust.edu.vn</v>
      </c>
      <c r="E246" s="31" t="str">
        <f>IFERROR(VLOOKUP(C246, 'Tổng hợp thông tin sinh viên'!A:E, 5, 0), "")</f>
        <v>Kỹ thuật máy tính 06-K67</v>
      </c>
      <c r="F246" s="49"/>
      <c r="G246" s="1"/>
      <c r="H246" s="1"/>
      <c r="I246" s="1"/>
      <c r="J246" s="1"/>
      <c r="K246" s="1"/>
      <c r="L246" s="1"/>
      <c r="M246" s="1"/>
      <c r="N246" s="1"/>
      <c r="O246" s="1"/>
      <c r="P246" s="82"/>
      <c r="Q246" s="1"/>
      <c r="R246" s="1"/>
      <c r="S246" s="83"/>
      <c r="T246" s="1"/>
      <c r="U246" s="1"/>
      <c r="V246" s="1"/>
      <c r="W246" s="1"/>
      <c r="X246" s="1"/>
      <c r="Y246" s="1"/>
    </row>
    <row r="247">
      <c r="A247" s="49"/>
      <c r="B247" s="70" t="str">
        <f>IFERROR(VLOOKUP(C247, 'Tổng hợp thông tin sinh viên'!A:E, 2, 0), "")</f>
        <v>Nguyễn Trung Hiếu</v>
      </c>
      <c r="C247" s="31" t="s">
        <v>332</v>
      </c>
      <c r="D247" s="31" t="str">
        <f>IFERROR(VLOOKUP(C247, 'Tổng hợp thông tin sinh viên'!A:E, 3, 0), "")</f>
        <v>hieu.nt225188@sis.hust.edu.vn</v>
      </c>
      <c r="E247" s="31" t="str">
        <f>IFERROR(VLOOKUP(C247, 'Tổng hợp thông tin sinh viên'!A:E, 5, 0), "")</f>
        <v>Kỹ thuật máy tính 06-K67</v>
      </c>
      <c r="F247" s="49"/>
      <c r="G247" s="1"/>
      <c r="H247" s="1"/>
      <c r="I247" s="1"/>
      <c r="J247" s="1"/>
      <c r="K247" s="1"/>
      <c r="L247" s="1"/>
      <c r="M247" s="1"/>
      <c r="N247" s="1"/>
      <c r="O247" s="1"/>
      <c r="P247" s="82"/>
      <c r="Q247" s="1"/>
      <c r="R247" s="1"/>
      <c r="S247" s="83"/>
      <c r="T247" s="1"/>
      <c r="U247" s="1"/>
      <c r="V247" s="1"/>
      <c r="W247" s="1"/>
      <c r="X247" s="1"/>
      <c r="Y247" s="1"/>
    </row>
    <row r="248">
      <c r="A248" s="49"/>
      <c r="B248" s="70" t="str">
        <f>IFERROR(VLOOKUP(C248, 'Tổng hợp thông tin sinh viên'!A:E, 2, 0), "")</f>
        <v>Nguyễn Văn Hoàng</v>
      </c>
      <c r="C248" s="31" t="s">
        <v>333</v>
      </c>
      <c r="D248" s="31" t="str">
        <f>IFERROR(VLOOKUP(C248, 'Tổng hợp thông tin sinh viên'!A:E, 3, 0), "")</f>
        <v>hoang.nv225323@sis.hust.edu.vn</v>
      </c>
      <c r="E248" s="31" t="str">
        <f>IFERROR(VLOOKUP(C248, 'Tổng hợp thông tin sinh viên'!A:E, 5, 0), "")</f>
        <v>Kỹ thuật máy tính 06-K67</v>
      </c>
      <c r="F248" s="49"/>
      <c r="G248" s="1"/>
      <c r="H248" s="1"/>
      <c r="I248" s="1"/>
      <c r="J248" s="1"/>
      <c r="K248" s="1"/>
      <c r="L248" s="1"/>
      <c r="M248" s="1"/>
      <c r="N248" s="1"/>
      <c r="O248" s="1"/>
      <c r="P248" s="82"/>
      <c r="Q248" s="1"/>
      <c r="R248" s="1"/>
      <c r="S248" s="83"/>
      <c r="T248" s="1"/>
      <c r="U248" s="1"/>
      <c r="V248" s="1"/>
      <c r="W248" s="1"/>
      <c r="X248" s="1"/>
      <c r="Y248" s="1"/>
    </row>
    <row r="249">
      <c r="A249" s="49"/>
      <c r="B249" s="70" t="str">
        <f>IFERROR(VLOOKUP(C249, 'Tổng hợp thông tin sinh viên'!A:E, 2, 0), "")</f>
        <v>Vũ Đức Trung</v>
      </c>
      <c r="C249" s="31" t="s">
        <v>334</v>
      </c>
      <c r="D249" s="31" t="str">
        <f>IFERROR(VLOOKUP(C249, 'Tổng hợp thông tin sinh viên'!A:E, 3, 0), "")</f>
        <v>trung.vd225161@sis.hust.edu.vn</v>
      </c>
      <c r="E249" s="31" t="str">
        <f>IFERROR(VLOOKUP(C249, 'Tổng hợp thông tin sinh viên'!A:E, 5, 0), "")</f>
        <v>Kỹ thuật máy tính 06-K67</v>
      </c>
      <c r="F249" s="49"/>
      <c r="G249" s="1"/>
      <c r="H249" s="1"/>
      <c r="I249" s="1"/>
      <c r="J249" s="1"/>
      <c r="K249" s="1"/>
      <c r="L249" s="1"/>
      <c r="M249" s="1"/>
      <c r="N249" s="1"/>
      <c r="O249" s="1"/>
      <c r="P249" s="82"/>
      <c r="Q249" s="1"/>
      <c r="R249" s="1"/>
      <c r="S249" s="83"/>
      <c r="T249" s="1"/>
      <c r="U249" s="1"/>
      <c r="V249" s="1"/>
      <c r="W249" s="1"/>
      <c r="X249" s="1"/>
      <c r="Y249" s="1"/>
    </row>
    <row r="250">
      <c r="A250" s="49"/>
      <c r="B250" s="70" t="str">
        <f>IFERROR(VLOOKUP(C250, 'Tổng hợp thông tin sinh viên'!A:E, 2, 0), "")</f>
        <v>Nguyễn Chí Quân</v>
      </c>
      <c r="C250" s="31" t="s">
        <v>335</v>
      </c>
      <c r="D250" s="31" t="str">
        <f>IFERROR(VLOOKUP(C250, 'Tổng hợp thông tin sinh viên'!A:E, 3, 0), "")</f>
        <v>quan.nc225385@sis.hust.edu.vn</v>
      </c>
      <c r="E250" s="31" t="str">
        <f>IFERROR(VLOOKUP(C250, 'Tổng hợp thông tin sinh viên'!A:E, 5, 0), "")</f>
        <v>Kỹ thuật máy tính 06-K67</v>
      </c>
      <c r="F250" s="49"/>
      <c r="G250" s="1"/>
      <c r="H250" s="1"/>
      <c r="I250" s="1"/>
      <c r="J250" s="1"/>
      <c r="K250" s="1"/>
      <c r="L250" s="1"/>
      <c r="M250" s="1"/>
      <c r="N250" s="1"/>
      <c r="O250" s="1"/>
      <c r="P250" s="82"/>
      <c r="Q250" s="1"/>
      <c r="R250" s="1"/>
      <c r="S250" s="83"/>
      <c r="T250" s="1"/>
      <c r="U250" s="1"/>
      <c r="V250" s="1"/>
      <c r="W250" s="1"/>
      <c r="X250" s="1"/>
      <c r="Y250" s="1"/>
    </row>
    <row r="251">
      <c r="A251" s="52"/>
      <c r="B251" s="70" t="str">
        <f>IFERROR(VLOOKUP(C251, 'Tổng hợp thông tin sinh viên'!A:E, 2, 0), "")</f>
        <v>Nguyễn Vũ Thành</v>
      </c>
      <c r="C251" s="31" t="s">
        <v>336</v>
      </c>
      <c r="D251" s="31" t="str">
        <f>IFERROR(VLOOKUP(C251, 'Tổng hợp thông tin sinh viên'!A:E, 3, 0), "")</f>
        <v>thanh.nv225403@sis.hust.edu.vn</v>
      </c>
      <c r="E251" s="31" t="str">
        <f>IFERROR(VLOOKUP(C251, 'Tổng hợp thông tin sinh viên'!A:E, 5, 0), "")</f>
        <v>Kỹ thuật máy tính 06-K67</v>
      </c>
      <c r="F251" s="52"/>
      <c r="G251" s="1"/>
      <c r="H251" s="1"/>
      <c r="I251" s="1"/>
      <c r="J251" s="1"/>
      <c r="K251" s="1"/>
      <c r="L251" s="1"/>
      <c r="M251" s="1"/>
      <c r="N251" s="1"/>
      <c r="O251" s="1"/>
      <c r="P251" s="82"/>
      <c r="Q251" s="1"/>
      <c r="R251" s="1"/>
      <c r="S251" s="83"/>
      <c r="T251" s="1"/>
      <c r="U251" s="1"/>
      <c r="V251" s="1"/>
      <c r="W251" s="1"/>
      <c r="X251" s="1"/>
      <c r="Y251" s="1"/>
    </row>
    <row r="252">
      <c r="A252" s="77">
        <v>30.0</v>
      </c>
      <c r="B252" s="78" t="str">
        <f>IFERROR(VLOOKUP(C252, 'Tổng hợp thông tin sinh viên'!A:E, 2, 0), "")</f>
        <v>Nguyễn Xuân Thành</v>
      </c>
      <c r="C252" s="79" t="s">
        <v>337</v>
      </c>
      <c r="D252" s="27" t="str">
        <f>IFERROR(VLOOKUP(C252, 'Tổng hợp thông tin sinh viên'!A:E, 3, 0), "")</f>
        <v>thanh.nx225460@sis.hust.edu.vn</v>
      </c>
      <c r="E252" s="27" t="str">
        <f>IFERROR(VLOOKUP(C252, 'Tổng hợp thông tin sinh viên'!A:E, 5, 0), "")</f>
        <v>CTTT Data Science &amp; AI 02-K67</v>
      </c>
      <c r="F252" s="71" t="str">
        <f>IF(COUNTBLANK(C252:C261) = 0, "Đủ", "Thiếu: " &amp; COUNTBLANK(C252:C261))</f>
        <v>Đủ</v>
      </c>
      <c r="G252" s="1"/>
      <c r="H252" s="1"/>
      <c r="I252" s="1"/>
      <c r="J252" s="1"/>
      <c r="K252" s="1"/>
      <c r="L252" s="1"/>
      <c r="M252" s="1"/>
      <c r="N252" s="1"/>
      <c r="O252" s="1"/>
      <c r="P252" s="82"/>
      <c r="Q252" s="1"/>
      <c r="R252" s="1"/>
      <c r="S252" s="83"/>
      <c r="T252" s="1"/>
      <c r="U252" s="1"/>
      <c r="V252" s="1"/>
      <c r="W252" s="1"/>
      <c r="X252" s="1"/>
      <c r="Y252" s="1"/>
    </row>
    <row r="253">
      <c r="A253" s="49"/>
      <c r="B253" s="78" t="str">
        <f>IFERROR(VLOOKUP(C253, 'Tổng hợp thông tin sinh viên'!A:E, 2, 0), "")</f>
        <v>Nguyễn Trí Thanh</v>
      </c>
      <c r="C253" s="27" t="s">
        <v>338</v>
      </c>
      <c r="D253" s="27" t="str">
        <f>IFERROR(VLOOKUP(C253, 'Tổng hợp thông tin sinh viên'!A:E, 3, 0), "")</f>
        <v>thanh.nt225457@sis.hust.edu.vn</v>
      </c>
      <c r="E253" s="27" t="str">
        <f>IFERROR(VLOOKUP(C253, 'Tổng hợp thông tin sinh viên'!A:E, 5, 0), "")</f>
        <v>CTTT Data Science &amp; AI 02-K67</v>
      </c>
      <c r="F253" s="49"/>
      <c r="G253" s="1"/>
      <c r="H253" s="1"/>
      <c r="I253" s="1"/>
      <c r="J253" s="1"/>
      <c r="K253" s="1"/>
      <c r="L253" s="1"/>
      <c r="M253" s="1"/>
      <c r="N253" s="1"/>
      <c r="O253" s="1"/>
      <c r="P253" s="82"/>
      <c r="Q253" s="1"/>
      <c r="R253" s="1"/>
      <c r="S253" s="83"/>
      <c r="T253" s="1"/>
      <c r="U253" s="1"/>
      <c r="V253" s="1"/>
      <c r="W253" s="1"/>
      <c r="X253" s="1"/>
      <c r="Y253" s="1"/>
    </row>
    <row r="254">
      <c r="A254" s="49"/>
      <c r="B254" s="78" t="str">
        <f>IFERROR(VLOOKUP(C254, 'Tổng hợp thông tin sinh viên'!A:E, 2, 0), "")</f>
        <v>Nguyễn Hoàng Sơn</v>
      </c>
      <c r="C254" s="27" t="s">
        <v>339</v>
      </c>
      <c r="D254" s="27" t="str">
        <f>IFERROR(VLOOKUP(C254, 'Tổng hợp thông tin sinh viên'!A:E, 3, 0), "")</f>
        <v>son.nh225525@sis.hust.edu.vn</v>
      </c>
      <c r="E254" s="27" t="str">
        <f>IFERROR(VLOOKUP(C254, 'Tổng hợp thông tin sinh viên'!A:E, 5, 0), "")</f>
        <v>CTTT Data Science &amp; AI 01-K67</v>
      </c>
      <c r="F254" s="49"/>
      <c r="G254" s="1"/>
      <c r="H254" s="1"/>
      <c r="I254" s="1"/>
      <c r="J254" s="1"/>
      <c r="K254" s="1"/>
      <c r="L254" s="1"/>
      <c r="M254" s="1"/>
      <c r="N254" s="1"/>
      <c r="O254" s="1"/>
      <c r="P254" s="82"/>
      <c r="Q254" s="1"/>
      <c r="R254" s="1"/>
      <c r="S254" s="83"/>
      <c r="T254" s="1"/>
      <c r="U254" s="1"/>
      <c r="V254" s="1"/>
      <c r="W254" s="1"/>
      <c r="X254" s="1"/>
      <c r="Y254" s="1"/>
    </row>
    <row r="255">
      <c r="A255" s="49"/>
      <c r="B255" s="78" t="str">
        <f>IFERROR(VLOOKUP(C255, 'Tổng hợp thông tin sinh viên'!A:E, 2, 0), "")</f>
        <v>Phan Trần Việt Bách</v>
      </c>
      <c r="C255" s="27" t="s">
        <v>340</v>
      </c>
      <c r="D255" s="27" t="str">
        <f>IFERROR(VLOOKUP(C255, 'Tổng hợp thông tin sinh viên'!A:E, 3, 0), "")</f>
        <v>bach.ptv225435@sis.hust.edu.vn</v>
      </c>
      <c r="E255" s="27" t="str">
        <f>IFERROR(VLOOKUP(C255, 'Tổng hợp thông tin sinh viên'!A:E, 5, 0), "")</f>
        <v>CTTT Data Science &amp; AI 03-K67</v>
      </c>
      <c r="F255" s="49"/>
      <c r="G255" s="1"/>
      <c r="H255" s="1"/>
      <c r="I255" s="1"/>
      <c r="J255" s="1"/>
      <c r="K255" s="1"/>
      <c r="L255" s="1"/>
      <c r="M255" s="1"/>
      <c r="N255" s="1"/>
      <c r="O255" s="1"/>
      <c r="P255" s="82"/>
      <c r="Q255" s="1"/>
      <c r="R255" s="1"/>
      <c r="S255" s="83"/>
      <c r="T255" s="1"/>
      <c r="U255" s="1"/>
      <c r="V255" s="1"/>
      <c r="W255" s="1"/>
      <c r="X255" s="1"/>
      <c r="Y255" s="1"/>
    </row>
    <row r="256">
      <c r="A256" s="49"/>
      <c r="B256" s="78" t="str">
        <f>IFERROR(VLOOKUP(C256, 'Tổng hợp thông tin sinh viên'!A:E, 2, 0), "")</f>
        <v>Nguyễn Hoàng Nam</v>
      </c>
      <c r="C256" s="27" t="s">
        <v>341</v>
      </c>
      <c r="D256" s="27" t="str">
        <f>IFERROR(VLOOKUP(C256, 'Tổng hợp thông tin sinh viên'!A:E, 3, 0), "")</f>
        <v>nam.nh225213@sis.hust.edu.vn</v>
      </c>
      <c r="E256" s="27" t="str">
        <f>IFERROR(VLOOKUP(C256, 'Tổng hợp thông tin sinh viên'!A:E, 5, 0), "")</f>
        <v>Kỹ thuật máy tính 02-K67</v>
      </c>
      <c r="F256" s="49"/>
      <c r="G256" s="1"/>
      <c r="H256" s="1"/>
      <c r="I256" s="1"/>
      <c r="J256" s="1"/>
      <c r="K256" s="1"/>
      <c r="L256" s="1"/>
      <c r="M256" s="1"/>
      <c r="N256" s="1"/>
      <c r="O256" s="1"/>
      <c r="P256" s="82"/>
      <c r="Q256" s="1"/>
      <c r="R256" s="1"/>
      <c r="S256" s="83"/>
      <c r="T256" s="1"/>
      <c r="U256" s="1"/>
      <c r="V256" s="1"/>
      <c r="W256" s="1"/>
      <c r="X256" s="1"/>
      <c r="Y256" s="1"/>
    </row>
    <row r="257">
      <c r="A257" s="49"/>
      <c r="B257" s="78" t="str">
        <f>IFERROR(VLOOKUP(C257, 'Tổng hợp thông tin sinh viên'!A:E, 2, 0), "")</f>
        <v>Nguyễn Đức Long</v>
      </c>
      <c r="C257" s="27" t="s">
        <v>342</v>
      </c>
      <c r="D257" s="27" t="str">
        <f>IFERROR(VLOOKUP(C257, 'Tổng hợp thông tin sinh viên'!A:E, 3, 0), "")</f>
        <v>long.nd225036@sis.hust.edu.vn</v>
      </c>
      <c r="E257" s="27" t="str">
        <f>IFERROR(VLOOKUP(C257, 'Tổng hợp thông tin sinh viên'!A:E, 5, 0), "")</f>
        <v>Khoa học máy tính 06-K67</v>
      </c>
      <c r="F257" s="49"/>
      <c r="G257" s="1"/>
      <c r="H257" s="1"/>
      <c r="I257" s="1"/>
      <c r="J257" s="1"/>
      <c r="K257" s="1"/>
      <c r="L257" s="1"/>
      <c r="M257" s="1"/>
      <c r="N257" s="1"/>
      <c r="O257" s="1"/>
      <c r="P257" s="82"/>
      <c r="Q257" s="1"/>
      <c r="R257" s="1"/>
      <c r="S257" s="83"/>
      <c r="T257" s="1"/>
      <c r="U257" s="1"/>
      <c r="V257" s="1"/>
      <c r="W257" s="1"/>
      <c r="X257" s="1"/>
      <c r="Y257" s="1"/>
    </row>
    <row r="258">
      <c r="A258" s="49"/>
      <c r="B258" s="78" t="str">
        <f>IFERROR(VLOOKUP(C258, 'Tổng hợp thông tin sinh viên'!A:E, 2, 0), "")</f>
        <v>Trần Hoàng Nhật Minh</v>
      </c>
      <c r="C258" s="27" t="s">
        <v>343</v>
      </c>
      <c r="D258" s="27" t="str">
        <f>IFERROR(VLOOKUP(C258, 'Tổng hợp thông tin sinh viên'!A:E, 3, 0), "")</f>
        <v>minh.thn225366@sis.hust.edu.vn</v>
      </c>
      <c r="E258" s="27" t="str">
        <f>IFERROR(VLOOKUP(C258, 'Tổng hợp thông tin sinh viên'!A:E, 5, 0), "")</f>
        <v>Kỹ thuật máy tính 06-K67</v>
      </c>
      <c r="F258" s="49"/>
      <c r="G258" s="1"/>
      <c r="H258" s="1"/>
      <c r="I258" s="1"/>
      <c r="J258" s="1"/>
      <c r="K258" s="1"/>
      <c r="L258" s="1"/>
      <c r="M258" s="1"/>
      <c r="N258" s="1"/>
      <c r="O258" s="1"/>
      <c r="P258" s="82"/>
      <c r="Q258" s="1"/>
      <c r="R258" s="1"/>
      <c r="S258" s="83"/>
      <c r="T258" s="1"/>
      <c r="U258" s="1"/>
      <c r="V258" s="1"/>
      <c r="W258" s="1"/>
      <c r="X258" s="1"/>
      <c r="Y258" s="1"/>
    </row>
    <row r="259">
      <c r="A259" s="49"/>
      <c r="B259" s="78" t="str">
        <f>IFERROR(VLOOKUP(C259, 'Tổng hợp thông tin sinh viên'!A:E, 2, 0), "")</f>
        <v>Nguyễn Thị Tú Quyên</v>
      </c>
      <c r="C259" s="79" t="s">
        <v>344</v>
      </c>
      <c r="D259" s="27" t="str">
        <f>IFERROR(VLOOKUP(C259, 'Tổng hợp thông tin sinh viên'!A:E, 3, 0), "")</f>
        <v>quyen.ntt225223@sis.hust.edu.vn</v>
      </c>
      <c r="E259" s="27" t="str">
        <f>IFERROR(VLOOKUP(C259, 'Tổng hợp thông tin sinh viên'!A:E, 5, 0), "")</f>
        <v>Kỹ thuật máy tính 07-K67</v>
      </c>
      <c r="F259" s="49"/>
      <c r="G259" s="1"/>
      <c r="H259" s="1"/>
      <c r="I259" s="1"/>
      <c r="J259" s="1"/>
      <c r="K259" s="1"/>
      <c r="L259" s="1"/>
      <c r="M259" s="1"/>
      <c r="N259" s="1"/>
      <c r="O259" s="1"/>
      <c r="P259" s="82"/>
      <c r="Q259" s="1"/>
      <c r="R259" s="1"/>
      <c r="S259" s="83"/>
      <c r="T259" s="1"/>
      <c r="U259" s="1"/>
      <c r="V259" s="1"/>
      <c r="W259" s="1"/>
      <c r="X259" s="1"/>
      <c r="Y259" s="1"/>
    </row>
    <row r="260">
      <c r="A260" s="49"/>
      <c r="B260" s="78" t="str">
        <f>IFERROR(VLOOKUP(C260, 'Tổng hợp thông tin sinh viên'!A:E, 2, 0), "")</f>
        <v>Phạm Đặng Mai Hương</v>
      </c>
      <c r="C260" s="27" t="s">
        <v>345</v>
      </c>
      <c r="D260" s="27" t="str">
        <f>IFERROR(VLOOKUP(C260, 'Tổng hợp thông tin sinh viên'!A:E, 3, 0), "")</f>
        <v>huong.pdm225134@sis.hust.edu.vn</v>
      </c>
      <c r="E260" s="27" t="str">
        <f>IFERROR(VLOOKUP(C260, 'Tổng hợp thông tin sinh viên'!A:E, 5, 0), "")</f>
        <v>Kỹ thuật máy tính 07-K67</v>
      </c>
      <c r="F260" s="49"/>
      <c r="G260" s="1"/>
      <c r="H260" s="1"/>
      <c r="I260" s="1"/>
      <c r="J260" s="1"/>
      <c r="K260" s="1"/>
      <c r="L260" s="1"/>
      <c r="M260" s="1"/>
      <c r="N260" s="1"/>
      <c r="O260" s="1"/>
      <c r="P260" s="82"/>
      <c r="Q260" s="1"/>
      <c r="R260" s="1"/>
      <c r="S260" s="83"/>
      <c r="T260" s="1"/>
      <c r="U260" s="1"/>
      <c r="V260" s="1"/>
      <c r="W260" s="1"/>
      <c r="X260" s="1"/>
      <c r="Y260" s="1"/>
    </row>
    <row r="261">
      <c r="A261" s="52"/>
      <c r="B261" s="78" t="str">
        <f>IFERROR(VLOOKUP(C261, 'Tổng hợp thông tin sinh viên'!A:E, 2, 0), "")</f>
        <v>Trần Thị Hồng Thơm</v>
      </c>
      <c r="C261" s="27" t="s">
        <v>346</v>
      </c>
      <c r="D261" s="27" t="str">
        <f>IFERROR(VLOOKUP(C261, 'Tổng hợp thông tin sinh viên'!A:E, 3, 0), "")</f>
        <v>thom.tth225410@sis.hust.edu.vn</v>
      </c>
      <c r="E261" s="27" t="str">
        <f>IFERROR(VLOOKUP(C261, 'Tổng hợp thông tin sinh viên'!A:E, 5, 0), "")</f>
        <v>Kỹ thuật máy tính 07-K67</v>
      </c>
      <c r="F261" s="52"/>
      <c r="G261" s="1"/>
      <c r="H261" s="1"/>
      <c r="I261" s="1"/>
      <c r="J261" s="1"/>
      <c r="K261" s="1"/>
      <c r="L261" s="1"/>
      <c r="M261" s="1"/>
      <c r="N261" s="1"/>
      <c r="O261" s="1"/>
      <c r="P261" s="82"/>
      <c r="Q261" s="1"/>
      <c r="R261" s="1"/>
      <c r="S261" s="83"/>
      <c r="T261" s="1"/>
      <c r="U261" s="1"/>
      <c r="V261" s="1"/>
      <c r="W261" s="1"/>
      <c r="X261" s="1"/>
      <c r="Y261" s="1"/>
    </row>
    <row r="262">
      <c r="A262" s="69">
        <v>31.0</v>
      </c>
      <c r="B262" s="70" t="str">
        <f>IFERROR(VLOOKUP(C262, 'Tổng hợp thông tin sinh viên'!A:E, 2, 0), "")</f>
        <v>Ong Xuân Sơn</v>
      </c>
      <c r="C262" s="31" t="s">
        <v>347</v>
      </c>
      <c r="D262" s="31" t="str">
        <f>IFERROR(VLOOKUP(C262, 'Tổng hợp thông tin sinh viên'!A:E, 3, 0), "")</f>
        <v>son.ox224897@sis.hust.edu.vn</v>
      </c>
      <c r="E262" s="31" t="str">
        <f>IFERROR(VLOOKUP(C262, 'Tổng hợp thông tin sinh viên'!A:E, 5, 0), "")</f>
        <v>Khoa học máy tính 03-K67</v>
      </c>
      <c r="F262" s="71" t="str">
        <f>IF(COUNTBLANK(C262:C271) = 0, "Đủ", "Thiếu: " &amp; COUNTBLANK(C262:C271))</f>
        <v>Thiếu: 1</v>
      </c>
      <c r="G262" s="1"/>
      <c r="H262" s="1"/>
      <c r="I262" s="1"/>
      <c r="J262" s="1"/>
      <c r="K262" s="1"/>
      <c r="L262" s="1"/>
      <c r="M262" s="1"/>
      <c r="N262" s="1"/>
      <c r="O262" s="1"/>
      <c r="P262" s="82"/>
      <c r="Q262" s="1"/>
      <c r="R262" s="1"/>
      <c r="S262" s="83"/>
      <c r="T262" s="1"/>
      <c r="U262" s="1"/>
      <c r="V262" s="1"/>
      <c r="W262" s="1"/>
      <c r="X262" s="1"/>
      <c r="Y262" s="1"/>
    </row>
    <row r="263">
      <c r="A263" s="49"/>
      <c r="B263" s="70" t="str">
        <f>IFERROR(VLOOKUP(C263, 'Tổng hợp thông tin sinh viên'!A:E, 2, 0), "")</f>
        <v>Nguyễn Đức Danh</v>
      </c>
      <c r="C263" s="31" t="s">
        <v>348</v>
      </c>
      <c r="D263" s="31" t="str">
        <f>IFERROR(VLOOKUP(C263, 'Tổng hợp thông tin sinh viên'!A:E, 3, 0), "")</f>
        <v>danh.nd224947@sis.hust.edu.vn</v>
      </c>
      <c r="E263" s="31" t="str">
        <f>IFERROR(VLOOKUP(C263, 'Tổng hợp thông tin sinh viên'!A:E, 5, 0), "")</f>
        <v>Khoa học máy tính 03-K67</v>
      </c>
      <c r="F263" s="49"/>
      <c r="G263" s="1"/>
      <c r="H263" s="1"/>
      <c r="I263" s="1"/>
      <c r="J263" s="1"/>
      <c r="K263" s="1"/>
      <c r="L263" s="1"/>
      <c r="M263" s="1"/>
      <c r="N263" s="1"/>
      <c r="O263" s="1"/>
      <c r="P263" s="82"/>
      <c r="Q263" s="1"/>
      <c r="R263" s="1"/>
      <c r="S263" s="83"/>
      <c r="T263" s="1"/>
      <c r="U263" s="1"/>
      <c r="V263" s="1"/>
      <c r="W263" s="1"/>
      <c r="X263" s="1"/>
      <c r="Y263" s="1"/>
    </row>
    <row r="264">
      <c r="A264" s="49"/>
      <c r="B264" s="70" t="str">
        <f>IFERROR(VLOOKUP(C264, 'Tổng hợp thông tin sinh viên'!A:E, 2, 0), "")</f>
        <v>Đỗ Đức Long</v>
      </c>
      <c r="C264" s="31" t="s">
        <v>349</v>
      </c>
      <c r="D264" s="31" t="str">
        <f>IFERROR(VLOOKUP(C264, 'Tổng hợp thông tin sinh viên'!A:E, 3, 0), "")</f>
        <v>long.dd225034@sis.hust.edu.vn</v>
      </c>
      <c r="E264" s="31" t="str">
        <f>IFERROR(VLOOKUP(C264, 'Tổng hợp thông tin sinh viên'!A:E, 5, 0), "")</f>
        <v>Khoa học máy tính 03-K67</v>
      </c>
      <c r="F264" s="49"/>
      <c r="G264" s="1"/>
      <c r="H264" s="1"/>
      <c r="I264" s="1"/>
      <c r="J264" s="1"/>
      <c r="K264" s="1"/>
      <c r="L264" s="1"/>
      <c r="M264" s="1"/>
      <c r="N264" s="1"/>
      <c r="O264" s="1"/>
      <c r="P264" s="82"/>
      <c r="Q264" s="1"/>
      <c r="R264" s="1"/>
      <c r="S264" s="83"/>
      <c r="T264" s="1"/>
      <c r="U264" s="1"/>
      <c r="V264" s="1"/>
      <c r="W264" s="1"/>
      <c r="X264" s="1"/>
      <c r="Y264" s="1"/>
    </row>
    <row r="265">
      <c r="A265" s="49"/>
      <c r="B265" s="70" t="str">
        <f>IFERROR(VLOOKUP(C265, 'Tổng hợp thông tin sinh viên'!A:E, 2, 0), "")</f>
        <v>Bùi Vũ Đức Nghĩa</v>
      </c>
      <c r="C265" s="31" t="s">
        <v>350</v>
      </c>
      <c r="D265" s="31" t="str">
        <f>IFERROR(VLOOKUP(C265, 'Tổng hợp thông tin sinh viên'!A:E, 3, 0), "")</f>
        <v>nghia.bvd224883@sis.hust.edu.vn</v>
      </c>
      <c r="E265" s="31" t="str">
        <f>IFERROR(VLOOKUP(C265, 'Tổng hợp thông tin sinh viên'!A:E, 5, 0), "")</f>
        <v>Khoa học máy tính 03-K67</v>
      </c>
      <c r="F265" s="49"/>
      <c r="G265" s="1"/>
      <c r="H265" s="1"/>
      <c r="I265" s="1"/>
      <c r="J265" s="1"/>
      <c r="K265" s="1"/>
      <c r="L265" s="1"/>
      <c r="M265" s="1"/>
      <c r="N265" s="1"/>
      <c r="O265" s="1"/>
      <c r="P265" s="82"/>
      <c r="Q265" s="1"/>
      <c r="R265" s="1"/>
      <c r="S265" s="83"/>
      <c r="T265" s="1"/>
      <c r="U265" s="1"/>
      <c r="V265" s="1"/>
      <c r="W265" s="1"/>
      <c r="X265" s="1"/>
      <c r="Y265" s="1"/>
    </row>
    <row r="266">
      <c r="A266" s="49"/>
      <c r="B266" s="70" t="str">
        <f>IFERROR(VLOOKUP(C266, 'Tổng hợp thông tin sinh viên'!A:E, 2, 0), "")</f>
        <v>Nguyễn Duy Dũng</v>
      </c>
      <c r="C266" s="31" t="s">
        <v>351</v>
      </c>
      <c r="D266" s="31" t="str">
        <f>IFERROR(VLOOKUP(C266, 'Tổng hợp thông tin sinh viên'!A:E, 3, 0), "")</f>
        <v>dung.nd224961@sis.hust.edu.vn</v>
      </c>
      <c r="E266" s="31" t="str">
        <f>IFERROR(VLOOKUP(C266, 'Tổng hợp thông tin sinh viên'!A:E, 5, 0), "")</f>
        <v>Khoa học máy tính 03-K67</v>
      </c>
      <c r="F266" s="49"/>
      <c r="G266" s="1"/>
      <c r="H266" s="1"/>
      <c r="I266" s="1"/>
      <c r="J266" s="1"/>
      <c r="K266" s="1"/>
      <c r="L266" s="1"/>
      <c r="M266" s="1"/>
      <c r="N266" s="1"/>
      <c r="O266" s="1"/>
      <c r="P266" s="82"/>
      <c r="Q266" s="1"/>
      <c r="R266" s="1"/>
      <c r="S266" s="83"/>
      <c r="T266" s="1"/>
      <c r="U266" s="1"/>
      <c r="V266" s="1"/>
      <c r="W266" s="1"/>
      <c r="X266" s="1"/>
      <c r="Y266" s="1"/>
    </row>
    <row r="267">
      <c r="A267" s="49"/>
      <c r="B267" s="70" t="str">
        <f>IFERROR(VLOOKUP(C267, 'Tổng hợp thông tin sinh viên'!A:E, 2, 0), "")</f>
        <v>Chu Thành Thông</v>
      </c>
      <c r="C267" s="31" t="s">
        <v>352</v>
      </c>
      <c r="D267" s="31" t="str">
        <f>IFERROR(VLOOKUP(C267, 'Tổng hợp thông tin sinh viên'!A:E, 3, 0), "")</f>
        <v>thong.ct225096@sis.hust.edu.vn</v>
      </c>
      <c r="E267" s="31" t="str">
        <f>IFERROR(VLOOKUP(C267, 'Tổng hợp thông tin sinh viên'!A:E, 5, 0), "")</f>
        <v>Khoa học máy tính 03-K67</v>
      </c>
      <c r="F267" s="49"/>
      <c r="G267" s="1"/>
      <c r="H267" s="1"/>
      <c r="I267" s="1"/>
      <c r="J267" s="1"/>
      <c r="K267" s="1"/>
      <c r="L267" s="1"/>
      <c r="M267" s="1"/>
      <c r="N267" s="1"/>
      <c r="O267" s="1"/>
      <c r="P267" s="82"/>
      <c r="Q267" s="1"/>
      <c r="R267" s="1"/>
      <c r="S267" s="83"/>
      <c r="T267" s="1"/>
      <c r="U267" s="1"/>
      <c r="V267" s="1"/>
      <c r="W267" s="1"/>
      <c r="X267" s="1"/>
      <c r="Y267" s="1"/>
    </row>
    <row r="268">
      <c r="A268" s="49"/>
      <c r="B268" s="70" t="str">
        <f>IFERROR(VLOOKUP(C268, 'Tổng hợp thông tin sinh viên'!A:E, 2, 0), "")</f>
        <v>Lê Phan Việt Cường</v>
      </c>
      <c r="C268" s="31" t="s">
        <v>353</v>
      </c>
      <c r="D268" s="31" t="str">
        <f>IFERROR(VLOOKUP(C268, 'Tổng hợp thông tin sinh viên'!A:E, 3, 0), "")</f>
        <v>cuong.lpv224829@sis.hust.edu.vn</v>
      </c>
      <c r="E268" s="31" t="str">
        <f>IFERROR(VLOOKUP(C268, 'Tổng hợp thông tin sinh viên'!A:E, 5, 0), "")</f>
        <v>Khoa học máy tính 03-K67</v>
      </c>
      <c r="F268" s="49"/>
      <c r="G268" s="1"/>
      <c r="H268" s="1"/>
      <c r="I268" s="1"/>
      <c r="J268" s="1"/>
      <c r="K268" s="1"/>
      <c r="L268" s="1"/>
      <c r="M268" s="1"/>
      <c r="N268" s="1"/>
      <c r="O268" s="1"/>
      <c r="P268" s="82"/>
      <c r="Q268" s="1"/>
      <c r="R268" s="1"/>
      <c r="S268" s="83"/>
      <c r="T268" s="1"/>
      <c r="U268" s="1"/>
      <c r="V268" s="1"/>
      <c r="W268" s="1"/>
      <c r="X268" s="1"/>
      <c r="Y268" s="1"/>
    </row>
    <row r="269">
      <c r="A269" s="49"/>
      <c r="B269" s="70" t="str">
        <f>IFERROR(VLOOKUP(C269, 'Tổng hợp thông tin sinh viên'!A:E, 2, 0), "")</f>
        <v>Trần Quang Minh</v>
      </c>
      <c r="C269" s="31" t="s">
        <v>354</v>
      </c>
      <c r="D269" s="31" t="str">
        <f>IFERROR(VLOOKUP(C269, 'Tổng hợp thông tin sinh viên'!A:E, 3, 0), "")</f>
        <v>minh.tq225047@sis.hust.edu.vn</v>
      </c>
      <c r="E269" s="31" t="str">
        <f>IFERROR(VLOOKUP(C269, 'Tổng hợp thông tin sinh viên'!A:E, 5, 0), "")</f>
        <v>Khoa học máy tính 03-K67</v>
      </c>
      <c r="F269" s="49"/>
      <c r="G269" s="1"/>
      <c r="H269" s="1"/>
      <c r="I269" s="1"/>
      <c r="J269" s="1"/>
      <c r="K269" s="1"/>
      <c r="L269" s="1"/>
      <c r="M269" s="1"/>
      <c r="N269" s="1"/>
      <c r="O269" s="1"/>
      <c r="P269" s="82"/>
      <c r="Q269" s="1"/>
      <c r="R269" s="1"/>
      <c r="S269" s="83"/>
      <c r="T269" s="1"/>
      <c r="U269" s="1"/>
      <c r="V269" s="1"/>
      <c r="W269" s="1"/>
      <c r="X269" s="1"/>
      <c r="Y269" s="1"/>
    </row>
    <row r="270">
      <c r="A270" s="49"/>
      <c r="B270" s="70" t="str">
        <f>IFERROR(VLOOKUP(C270, 'Tổng hợp thông tin sinh viên'!A:E, 2, 0), "")</f>
        <v/>
      </c>
      <c r="C270" s="31"/>
      <c r="D270" s="31" t="str">
        <f>IFERROR(VLOOKUP(C270, 'Tổng hợp thông tin sinh viên'!A:E, 3, 0), "")</f>
        <v/>
      </c>
      <c r="E270" s="31" t="str">
        <f>IFERROR(VLOOKUP(C270, 'Tổng hợp thông tin sinh viên'!A:E, 5, 0), "")</f>
        <v/>
      </c>
      <c r="F270" s="49"/>
      <c r="G270" s="1"/>
      <c r="H270" s="1"/>
      <c r="I270" s="1"/>
      <c r="J270" s="1"/>
      <c r="K270" s="1"/>
      <c r="L270" s="1"/>
      <c r="M270" s="1"/>
      <c r="N270" s="1"/>
      <c r="O270" s="1"/>
      <c r="P270" s="82"/>
      <c r="Q270" s="1"/>
      <c r="R270" s="1"/>
      <c r="S270" s="83"/>
      <c r="T270" s="1"/>
      <c r="U270" s="1"/>
      <c r="V270" s="1"/>
      <c r="W270" s="1"/>
      <c r="X270" s="1"/>
      <c r="Y270" s="1"/>
    </row>
    <row r="271">
      <c r="A271" s="52"/>
      <c r="B271" s="70" t="str">
        <f>IFERROR(VLOOKUP(C271, 'Tổng hợp thông tin sinh viên'!A:E, 2, 0), "")</f>
        <v>Phùng Hải Minh</v>
      </c>
      <c r="C271" s="31" t="s">
        <v>355</v>
      </c>
      <c r="D271" s="31" t="str">
        <f>IFERROR(VLOOKUP(C271, 'Tổng hợp thông tin sinh viên'!A:E, 3, 0), "")</f>
        <v>minh.ph225986@sis.hust.edu.vn</v>
      </c>
      <c r="E271" s="31" t="str">
        <f>IFERROR(VLOOKUP(C271, 'Tổng hợp thông tin sinh viên'!A:E, 5, 0), "")</f>
        <v>ICT 02-K67</v>
      </c>
      <c r="F271" s="52"/>
      <c r="G271" s="1"/>
      <c r="H271" s="1"/>
      <c r="I271" s="1"/>
      <c r="J271" s="1"/>
      <c r="K271" s="1"/>
      <c r="L271" s="1"/>
      <c r="M271" s="1"/>
      <c r="N271" s="1"/>
      <c r="O271" s="1"/>
      <c r="P271" s="82"/>
      <c r="Q271" s="1"/>
      <c r="R271" s="1"/>
      <c r="S271" s="83"/>
      <c r="T271" s="1"/>
      <c r="U271" s="1"/>
      <c r="V271" s="1"/>
      <c r="W271" s="1"/>
      <c r="X271" s="1"/>
      <c r="Y271" s="1"/>
    </row>
    <row r="272">
      <c r="A272" s="77">
        <v>32.0</v>
      </c>
      <c r="B272" s="78" t="str">
        <f>IFERROR(VLOOKUP(C272, 'Tổng hợp thông tin sinh viên'!A:E, 2, 0), "")</f>
        <v>Dương Đức Duy</v>
      </c>
      <c r="C272" s="79" t="s">
        <v>356</v>
      </c>
      <c r="D272" s="27" t="str">
        <f>IFERROR(VLOOKUP(C272, 'Tổng hợp thông tin sinh viên'!A:E, 3, 0), "")</f>
        <v/>
      </c>
      <c r="E272" s="27" t="str">
        <f>IFERROR(VLOOKUP(C272, 'Tổng hợp thông tin sinh viên'!A:E, 5, 0), "")</f>
        <v/>
      </c>
      <c r="F272" s="71" t="str">
        <f>IF(COUNTBLANK(C272:C281) = 0, "Đủ", "Thiếu: " &amp; COUNTBLANK(C272:C281))</f>
        <v>Đủ</v>
      </c>
      <c r="G272" s="1"/>
      <c r="H272" s="1"/>
      <c r="I272" s="1"/>
      <c r="J272" s="1"/>
      <c r="K272" s="1"/>
      <c r="L272" s="1"/>
      <c r="M272" s="1"/>
      <c r="N272" s="1"/>
      <c r="O272" s="1"/>
      <c r="P272" s="82"/>
      <c r="Q272" s="1"/>
      <c r="R272" s="1"/>
      <c r="S272" s="83"/>
      <c r="T272" s="1"/>
      <c r="U272" s="1"/>
      <c r="V272" s="1"/>
      <c r="W272" s="1"/>
      <c r="X272" s="1"/>
      <c r="Y272" s="1"/>
    </row>
    <row r="273">
      <c r="A273" s="49"/>
      <c r="B273" s="78" t="str">
        <f>IFERROR(VLOOKUP(C273, 'Tổng hợp thông tin sinh viên'!A:E, 2, 0), "")</f>
        <v>Nguyễn Đức Minh</v>
      </c>
      <c r="C273" s="27" t="s">
        <v>357</v>
      </c>
      <c r="D273" s="27" t="str">
        <f>IFERROR(VLOOKUP(C273, 'Tổng hợp thông tin sinh viên'!A:E, 3, 0), "")</f>
        <v/>
      </c>
      <c r="E273" s="27" t="str">
        <f>IFERROR(VLOOKUP(C273, 'Tổng hợp thông tin sinh viên'!A:E, 5, 0), "")</f>
        <v/>
      </c>
      <c r="F273" s="49"/>
      <c r="G273" s="1"/>
      <c r="H273" s="1"/>
      <c r="I273" s="1"/>
      <c r="J273" s="1"/>
      <c r="K273" s="1"/>
      <c r="L273" s="1"/>
      <c r="M273" s="1"/>
      <c r="N273" s="1"/>
      <c r="O273" s="1"/>
      <c r="P273" s="82"/>
      <c r="Q273" s="1"/>
      <c r="R273" s="1"/>
      <c r="S273" s="83"/>
      <c r="T273" s="1"/>
      <c r="U273" s="1"/>
      <c r="V273" s="1"/>
      <c r="W273" s="1"/>
      <c r="X273" s="1"/>
      <c r="Y273" s="1"/>
    </row>
    <row r="274">
      <c r="A274" s="49"/>
      <c r="B274" s="78" t="str">
        <f>IFERROR(VLOOKUP(C274, 'Tổng hợp thông tin sinh viên'!A:E, 2, 0), "")</f>
        <v>Vương Văn Đăng</v>
      </c>
      <c r="C274" s="27" t="s">
        <v>358</v>
      </c>
      <c r="D274" s="27" t="str">
        <f>IFERROR(VLOOKUP(C274, 'Tổng hợp thông tin sinh viên'!A:E, 3, 0), "")</f>
        <v>dang.vv225800@sis.hust.edu.vn</v>
      </c>
      <c r="E274" s="27" t="str">
        <f>IFERROR(VLOOKUP(C274, 'Tổng hợp thông tin sinh viên'!A:E, 5, 0), "")</f>
        <v>Việt Nhật 05-K67</v>
      </c>
      <c r="F274" s="49"/>
      <c r="G274" s="1"/>
      <c r="H274" s="1"/>
      <c r="I274" s="1"/>
      <c r="J274" s="1"/>
      <c r="K274" s="1"/>
      <c r="L274" s="1"/>
      <c r="M274" s="1"/>
      <c r="N274" s="1"/>
      <c r="O274" s="1"/>
      <c r="P274" s="82"/>
      <c r="Q274" s="1"/>
      <c r="R274" s="1"/>
      <c r="S274" s="83"/>
      <c r="T274" s="1"/>
      <c r="U274" s="1"/>
      <c r="V274" s="1"/>
      <c r="W274" s="1"/>
      <c r="X274" s="1"/>
      <c r="Y274" s="1"/>
    </row>
    <row r="275">
      <c r="A275" s="49"/>
      <c r="B275" s="78" t="str">
        <f>IFERROR(VLOOKUP(C275, 'Tổng hợp thông tin sinh viên'!A:E, 2, 0), "")</f>
        <v>Phan Gia Đô</v>
      </c>
      <c r="C275" s="27" t="s">
        <v>359</v>
      </c>
      <c r="D275" s="27" t="str">
        <f>IFERROR(VLOOKUP(C275, 'Tổng hợp thông tin sinh viên'!A:E, 3, 0), "")</f>
        <v>do.pg226026@sis.hust.edu.vn</v>
      </c>
      <c r="E275" s="27" t="str">
        <f>IFERROR(VLOOKUP(C275, 'Tổng hợp thông tin sinh viên'!A:E, 5, 0), "")</f>
        <v>ICT 01-K67</v>
      </c>
      <c r="F275" s="49"/>
      <c r="G275" s="1"/>
      <c r="H275" s="1"/>
      <c r="I275" s="1"/>
      <c r="J275" s="1"/>
      <c r="K275" s="1"/>
      <c r="L275" s="1"/>
      <c r="M275" s="1"/>
      <c r="N275" s="1"/>
      <c r="O275" s="1"/>
      <c r="P275" s="82"/>
      <c r="Q275" s="1"/>
      <c r="R275" s="1"/>
      <c r="S275" s="83"/>
      <c r="T275" s="1"/>
      <c r="U275" s="1"/>
      <c r="V275" s="1"/>
      <c r="W275" s="1"/>
      <c r="X275" s="1"/>
      <c r="Y275" s="1"/>
    </row>
    <row r="276">
      <c r="A276" s="49"/>
      <c r="B276" s="78" t="str">
        <f>IFERROR(VLOOKUP(C276, 'Tổng hợp thông tin sinh viên'!A:E, 2, 0), "")</f>
        <v>Nguyễn Công Đạt</v>
      </c>
      <c r="C276" s="27" t="s">
        <v>360</v>
      </c>
      <c r="D276" s="27" t="str">
        <f>IFERROR(VLOOKUP(C276, 'Tổng hợp thông tin sinh viên'!A:E, 3, 0), "")</f>
        <v>ncongdat06@gmail.com</v>
      </c>
      <c r="E276" s="27" t="str">
        <f>IFERROR(VLOOKUP(C276, 'Tổng hợp thông tin sinh viên'!A:E, 5, 0), "")</f>
        <v/>
      </c>
      <c r="F276" s="49"/>
      <c r="G276" s="1"/>
      <c r="H276" s="1"/>
      <c r="I276" s="1"/>
      <c r="J276" s="1"/>
      <c r="K276" s="1"/>
      <c r="L276" s="1"/>
      <c r="M276" s="1"/>
      <c r="N276" s="1"/>
      <c r="O276" s="1"/>
      <c r="P276" s="82"/>
      <c r="Q276" s="1"/>
      <c r="R276" s="1"/>
      <c r="S276" s="83"/>
      <c r="T276" s="1"/>
      <c r="U276" s="1"/>
      <c r="V276" s="1"/>
      <c r="W276" s="1"/>
      <c r="X276" s="1"/>
      <c r="Y276" s="1"/>
    </row>
    <row r="277">
      <c r="A277" s="49"/>
      <c r="B277" s="78" t="str">
        <f>IFERROR(VLOOKUP(C277, 'Tổng hợp thông tin sinh viên'!A:E, 2, 0), "")</f>
        <v>Nguyễn Trung Hiếu</v>
      </c>
      <c r="C277" s="27" t="s">
        <v>361</v>
      </c>
      <c r="D277" s="27" t="str">
        <f>IFERROR(VLOOKUP(C277, 'Tổng hợp thông tin sinh viên'!A:E, 3, 0), "")</f>
        <v>hieuhb4321@gmail.com</v>
      </c>
      <c r="E277" s="27" t="str">
        <f>IFERROR(VLOOKUP(C277, 'Tổng hợp thông tin sinh viên'!A:E, 5, 0), "")</f>
        <v/>
      </c>
      <c r="F277" s="49"/>
      <c r="G277" s="1"/>
      <c r="H277" s="1"/>
      <c r="I277" s="1"/>
      <c r="J277" s="1"/>
      <c r="K277" s="1"/>
      <c r="L277" s="1"/>
      <c r="M277" s="1"/>
      <c r="N277" s="1"/>
      <c r="O277" s="1"/>
      <c r="P277" s="82"/>
      <c r="Q277" s="1"/>
      <c r="R277" s="1"/>
      <c r="S277" s="83"/>
      <c r="T277" s="1"/>
      <c r="U277" s="1"/>
      <c r="V277" s="1"/>
      <c r="W277" s="1"/>
      <c r="X277" s="1"/>
      <c r="Y277" s="1"/>
    </row>
    <row r="278">
      <c r="A278" s="49"/>
      <c r="B278" s="78" t="str">
        <f>IFERROR(VLOOKUP(C278, 'Tổng hợp thông tin sinh viên'!A:E, 2, 0), "")</f>
        <v>Trần Gia Khánh</v>
      </c>
      <c r="C278" s="27" t="s">
        <v>362</v>
      </c>
      <c r="D278" s="27" t="str">
        <f>IFERROR(VLOOKUP(C278, 'Tổng hợp thông tin sinh viên'!A:E, 3, 0), "")</f>
        <v>khanh.tg226048@sis.hust.edu.vn</v>
      </c>
      <c r="E278" s="27" t="str">
        <f>IFERROR(VLOOKUP(C278, 'Tổng hợp thông tin sinh viên'!A:E, 5, 0), "")</f>
        <v>ICT 02-K67</v>
      </c>
      <c r="F278" s="49"/>
      <c r="G278" s="1"/>
      <c r="H278" s="1"/>
      <c r="I278" s="1"/>
      <c r="J278" s="1"/>
      <c r="K278" s="1"/>
      <c r="L278" s="1"/>
      <c r="M278" s="1"/>
      <c r="N278" s="1"/>
      <c r="O278" s="1"/>
      <c r="P278" s="82"/>
      <c r="Q278" s="1"/>
      <c r="R278" s="1"/>
      <c r="S278" s="83"/>
      <c r="T278" s="1"/>
      <c r="U278" s="1"/>
      <c r="V278" s="1"/>
      <c r="W278" s="1"/>
      <c r="X278" s="1"/>
      <c r="Y278" s="1"/>
    </row>
    <row r="279">
      <c r="A279" s="49"/>
      <c r="B279" s="78" t="str">
        <f>IFERROR(VLOOKUP(C279, 'Tổng hợp thông tin sinh viên'!A:E, 2, 0), "")</f>
        <v>Lê Văn Hậu</v>
      </c>
      <c r="C279" s="27" t="s">
        <v>363</v>
      </c>
      <c r="D279" s="27" t="str">
        <f>IFERROR(VLOOKUP(C279, 'Tổng hợp thông tin sinh viên'!A:E, 3, 0), "")</f>
        <v>hau.lv226038@sis.hust.edu.vn</v>
      </c>
      <c r="E279" s="27" t="str">
        <f>IFERROR(VLOOKUP(C279, 'Tổng hợp thông tin sinh viên'!A:E, 5, 0), "")</f>
        <v>ICT 02-K67</v>
      </c>
      <c r="F279" s="49"/>
      <c r="G279" s="1"/>
      <c r="H279" s="1"/>
      <c r="I279" s="1"/>
      <c r="J279" s="1"/>
      <c r="K279" s="1"/>
      <c r="L279" s="1"/>
      <c r="M279" s="1"/>
      <c r="N279" s="1"/>
      <c r="O279" s="1"/>
      <c r="P279" s="82"/>
      <c r="Q279" s="1"/>
      <c r="R279" s="1"/>
      <c r="S279" s="83"/>
      <c r="T279" s="1"/>
      <c r="U279" s="1"/>
      <c r="V279" s="1"/>
      <c r="W279" s="1"/>
      <c r="X279" s="1"/>
      <c r="Y279" s="1"/>
    </row>
    <row r="280">
      <c r="A280" s="49"/>
      <c r="B280" s="78" t="str">
        <f>IFERROR(VLOOKUP(C280, 'Tổng hợp thông tin sinh viên'!A:E, 2, 0), "")</f>
        <v>Phạm Duy Hoàng</v>
      </c>
      <c r="C280" s="27" t="s">
        <v>364</v>
      </c>
      <c r="D280" s="27" t="str">
        <f>IFERROR(VLOOKUP(C280, 'Tổng hợp thông tin sinh viên'!A:E, 3, 0), "")</f>
        <v>hoang.pd226042@sis.hust.edu.vn</v>
      </c>
      <c r="E280" s="27" t="str">
        <f>IFERROR(VLOOKUP(C280, 'Tổng hợp thông tin sinh viên'!A:E, 5, 0), "")</f>
        <v>ICT 02-K67</v>
      </c>
      <c r="F280" s="49"/>
      <c r="G280" s="1"/>
      <c r="H280" s="1"/>
      <c r="I280" s="1"/>
      <c r="J280" s="1"/>
      <c r="K280" s="1"/>
      <c r="L280" s="1"/>
      <c r="M280" s="1"/>
      <c r="N280" s="1"/>
      <c r="O280" s="1"/>
      <c r="P280" s="82"/>
      <c r="Q280" s="1"/>
      <c r="R280" s="1"/>
      <c r="S280" s="83"/>
      <c r="T280" s="1"/>
      <c r="U280" s="1"/>
      <c r="V280" s="1"/>
      <c r="W280" s="1"/>
      <c r="X280" s="1"/>
      <c r="Y280" s="1"/>
    </row>
    <row r="281">
      <c r="A281" s="52"/>
      <c r="B281" s="78" t="str">
        <f>IFERROR(VLOOKUP(C281, 'Tổng hợp thông tin sinh viên'!A:E, 2, 0), "")</f>
        <v>Trần Khởi Nguyên</v>
      </c>
      <c r="C281" s="27" t="s">
        <v>365</v>
      </c>
      <c r="D281" s="27" t="str">
        <f>IFERROR(VLOOKUP(C281, 'Tổng hợp thông tin sinh viên'!A:E, 3, 0), "")</f>
        <v>nguyen.tk225453@sis.hust.edu.vn</v>
      </c>
      <c r="E281" s="27" t="str">
        <f>IFERROR(VLOOKUP(C281, 'Tổng hợp thông tin sinh viên'!A:E, 5, 0), "")</f>
        <v>CTTT Data Science &amp; AI 03-K67</v>
      </c>
      <c r="F281" s="52"/>
      <c r="G281" s="1"/>
      <c r="H281" s="1"/>
      <c r="I281" s="1"/>
      <c r="J281" s="1"/>
      <c r="K281" s="1"/>
      <c r="L281" s="1"/>
      <c r="M281" s="1"/>
      <c r="N281" s="1"/>
      <c r="O281" s="1"/>
      <c r="P281" s="82"/>
      <c r="Q281" s="1"/>
      <c r="R281" s="1"/>
      <c r="S281" s="83"/>
      <c r="T281" s="1"/>
      <c r="U281" s="1"/>
      <c r="V281" s="1"/>
      <c r="W281" s="1"/>
      <c r="X281" s="1"/>
      <c r="Y281" s="1"/>
    </row>
    <row r="282">
      <c r="A282" s="69">
        <v>33.0</v>
      </c>
      <c r="B282" s="70" t="str">
        <f>IFERROR(VLOOKUP(C282, 'Tổng hợp thông tin sinh viên'!A:E, 2, 0), "")</f>
        <v>Võ Tá TuấN</v>
      </c>
      <c r="C282" s="31" t="s">
        <v>366</v>
      </c>
      <c r="D282" s="31" t="str">
        <f>IFERROR(VLOOKUP(C282, 'Tổng hợp thông tin sinh viên'!A:E, 3, 0), "")</f>
        <v>tuan.vt224904@sis.hust.edu.vn</v>
      </c>
      <c r="E282" s="31" t="str">
        <f>IFERROR(VLOOKUP(C282, 'Tổng hợp thông tin sinh viên'!A:E, 5, 0), "")</f>
        <v>Khoa học máy tính 04-K67</v>
      </c>
      <c r="F282" s="71" t="str">
        <f>IF(COUNTBLANK(C282:C291) = 0, "Đủ", "Thiếu: " &amp; COUNTBLANK(C282:C291))</f>
        <v>Đủ</v>
      </c>
      <c r="G282" s="1"/>
      <c r="H282" s="1"/>
      <c r="I282" s="1"/>
      <c r="J282" s="1"/>
      <c r="K282" s="1"/>
      <c r="L282" s="1"/>
      <c r="M282" s="1"/>
      <c r="N282" s="1"/>
      <c r="O282" s="1"/>
      <c r="P282" s="82"/>
      <c r="Q282" s="1"/>
      <c r="R282" s="1"/>
      <c r="S282" s="83"/>
      <c r="T282" s="1"/>
      <c r="U282" s="1"/>
      <c r="V282" s="1"/>
      <c r="W282" s="1"/>
      <c r="X282" s="1"/>
      <c r="Y282" s="1"/>
    </row>
    <row r="283">
      <c r="A283" s="49"/>
      <c r="B283" s="70" t="str">
        <f>IFERROR(VLOOKUP(C283, 'Tổng hợp thông tin sinh viên'!A:E, 2, 0), "")</f>
        <v>Bùi Đình Phẩm</v>
      </c>
      <c r="C283" s="31" t="s">
        <v>367</v>
      </c>
      <c r="D283" s="31" t="str">
        <f>IFERROR(VLOOKUP(C283, 'Tổng hợp thông tin sinh viên'!A:E, 3, 0), "")</f>
        <v>pham.bd220039@sis.hust.edu.vn</v>
      </c>
      <c r="E283" s="31" t="str">
        <f>IFERROR(VLOOKUP(C283, 'Tổng hợp thông tin sinh viên'!A:E, 5, 0), "")</f>
        <v>Khoa học máy tính 04-K67</v>
      </c>
      <c r="F283" s="49"/>
      <c r="G283" s="1"/>
      <c r="H283" s="1"/>
      <c r="I283" s="1"/>
      <c r="J283" s="1"/>
      <c r="K283" s="1"/>
      <c r="L283" s="1"/>
      <c r="M283" s="1"/>
      <c r="N283" s="1"/>
      <c r="O283" s="1"/>
      <c r="P283" s="82"/>
      <c r="Q283" s="1"/>
      <c r="R283" s="1"/>
      <c r="S283" s="83"/>
      <c r="T283" s="1"/>
      <c r="U283" s="1"/>
      <c r="V283" s="1"/>
      <c r="W283" s="1"/>
      <c r="X283" s="1"/>
      <c r="Y283" s="1"/>
    </row>
    <row r="284">
      <c r="A284" s="49"/>
      <c r="B284" s="70" t="str">
        <f>IFERROR(VLOOKUP(C284, 'Tổng hợp thông tin sinh viên'!A:E, 2, 0), "")</f>
        <v>Dương Hải Anh</v>
      </c>
      <c r="C284" s="31" t="s">
        <v>368</v>
      </c>
      <c r="D284" s="31" t="str">
        <f>IFERROR(VLOOKUP(C284, 'Tổng hợp thông tin sinh viên'!A:E, 3, 0), "")</f>
        <v>anh.dh224915@sis.hust.edu.vn</v>
      </c>
      <c r="E284" s="31" t="str">
        <f>IFERROR(VLOOKUP(C284, 'Tổng hợp thông tin sinh viên'!A:E, 5, 0), "")</f>
        <v>Khoa học máy tính 02-K67</v>
      </c>
      <c r="F284" s="49"/>
      <c r="G284" s="1"/>
      <c r="H284" s="1"/>
      <c r="I284" s="1"/>
      <c r="J284" s="1"/>
      <c r="K284" s="1"/>
      <c r="L284" s="1"/>
      <c r="M284" s="1"/>
      <c r="N284" s="1"/>
      <c r="O284" s="1"/>
      <c r="P284" s="82"/>
      <c r="Q284" s="1"/>
      <c r="R284" s="1"/>
      <c r="S284" s="83"/>
      <c r="T284" s="1"/>
      <c r="U284" s="1"/>
      <c r="V284" s="1"/>
      <c r="W284" s="1"/>
      <c r="X284" s="1"/>
      <c r="Y284" s="1"/>
    </row>
    <row r="285">
      <c r="A285" s="49"/>
      <c r="B285" s="70" t="str">
        <f>IFERROR(VLOOKUP(C285, 'Tổng hợp thông tin sinh viên'!A:E, 2, 0), "")</f>
        <v>Đặng Đình Khải</v>
      </c>
      <c r="C285" s="31" t="s">
        <v>369</v>
      </c>
      <c r="D285" s="31" t="str">
        <f>IFERROR(VLOOKUP(C285, 'Tổng hợp thông tin sinh viên'!A:E, 3, 0), "")</f>
        <v>khai.dd224863@sis.hust.edu.vn</v>
      </c>
      <c r="E285" s="31" t="str">
        <f>IFERROR(VLOOKUP(C285, 'Tổng hợp thông tin sinh viên'!A:E, 5, 0), "")</f>
        <v>Khoa học máy tính 01-K67</v>
      </c>
      <c r="F285" s="49"/>
      <c r="G285" s="1"/>
      <c r="H285" s="1"/>
      <c r="I285" s="1"/>
      <c r="J285" s="1"/>
      <c r="K285" s="1"/>
      <c r="L285" s="1"/>
      <c r="M285" s="1"/>
      <c r="N285" s="1"/>
      <c r="O285" s="1"/>
      <c r="P285" s="82"/>
      <c r="Q285" s="1"/>
      <c r="R285" s="1"/>
      <c r="S285" s="83"/>
      <c r="T285" s="1"/>
      <c r="U285" s="1"/>
      <c r="V285" s="1"/>
      <c r="W285" s="1"/>
      <c r="X285" s="1"/>
      <c r="Y285" s="1"/>
    </row>
    <row r="286">
      <c r="A286" s="49"/>
      <c r="B286" s="70" t="str">
        <f>IFERROR(VLOOKUP(C286, 'Tổng hợp thông tin sinh viên'!A:E, 2, 0), "")</f>
        <v>Trần Khắc Hồng Đức</v>
      </c>
      <c r="C286" s="31" t="s">
        <v>370</v>
      </c>
      <c r="D286" s="31" t="str">
        <f>IFERROR(VLOOKUP(C286, 'Tổng hợp thông tin sinh viên'!A:E, 3, 0), "")</f>
        <v>duc.tkh224835@sis.hust.edu.vn</v>
      </c>
      <c r="E286" s="31" t="str">
        <f>IFERROR(VLOOKUP(C286, 'Tổng hợp thông tin sinh viên'!A:E, 5, 0), "")</f>
        <v>Khoa học máy tính 04-K67</v>
      </c>
      <c r="F286" s="49"/>
      <c r="G286" s="1"/>
      <c r="H286" s="1"/>
      <c r="I286" s="1"/>
      <c r="J286" s="1"/>
      <c r="K286" s="1"/>
      <c r="L286" s="1"/>
      <c r="M286" s="1"/>
      <c r="N286" s="1"/>
      <c r="O286" s="1"/>
      <c r="P286" s="82"/>
      <c r="Q286" s="1"/>
      <c r="R286" s="1"/>
      <c r="S286" s="83"/>
      <c r="T286" s="1"/>
      <c r="U286" s="1"/>
      <c r="V286" s="1"/>
      <c r="W286" s="1"/>
      <c r="X286" s="1"/>
      <c r="Y286" s="1"/>
    </row>
    <row r="287">
      <c r="A287" s="49"/>
      <c r="B287" s="70" t="str">
        <f>IFERROR(VLOOKUP(C287, 'Tổng hợp thông tin sinh viên'!A:E, 2, 0), "")</f>
        <v>Nguyễn Phi Cường Mạnh</v>
      </c>
      <c r="C287" s="31" t="s">
        <v>371</v>
      </c>
      <c r="D287" s="31" t="str">
        <f>IFERROR(VLOOKUP(C287, 'Tổng hợp thông tin sinh viên'!A:E, 3, 0), "")</f>
        <v>manh.npc224875@sis.hust.edu.vn</v>
      </c>
      <c r="E287" s="31" t="str">
        <f>IFERROR(VLOOKUP(C287, 'Tổng hợp thông tin sinh viên'!A:E, 5, 0), "")</f>
        <v>Khoa học máy tính 04-K67</v>
      </c>
      <c r="F287" s="49"/>
      <c r="G287" s="1"/>
      <c r="H287" s="1"/>
      <c r="I287" s="1"/>
      <c r="J287" s="1"/>
      <c r="K287" s="1"/>
      <c r="L287" s="1"/>
      <c r="M287" s="1"/>
      <c r="N287" s="1"/>
      <c r="O287" s="1"/>
      <c r="P287" s="82"/>
      <c r="Q287" s="1"/>
      <c r="R287" s="1"/>
      <c r="S287" s="83"/>
      <c r="T287" s="1"/>
      <c r="U287" s="1"/>
      <c r="V287" s="1"/>
      <c r="W287" s="1"/>
      <c r="X287" s="1"/>
      <c r="Y287" s="1"/>
    </row>
    <row r="288">
      <c r="A288" s="49"/>
      <c r="B288" s="70" t="str">
        <f>IFERROR(VLOOKUP(C288, 'Tổng hợp thông tin sinh viên'!A:E, 2, 0), "")</f>
        <v>Mạnh Xuân Thái</v>
      </c>
      <c r="C288" s="31" t="s">
        <v>372</v>
      </c>
      <c r="D288" s="31" t="str">
        <f>IFERROR(VLOOKUP(C288, 'Tổng hợp thông tin sinh viên'!A:E, 3, 0), "")</f>
        <v>thai.mx225228@sis.hust.edu.vn</v>
      </c>
      <c r="E288" s="31" t="str">
        <f>IFERROR(VLOOKUP(C288, 'Tổng hợp thông tin sinh viên'!A:E, 5, 0), "")</f>
        <v>Kỹ thuật máy tính 01-K67</v>
      </c>
      <c r="F288" s="49"/>
      <c r="G288" s="1"/>
      <c r="H288" s="1"/>
      <c r="I288" s="1"/>
      <c r="J288" s="1"/>
      <c r="K288" s="1"/>
      <c r="L288" s="1"/>
      <c r="M288" s="1"/>
      <c r="N288" s="1"/>
      <c r="O288" s="1"/>
      <c r="P288" s="82"/>
      <c r="Q288" s="1"/>
      <c r="R288" s="1"/>
      <c r="S288" s="83"/>
      <c r="T288" s="1"/>
      <c r="U288" s="1"/>
      <c r="V288" s="1"/>
      <c r="W288" s="1"/>
      <c r="X288" s="1"/>
      <c r="Y288" s="1"/>
    </row>
    <row r="289">
      <c r="A289" s="49"/>
      <c r="B289" s="70" t="str">
        <f>IFERROR(VLOOKUP(C289, 'Tổng hợp thông tin sinh viên'!A:E, 2, 0), "")</f>
        <v>Nguyễn Văn Hồng Quân</v>
      </c>
      <c r="C289" s="31" t="s">
        <v>373</v>
      </c>
      <c r="D289" s="31" t="str">
        <f>IFERROR(VLOOKUP(C289, 'Tổng hợp thông tin sinh viên'!A:E, 3, 0), "")</f>
        <v>quan.nvh225151@sis.hust.edu.vn</v>
      </c>
      <c r="E289" s="31" t="str">
        <f>IFERROR(VLOOKUP(C289, 'Tổng hợp thông tin sinh viên'!A:E, 5, 0), "")</f>
        <v>Kỹ thuật máy tính 01-K67</v>
      </c>
      <c r="F289" s="49"/>
      <c r="G289" s="1"/>
      <c r="H289" s="1"/>
      <c r="I289" s="1"/>
      <c r="J289" s="1"/>
      <c r="K289" s="1"/>
      <c r="L289" s="1"/>
      <c r="M289" s="1"/>
      <c r="N289" s="1"/>
      <c r="O289" s="1"/>
      <c r="P289" s="82"/>
      <c r="Q289" s="1"/>
      <c r="R289" s="1"/>
      <c r="S289" s="83"/>
      <c r="T289" s="1"/>
      <c r="U289" s="1"/>
      <c r="V289" s="1"/>
      <c r="W289" s="1"/>
      <c r="X289" s="1"/>
      <c r="Y289" s="1"/>
    </row>
    <row r="290">
      <c r="A290" s="49"/>
      <c r="B290" s="70" t="str">
        <f>IFERROR(VLOOKUP(C290, 'Tổng hợp thông tin sinh viên'!A:E, 2, 0), "")</f>
        <v>Đồng Phúc Lâm</v>
      </c>
      <c r="C290" s="31" t="s">
        <v>374</v>
      </c>
      <c r="D290" s="31" t="str">
        <f>IFERROR(VLOOKUP(C290, 'Tổng hợp thông tin sinh viên'!A:E, 3, 0), "")</f>
        <v>lam.dp225027@sis.hust.edu.vn</v>
      </c>
      <c r="E290" s="31" t="str">
        <f>IFERROR(VLOOKUP(C290, 'Tổng hợp thông tin sinh viên'!A:E, 5, 0), "")</f>
        <v>Khoa học máy tính 05-K67</v>
      </c>
      <c r="F290" s="49"/>
      <c r="G290" s="1"/>
      <c r="H290" s="1"/>
      <c r="I290" s="1"/>
      <c r="J290" s="1"/>
      <c r="K290" s="1"/>
      <c r="L290" s="1"/>
      <c r="M290" s="1"/>
      <c r="N290" s="1"/>
      <c r="O290" s="1"/>
      <c r="P290" s="82"/>
      <c r="Q290" s="1"/>
      <c r="R290" s="1"/>
      <c r="S290" s="83"/>
      <c r="T290" s="1"/>
      <c r="U290" s="1"/>
      <c r="V290" s="1"/>
      <c r="W290" s="1"/>
      <c r="X290" s="1"/>
      <c r="Y290" s="1"/>
    </row>
    <row r="291">
      <c r="A291" s="52"/>
      <c r="B291" s="70" t="str">
        <f>IFERROR(VLOOKUP(C291, 'Tổng hợp thông tin sinh viên'!A:E, 2, 0), "")</f>
        <v>Bùi Xuân Hải</v>
      </c>
      <c r="C291" s="31" t="s">
        <v>375</v>
      </c>
      <c r="D291" s="31" t="str">
        <f>IFERROR(VLOOKUP(C291, 'Tổng hợp thông tin sinh viên'!A:E, 3, 0), "")</f>
        <v>hai.bx194268@sis.hust.edu.vn</v>
      </c>
      <c r="E291" s="31" t="str">
        <f>IFERROR(VLOOKUP(C291, 'Tổng hợp thông tin sinh viên'!A:E, 5, 0), "")</f>
        <v>Kỹ thuật máy tính 03-K64</v>
      </c>
      <c r="F291" s="52"/>
      <c r="G291" s="1"/>
      <c r="H291" s="1"/>
      <c r="I291" s="1"/>
      <c r="J291" s="1"/>
      <c r="K291" s="1"/>
      <c r="L291" s="1"/>
      <c r="M291" s="1"/>
      <c r="N291" s="1"/>
      <c r="O291" s="1"/>
      <c r="P291" s="82"/>
      <c r="Q291" s="1"/>
      <c r="R291" s="1"/>
      <c r="S291" s="83"/>
      <c r="T291" s="1"/>
      <c r="U291" s="1"/>
      <c r="V291" s="1"/>
      <c r="W291" s="1"/>
      <c r="X291" s="1"/>
      <c r="Y291" s="1"/>
    </row>
    <row r="292">
      <c r="A292" s="77">
        <v>34.0</v>
      </c>
      <c r="B292" s="78" t="str">
        <f>IFERROR(VLOOKUP(C292, 'Tổng hợp thông tin sinh viên'!A:E, 2, 0), "")</f>
        <v/>
      </c>
      <c r="C292" s="79"/>
      <c r="D292" s="27" t="str">
        <f>IFERROR(VLOOKUP(C292, 'Tổng hợp thông tin sinh viên'!A:E, 3, 0), "")</f>
        <v/>
      </c>
      <c r="E292" s="27" t="str">
        <f>IFERROR(VLOOKUP(C292, 'Tổng hợp thông tin sinh viên'!A:E, 5, 0), "")</f>
        <v/>
      </c>
      <c r="F292" s="71" t="str">
        <f>IF(COUNTBLANK(C292:C301) = 0, "Đủ", "Thiếu: " &amp; COUNTBLANK(C292:C301))</f>
        <v>Thiếu: 10</v>
      </c>
      <c r="G292" s="1"/>
      <c r="H292" s="1"/>
      <c r="I292" s="1"/>
      <c r="J292" s="1"/>
      <c r="K292" s="1"/>
      <c r="L292" s="1"/>
      <c r="M292" s="1"/>
      <c r="N292" s="1"/>
      <c r="O292" s="1"/>
      <c r="P292" s="82"/>
      <c r="Q292" s="1"/>
      <c r="R292" s="1"/>
      <c r="S292" s="83"/>
      <c r="T292" s="1"/>
      <c r="U292" s="1"/>
      <c r="V292" s="1"/>
      <c r="W292" s="1"/>
      <c r="X292" s="1"/>
      <c r="Y292" s="1"/>
    </row>
    <row r="293">
      <c r="A293" s="49"/>
      <c r="B293" s="78" t="str">
        <f>IFERROR(VLOOKUP(C293, 'Tổng hợp thông tin sinh viên'!A:E, 2, 0), "")</f>
        <v/>
      </c>
      <c r="C293" s="27"/>
      <c r="D293" s="27" t="str">
        <f>IFERROR(VLOOKUP(C293, 'Tổng hợp thông tin sinh viên'!A:E, 3, 0), "")</f>
        <v/>
      </c>
      <c r="E293" s="27" t="str">
        <f>IFERROR(VLOOKUP(C293, 'Tổng hợp thông tin sinh viên'!A:E, 5, 0), "")</f>
        <v/>
      </c>
      <c r="F293" s="49"/>
      <c r="G293" s="1"/>
      <c r="H293" s="1"/>
      <c r="I293" s="1"/>
      <c r="J293" s="1"/>
      <c r="K293" s="1"/>
      <c r="L293" s="1"/>
      <c r="M293" s="1"/>
      <c r="N293" s="1"/>
      <c r="O293" s="1"/>
      <c r="P293" s="82"/>
      <c r="Q293" s="1"/>
      <c r="R293" s="1"/>
      <c r="S293" s="83"/>
      <c r="T293" s="1"/>
      <c r="U293" s="1"/>
      <c r="V293" s="1"/>
      <c r="W293" s="1"/>
      <c r="X293" s="1"/>
      <c r="Y293" s="1"/>
    </row>
    <row r="294">
      <c r="A294" s="49"/>
      <c r="B294" s="78" t="str">
        <f>IFERROR(VLOOKUP(C294, 'Tổng hợp thông tin sinh viên'!A:E, 2, 0), "")</f>
        <v/>
      </c>
      <c r="C294" s="27"/>
      <c r="D294" s="27" t="str">
        <f>IFERROR(VLOOKUP(C294, 'Tổng hợp thông tin sinh viên'!A:E, 3, 0), "")</f>
        <v/>
      </c>
      <c r="E294" s="27" t="str">
        <f>IFERROR(VLOOKUP(C294, 'Tổng hợp thông tin sinh viên'!A:E, 5, 0), "")</f>
        <v/>
      </c>
      <c r="F294" s="49"/>
      <c r="G294" s="1"/>
      <c r="H294" s="1"/>
      <c r="I294" s="1"/>
      <c r="J294" s="1"/>
      <c r="K294" s="1"/>
      <c r="L294" s="1"/>
      <c r="M294" s="1"/>
      <c r="N294" s="1"/>
      <c r="O294" s="1"/>
      <c r="P294" s="82"/>
      <c r="Q294" s="1"/>
      <c r="R294" s="1"/>
      <c r="S294" s="83"/>
      <c r="T294" s="1"/>
      <c r="U294" s="1"/>
      <c r="V294" s="1"/>
      <c r="W294" s="1"/>
      <c r="X294" s="1"/>
      <c r="Y294" s="1"/>
    </row>
    <row r="295">
      <c r="A295" s="49"/>
      <c r="B295" s="78" t="str">
        <f>IFERROR(VLOOKUP(C295, 'Tổng hợp thông tin sinh viên'!A:E, 2, 0), "")</f>
        <v/>
      </c>
      <c r="C295" s="27"/>
      <c r="D295" s="27" t="str">
        <f>IFERROR(VLOOKUP(C295, 'Tổng hợp thông tin sinh viên'!A:E, 3, 0), "")</f>
        <v/>
      </c>
      <c r="E295" s="27" t="str">
        <f>IFERROR(VLOOKUP(C295, 'Tổng hợp thông tin sinh viên'!A:E, 5, 0), "")</f>
        <v/>
      </c>
      <c r="F295" s="49"/>
      <c r="G295" s="1"/>
      <c r="H295" s="1"/>
      <c r="I295" s="1"/>
      <c r="J295" s="1"/>
      <c r="K295" s="1"/>
      <c r="L295" s="1"/>
      <c r="M295" s="1"/>
      <c r="N295" s="1"/>
      <c r="O295" s="1"/>
      <c r="P295" s="82"/>
      <c r="Q295" s="1"/>
      <c r="R295" s="1"/>
      <c r="S295" s="83"/>
      <c r="T295" s="1"/>
      <c r="U295" s="1"/>
      <c r="V295" s="1"/>
      <c r="W295" s="1"/>
      <c r="X295" s="1"/>
      <c r="Y295" s="1"/>
    </row>
    <row r="296">
      <c r="A296" s="49"/>
      <c r="B296" s="78" t="str">
        <f>IFERROR(VLOOKUP(C296, 'Tổng hợp thông tin sinh viên'!A:E, 2, 0), "")</f>
        <v/>
      </c>
      <c r="C296" s="27"/>
      <c r="D296" s="27" t="str">
        <f>IFERROR(VLOOKUP(C296, 'Tổng hợp thông tin sinh viên'!A:E, 3, 0), "")</f>
        <v/>
      </c>
      <c r="E296" s="27" t="str">
        <f>IFERROR(VLOOKUP(C296, 'Tổng hợp thông tin sinh viên'!A:E, 5, 0), "")</f>
        <v/>
      </c>
      <c r="F296" s="49"/>
      <c r="G296" s="1"/>
      <c r="H296" s="1"/>
      <c r="I296" s="1"/>
      <c r="J296" s="1"/>
      <c r="K296" s="1"/>
      <c r="L296" s="1"/>
      <c r="M296" s="1"/>
      <c r="N296" s="1"/>
      <c r="O296" s="1"/>
      <c r="P296" s="82"/>
      <c r="Q296" s="1"/>
      <c r="R296" s="1"/>
      <c r="S296" s="83"/>
      <c r="T296" s="1"/>
      <c r="U296" s="1"/>
      <c r="V296" s="1"/>
      <c r="W296" s="1"/>
      <c r="X296" s="1"/>
      <c r="Y296" s="1"/>
    </row>
    <row r="297">
      <c r="A297" s="49"/>
      <c r="B297" s="78" t="str">
        <f>IFERROR(VLOOKUP(C297, 'Tổng hợp thông tin sinh viên'!A:E, 2, 0), "")</f>
        <v/>
      </c>
      <c r="C297" s="27"/>
      <c r="D297" s="27" t="str">
        <f>IFERROR(VLOOKUP(C297, 'Tổng hợp thông tin sinh viên'!A:E, 3, 0), "")</f>
        <v/>
      </c>
      <c r="E297" s="27" t="str">
        <f>IFERROR(VLOOKUP(C297, 'Tổng hợp thông tin sinh viên'!A:E, 5, 0), "")</f>
        <v/>
      </c>
      <c r="F297" s="49"/>
      <c r="G297" s="1"/>
      <c r="H297" s="1"/>
      <c r="I297" s="1"/>
      <c r="J297" s="1"/>
      <c r="K297" s="1"/>
      <c r="L297" s="1"/>
      <c r="M297" s="1"/>
      <c r="N297" s="1"/>
      <c r="O297" s="1"/>
      <c r="P297" s="82"/>
      <c r="Q297" s="1"/>
      <c r="R297" s="1"/>
      <c r="S297" s="83"/>
      <c r="T297" s="1"/>
      <c r="U297" s="1"/>
      <c r="V297" s="1"/>
      <c r="W297" s="1"/>
      <c r="X297" s="1"/>
      <c r="Y297" s="1"/>
    </row>
    <row r="298">
      <c r="A298" s="49"/>
      <c r="B298" s="78" t="str">
        <f>IFERROR(VLOOKUP(C298, 'Tổng hợp thông tin sinh viên'!A:E, 2, 0), "")</f>
        <v/>
      </c>
      <c r="C298" s="27"/>
      <c r="D298" s="27" t="str">
        <f>IFERROR(VLOOKUP(C298, 'Tổng hợp thông tin sinh viên'!A:E, 3, 0), "")</f>
        <v/>
      </c>
      <c r="E298" s="27" t="str">
        <f>IFERROR(VLOOKUP(C298, 'Tổng hợp thông tin sinh viên'!A:E, 5, 0), "")</f>
        <v/>
      </c>
      <c r="F298" s="49"/>
      <c r="G298" s="1"/>
      <c r="H298" s="1"/>
      <c r="I298" s="1"/>
      <c r="J298" s="1"/>
      <c r="K298" s="1"/>
      <c r="L298" s="1"/>
      <c r="M298" s="1"/>
      <c r="N298" s="1"/>
      <c r="O298" s="1"/>
      <c r="P298" s="82"/>
      <c r="Q298" s="1"/>
      <c r="R298" s="1"/>
      <c r="S298" s="83"/>
      <c r="T298" s="1"/>
      <c r="U298" s="1"/>
      <c r="V298" s="1"/>
      <c r="W298" s="1"/>
      <c r="X298" s="1"/>
      <c r="Y298" s="1"/>
    </row>
    <row r="299">
      <c r="A299" s="49"/>
      <c r="B299" s="78" t="str">
        <f>IFERROR(VLOOKUP(C299, 'Tổng hợp thông tin sinh viên'!A:E, 2, 0), "")</f>
        <v/>
      </c>
      <c r="C299" s="27"/>
      <c r="D299" s="27" t="str">
        <f>IFERROR(VLOOKUP(C299, 'Tổng hợp thông tin sinh viên'!A:E, 3, 0), "")</f>
        <v/>
      </c>
      <c r="E299" s="27" t="str">
        <f>IFERROR(VLOOKUP(C299, 'Tổng hợp thông tin sinh viên'!A:E, 5, 0), "")</f>
        <v/>
      </c>
      <c r="F299" s="49"/>
      <c r="G299" s="1"/>
      <c r="H299" s="1"/>
      <c r="I299" s="1"/>
      <c r="J299" s="1"/>
      <c r="K299" s="1"/>
      <c r="L299" s="1"/>
      <c r="M299" s="1"/>
      <c r="N299" s="1"/>
      <c r="O299" s="1"/>
      <c r="P299" s="82"/>
      <c r="Q299" s="1"/>
      <c r="R299" s="1"/>
      <c r="S299" s="83"/>
      <c r="T299" s="1"/>
      <c r="U299" s="1"/>
      <c r="V299" s="1"/>
      <c r="W299" s="1"/>
      <c r="X299" s="1"/>
      <c r="Y299" s="1"/>
    </row>
    <row r="300">
      <c r="A300" s="49"/>
      <c r="B300" s="78" t="str">
        <f>IFERROR(VLOOKUP(C300, 'Tổng hợp thông tin sinh viên'!A:E, 2, 0), "")</f>
        <v/>
      </c>
      <c r="C300" s="27"/>
      <c r="D300" s="27" t="str">
        <f>IFERROR(VLOOKUP(C300, 'Tổng hợp thông tin sinh viên'!A:E, 3, 0), "")</f>
        <v/>
      </c>
      <c r="E300" s="27" t="str">
        <f>IFERROR(VLOOKUP(C300, 'Tổng hợp thông tin sinh viên'!A:E, 5, 0), "")</f>
        <v/>
      </c>
      <c r="F300" s="49"/>
      <c r="G300" s="1"/>
      <c r="H300" s="1"/>
      <c r="I300" s="1"/>
      <c r="J300" s="1"/>
      <c r="K300" s="1"/>
      <c r="L300" s="1"/>
      <c r="M300" s="1"/>
      <c r="N300" s="1"/>
      <c r="O300" s="1"/>
      <c r="P300" s="82"/>
      <c r="Q300" s="1"/>
      <c r="R300" s="1"/>
      <c r="S300" s="83"/>
      <c r="T300" s="1"/>
      <c r="U300" s="1"/>
      <c r="V300" s="1"/>
      <c r="W300" s="1"/>
      <c r="X300" s="1"/>
      <c r="Y300" s="1"/>
    </row>
    <row r="301">
      <c r="A301" s="52"/>
      <c r="B301" s="78" t="str">
        <f>IFERROR(VLOOKUP(C301, 'Tổng hợp thông tin sinh viên'!A:E, 2, 0), "")</f>
        <v/>
      </c>
      <c r="C301" s="27"/>
      <c r="D301" s="27" t="str">
        <f>IFERROR(VLOOKUP(C301, 'Tổng hợp thông tin sinh viên'!A:E, 3, 0), "")</f>
        <v/>
      </c>
      <c r="E301" s="27" t="str">
        <f>IFERROR(VLOOKUP(C301, 'Tổng hợp thông tin sinh viên'!A:E, 5, 0), "")</f>
        <v/>
      </c>
      <c r="F301" s="52"/>
      <c r="G301" s="1"/>
      <c r="H301" s="1"/>
      <c r="I301" s="1"/>
      <c r="J301" s="1"/>
      <c r="K301" s="1"/>
      <c r="L301" s="1"/>
      <c r="M301" s="1"/>
      <c r="N301" s="1"/>
      <c r="O301" s="1"/>
      <c r="P301" s="82"/>
      <c r="Q301" s="1"/>
      <c r="R301" s="1"/>
      <c r="S301" s="83"/>
      <c r="T301" s="1"/>
      <c r="U301" s="1"/>
      <c r="V301" s="1"/>
      <c r="W301" s="1"/>
      <c r="X301" s="1"/>
      <c r="Y301" s="1"/>
    </row>
    <row r="302">
      <c r="A302" s="69">
        <v>36.0</v>
      </c>
      <c r="B302" s="70" t="str">
        <f>IFERROR(VLOOKUP(C302, 'Tổng hợp thông tin sinh viên'!A:E, 2, 0), "")</f>
        <v>Phạm Trần Nguyên Phú</v>
      </c>
      <c r="C302" s="31" t="s">
        <v>376</v>
      </c>
      <c r="D302" s="31" t="str">
        <f>IFERROR(VLOOKUP(C302, 'Tổng hợp thông tin sinh viên'!A:E, 3, 0), "")</f>
        <v>phu.ptn226120@sis.hust.edu.vn</v>
      </c>
      <c r="E302" s="31" t="str">
        <f>IFERROR(VLOOKUP(C302, 'Tổng hợp thông tin sinh viên'!A:E, 5, 0), "")</f>
        <v>CNTT Việt Pháp 01-K67</v>
      </c>
      <c r="F302" s="71" t="str">
        <f>IF(COUNTBLANK(C302:C311) = 0, "Đủ", "Thiếu: " &amp; COUNTBLANK(C302:C311))</f>
        <v>Đủ</v>
      </c>
      <c r="G302" s="1"/>
      <c r="H302" s="1"/>
      <c r="I302" s="1"/>
      <c r="J302" s="1"/>
      <c r="K302" s="1"/>
      <c r="L302" s="1"/>
      <c r="M302" s="1"/>
      <c r="N302" s="1"/>
      <c r="O302" s="1"/>
      <c r="P302" s="82"/>
      <c r="Q302" s="1"/>
      <c r="R302" s="1"/>
      <c r="S302" s="83"/>
      <c r="T302" s="1"/>
      <c r="U302" s="1"/>
      <c r="V302" s="1"/>
      <c r="W302" s="1"/>
      <c r="X302" s="1"/>
      <c r="Y302" s="1"/>
    </row>
    <row r="303">
      <c r="A303" s="49"/>
      <c r="B303" s="70" t="str">
        <f>IFERROR(VLOOKUP(C303, 'Tổng hợp thông tin sinh viên'!A:E, 2, 0), "")</f>
        <v>Lê Văn Pháp</v>
      </c>
      <c r="C303" s="31" t="s">
        <v>377</v>
      </c>
      <c r="D303" s="31" t="str">
        <f>IFERROR(VLOOKUP(C303, 'Tổng hợp thông tin sinh viên'!A:E, 3, 0), "")</f>
        <v>phap.lv226118@sis.hust.edu.vn</v>
      </c>
      <c r="E303" s="31" t="str">
        <f>IFERROR(VLOOKUP(C303, 'Tổng hợp thông tin sinh viên'!A:E, 5, 0), "")</f>
        <v>CNTT Việt Pháp 01-K67</v>
      </c>
      <c r="F303" s="49"/>
      <c r="G303" s="1"/>
      <c r="H303" s="1"/>
      <c r="I303" s="1"/>
      <c r="J303" s="1"/>
      <c r="K303" s="1"/>
      <c r="L303" s="1"/>
      <c r="M303" s="1"/>
      <c r="N303" s="1"/>
      <c r="O303" s="1"/>
      <c r="P303" s="82"/>
      <c r="Q303" s="1"/>
      <c r="R303" s="1"/>
      <c r="S303" s="83"/>
      <c r="T303" s="1"/>
      <c r="U303" s="1"/>
      <c r="V303" s="1"/>
      <c r="W303" s="1"/>
      <c r="X303" s="1"/>
      <c r="Y303" s="1"/>
    </row>
    <row r="304">
      <c r="A304" s="49"/>
      <c r="B304" s="70" t="str">
        <f>IFERROR(VLOOKUP(C304, 'Tổng hợp thông tin sinh viên'!A:E, 2, 0), "")</f>
        <v>Lại Thị Thùy</v>
      </c>
      <c r="C304" s="31" t="s">
        <v>378</v>
      </c>
      <c r="D304" s="31" t="str">
        <f>IFERROR(VLOOKUP(C304, 'Tổng hợp thông tin sinh viên'!A:E, 3, 0), "")</f>
        <v>thuy.lt226126@sis.hust.edu.vn</v>
      </c>
      <c r="E304" s="31" t="str">
        <f>IFERROR(VLOOKUP(C304, 'Tổng hợp thông tin sinh viên'!A:E, 5, 0), "")</f>
        <v>CNTT Việt Pháp 01-K67</v>
      </c>
      <c r="F304" s="49"/>
      <c r="G304" s="1"/>
      <c r="H304" s="1"/>
      <c r="I304" s="1"/>
      <c r="J304" s="1"/>
      <c r="K304" s="1"/>
      <c r="L304" s="1"/>
      <c r="M304" s="1"/>
      <c r="N304" s="1"/>
      <c r="O304" s="1"/>
      <c r="P304" s="82"/>
      <c r="Q304" s="1"/>
      <c r="R304" s="1"/>
      <c r="S304" s="83"/>
      <c r="T304" s="1"/>
      <c r="U304" s="1"/>
      <c r="V304" s="1"/>
      <c r="W304" s="1"/>
      <c r="X304" s="1"/>
      <c r="Y304" s="1"/>
    </row>
    <row r="305">
      <c r="A305" s="49"/>
      <c r="B305" s="70" t="str">
        <f>IFERROR(VLOOKUP(C305, 'Tổng hợp thông tin sinh viên'!A:E, 2, 0), "")</f>
        <v>Phạm Nguyễn Hùng Nguyên</v>
      </c>
      <c r="C305" s="31" t="s">
        <v>379</v>
      </c>
      <c r="D305" s="31" t="str">
        <f>IFERROR(VLOOKUP(C305, 'Tổng hợp thông tin sinh viên'!A:E, 3, 0), "")</f>
        <v>nguyen.pnh226115@sis.hust.edu.vn</v>
      </c>
      <c r="E305" s="31" t="str">
        <f>IFERROR(VLOOKUP(C305, 'Tổng hợp thông tin sinh viên'!A:E, 5, 0), "")</f>
        <v>CNTT Việt Pháp 01-K67</v>
      </c>
      <c r="F305" s="49"/>
      <c r="G305" s="1"/>
      <c r="H305" s="1"/>
      <c r="I305" s="1"/>
      <c r="J305" s="1"/>
      <c r="K305" s="1"/>
      <c r="L305" s="1"/>
      <c r="M305" s="1"/>
      <c r="N305" s="1"/>
      <c r="O305" s="1"/>
      <c r="P305" s="82"/>
      <c r="Q305" s="1"/>
      <c r="R305" s="1"/>
      <c r="S305" s="83"/>
      <c r="T305" s="1"/>
      <c r="U305" s="1"/>
      <c r="V305" s="1"/>
      <c r="W305" s="1"/>
      <c r="X305" s="1"/>
      <c r="Y305" s="1"/>
    </row>
    <row r="306">
      <c r="A306" s="49"/>
      <c r="B306" s="70" t="str">
        <f>IFERROR(VLOOKUP(C306, 'Tổng hợp thông tin sinh viên'!A:E, 2, 0), "")</f>
        <v>Phạm Thái Sơn</v>
      </c>
      <c r="C306" s="31" t="s">
        <v>380</v>
      </c>
      <c r="D306" s="31" t="str">
        <f>IFERROR(VLOOKUP(C306, 'Tổng hợp thông tin sinh viên'!A:E, 3, 0), "")</f>
        <v>son.pt226125@sis.hust.edu.vn</v>
      </c>
      <c r="E306" s="31" t="str">
        <f>IFERROR(VLOOKUP(C306, 'Tổng hợp thông tin sinh viên'!A:E, 5, 0), "")</f>
        <v>CNTT Việt Pháp 01-K67</v>
      </c>
      <c r="F306" s="49"/>
      <c r="G306" s="1"/>
      <c r="H306" s="1"/>
      <c r="I306" s="1"/>
      <c r="J306" s="1"/>
      <c r="K306" s="1"/>
      <c r="L306" s="1"/>
      <c r="M306" s="1"/>
      <c r="N306" s="1"/>
      <c r="O306" s="1"/>
      <c r="P306" s="82"/>
      <c r="Q306" s="1"/>
      <c r="R306" s="1"/>
      <c r="S306" s="83"/>
      <c r="T306" s="1"/>
      <c r="U306" s="1"/>
      <c r="V306" s="1"/>
      <c r="W306" s="1"/>
      <c r="X306" s="1"/>
      <c r="Y306" s="1"/>
    </row>
    <row r="307">
      <c r="A307" s="49"/>
      <c r="B307" s="70" t="str">
        <f>IFERROR(VLOOKUP(C307, 'Tổng hợp thông tin sinh viên'!A:E, 2, 0), "")</f>
        <v>Đỗ Gia Huy</v>
      </c>
      <c r="C307" s="31" t="s">
        <v>381</v>
      </c>
      <c r="D307" s="31" t="str">
        <f>IFERROR(VLOOKUP(C307, 'Tổng hợp thông tin sinh viên'!A:E, 3, 0), "")</f>
        <v>huy.dg215060@sis.hust.edu.vn</v>
      </c>
      <c r="E307" s="31" t="str">
        <f>IFERROR(VLOOKUP(C307, 'Tổng hợp thông tin sinh viên'!A:E, 5, 0), "")</f>
        <v/>
      </c>
      <c r="F307" s="49"/>
      <c r="G307" s="1"/>
      <c r="H307" s="1"/>
      <c r="I307" s="1"/>
      <c r="J307" s="1"/>
      <c r="K307" s="1"/>
      <c r="L307" s="1"/>
      <c r="M307" s="1"/>
      <c r="N307" s="1"/>
      <c r="O307" s="1"/>
      <c r="P307" s="82"/>
      <c r="Q307" s="1"/>
      <c r="R307" s="1"/>
      <c r="S307" s="83"/>
      <c r="T307" s="1"/>
      <c r="U307" s="1"/>
      <c r="V307" s="1"/>
      <c r="W307" s="1"/>
      <c r="X307" s="1"/>
      <c r="Y307" s="1"/>
    </row>
    <row r="308">
      <c r="A308" s="49"/>
      <c r="B308" s="70" t="str">
        <f>IFERROR(VLOOKUP(C308, 'Tổng hợp thông tin sinh viên'!A:E, 2, 0), "")</f>
        <v>Vũ Hoàng Nhật Anh</v>
      </c>
      <c r="C308" s="31" t="s">
        <v>382</v>
      </c>
      <c r="D308" s="31" t="str">
        <f>IFERROR(VLOOKUP(C308, 'Tổng hợp thông tin sinh viên'!A:E, 3, 0), "")</f>
        <v>anh.vhn225471@sis.hust.edu.vn</v>
      </c>
      <c r="E308" s="31" t="str">
        <f>IFERROR(VLOOKUP(C308, 'Tổng hợp thông tin sinh viên'!A:E, 5, 0), "")</f>
        <v>CTTT Data Science &amp; AI 03-K67</v>
      </c>
      <c r="F308" s="49"/>
      <c r="G308" s="1"/>
      <c r="H308" s="1"/>
      <c r="I308" s="1"/>
      <c r="J308" s="1"/>
      <c r="K308" s="1"/>
      <c r="L308" s="1"/>
      <c r="M308" s="1"/>
      <c r="N308" s="1"/>
      <c r="O308" s="1"/>
      <c r="P308" s="82"/>
      <c r="Q308" s="1"/>
      <c r="R308" s="1"/>
      <c r="S308" s="83"/>
      <c r="T308" s="1"/>
      <c r="U308" s="1"/>
      <c r="V308" s="1"/>
      <c r="W308" s="1"/>
      <c r="X308" s="1"/>
      <c r="Y308" s="1"/>
    </row>
    <row r="309">
      <c r="A309" s="49"/>
      <c r="B309" s="70" t="str">
        <f>IFERROR(VLOOKUP(C309, 'Tổng hợp thông tin sinh viên'!A:E, 2, 0), "")</f>
        <v>Trịnh Hoàng Anh</v>
      </c>
      <c r="C309" s="31" t="s">
        <v>383</v>
      </c>
      <c r="D309" s="31" t="str">
        <f>IFERROR(VLOOKUP(C309, 'Tổng hợp thông tin sinh viên'!A:E, 3, 0), "")</f>
        <v>anh.th225470@sis.hust.edu.vn</v>
      </c>
      <c r="E309" s="31" t="str">
        <f>IFERROR(VLOOKUP(C309, 'Tổng hợp thông tin sinh viên'!A:E, 5, 0), "")</f>
        <v>CTTT Data Science &amp; AI 02-K67</v>
      </c>
      <c r="F309" s="49"/>
      <c r="G309" s="1"/>
      <c r="H309" s="1"/>
      <c r="I309" s="1"/>
      <c r="J309" s="1"/>
      <c r="K309" s="1"/>
      <c r="L309" s="1"/>
      <c r="M309" s="1"/>
      <c r="N309" s="1"/>
      <c r="O309" s="1"/>
      <c r="P309" s="82"/>
      <c r="Q309" s="1"/>
      <c r="R309" s="1"/>
      <c r="S309" s="83"/>
      <c r="T309" s="1"/>
      <c r="U309" s="1"/>
      <c r="V309" s="1"/>
      <c r="W309" s="1"/>
      <c r="X309" s="1"/>
      <c r="Y309" s="1"/>
    </row>
    <row r="310">
      <c r="A310" s="49"/>
      <c r="B310" s="70" t="str">
        <f>IFERROR(VLOOKUP(C310, 'Tổng hợp thông tin sinh viên'!A:E, 2, 0), "")</f>
        <v>BùI KhắC ChiếN</v>
      </c>
      <c r="C310" s="31" t="s">
        <v>384</v>
      </c>
      <c r="D310" s="31" t="str">
        <f>IFERROR(VLOOKUP(C310, 'Tổng hợp thông tin sinh viên'!A:E, 3, 0), "")</f>
        <v>chien.bk220059@sis.hust.edu.vn</v>
      </c>
      <c r="E310" s="31" t="str">
        <f>IFERROR(VLOOKUP(C310, 'Tổng hợp thông tin sinh viên'!A:E, 5, 0), "")</f>
        <v>CTTT Data Science &amp; AI 01-K67</v>
      </c>
      <c r="F310" s="49"/>
      <c r="G310" s="1"/>
      <c r="H310" s="1"/>
      <c r="I310" s="1"/>
      <c r="J310" s="1"/>
      <c r="K310" s="1"/>
      <c r="L310" s="1"/>
      <c r="M310" s="1"/>
      <c r="N310" s="1"/>
      <c r="O310" s="1"/>
      <c r="P310" s="82"/>
      <c r="Q310" s="1"/>
      <c r="R310" s="1"/>
      <c r="S310" s="83"/>
      <c r="T310" s="1"/>
      <c r="U310" s="1"/>
      <c r="V310" s="1"/>
      <c r="W310" s="1"/>
      <c r="X310" s="1"/>
      <c r="Y310" s="1"/>
    </row>
    <row r="311">
      <c r="A311" s="52"/>
      <c r="B311" s="70" t="str">
        <f>IFERROR(VLOOKUP(C311, 'Tổng hợp thông tin sinh viên'!A:E, 2, 0), "")</f>
        <v>Trần Quang Minh</v>
      </c>
      <c r="C311" s="31" t="s">
        <v>385</v>
      </c>
      <c r="D311" s="31" t="str">
        <f>IFERROR(VLOOKUP(C311, 'Tổng hợp thông tin sinh viên'!A:E, 3, 0), "")</f>
        <v>minh.tq225512@sis.hust.edu.vn</v>
      </c>
      <c r="E311" s="31" t="str">
        <f>IFERROR(VLOOKUP(C311, 'Tổng hợp thông tin sinh viên'!A:E, 5, 0), "")</f>
        <v>CTTT Data Science &amp; AI 01-K67</v>
      </c>
      <c r="F311" s="52"/>
      <c r="G311" s="1"/>
      <c r="H311" s="1"/>
      <c r="I311" s="1"/>
      <c r="J311" s="1"/>
      <c r="K311" s="1"/>
      <c r="L311" s="1"/>
      <c r="M311" s="1"/>
      <c r="N311" s="1"/>
      <c r="O311" s="1"/>
      <c r="P311" s="82"/>
      <c r="Q311" s="1"/>
      <c r="R311" s="1"/>
      <c r="S311" s="83"/>
      <c r="T311" s="1"/>
      <c r="U311" s="1"/>
      <c r="V311" s="1"/>
      <c r="W311" s="1"/>
      <c r="X311" s="1"/>
      <c r="Y311" s="1"/>
    </row>
    <row r="312">
      <c r="A312" s="77">
        <v>37.0</v>
      </c>
      <c r="B312" s="78" t="str">
        <f>IFERROR(VLOOKUP(C312, 'Tổng hợp thông tin sinh viên'!A:E, 2, 0), "")</f>
        <v>Nguyễn Trung Kiên</v>
      </c>
      <c r="C312" s="79" t="s">
        <v>386</v>
      </c>
      <c r="D312" s="27" t="str">
        <f>IFERROR(VLOOKUP(C312, 'Tổng hợp thông tin sinh viên'!A:E, 3, 0), "")</f>
        <v>kien.nt226110@sis.hust.edu.vn</v>
      </c>
      <c r="E312" s="27" t="str">
        <f>IFERROR(VLOOKUP(C312, 'Tổng hợp thông tin sinh viên'!A:E, 5, 0), "")</f>
        <v>CNTT Việt Pháp 01-K67</v>
      </c>
      <c r="F312" s="71" t="str">
        <f>IF(COUNTBLANK(C312:C321) = 0, "Đủ", "Thiếu: " &amp; COUNTBLANK(C312:C321))</f>
        <v>Đủ</v>
      </c>
      <c r="G312" s="1"/>
      <c r="H312" s="1"/>
      <c r="I312" s="1"/>
      <c r="J312" s="1"/>
      <c r="K312" s="1"/>
      <c r="L312" s="1"/>
      <c r="M312" s="1"/>
      <c r="N312" s="1"/>
      <c r="O312" s="1"/>
      <c r="P312" s="82"/>
      <c r="Q312" s="1"/>
      <c r="R312" s="1"/>
      <c r="S312" s="83"/>
      <c r="T312" s="1"/>
      <c r="U312" s="1"/>
      <c r="V312" s="1"/>
      <c r="W312" s="1"/>
      <c r="X312" s="1"/>
      <c r="Y312" s="1"/>
    </row>
    <row r="313">
      <c r="A313" s="49"/>
      <c r="B313" s="78" t="str">
        <f>IFERROR(VLOOKUP(C313, 'Tổng hợp thông tin sinh viên'!A:E, 2, 0), "")</f>
        <v>Đỗ Gia Huy</v>
      </c>
      <c r="C313" s="27" t="s">
        <v>387</v>
      </c>
      <c r="D313" s="27" t="str">
        <f>IFERROR(VLOOKUP(C313, 'Tổng hợp thông tin sinh viên'!A:E, 3, 0), "")</f>
        <v>huy.dg226085@sis.hust.edu.vn</v>
      </c>
      <c r="E313" s="27" t="str">
        <f>IFERROR(VLOOKUP(C313, 'Tổng hợp thông tin sinh viên'!A:E, 5, 0), "")</f>
        <v>CNTT Việt Pháp 01-K67</v>
      </c>
      <c r="F313" s="49"/>
      <c r="G313" s="1"/>
      <c r="H313" s="1"/>
      <c r="I313" s="1"/>
      <c r="J313" s="1"/>
      <c r="K313" s="1"/>
      <c r="L313" s="1"/>
      <c r="M313" s="1"/>
      <c r="N313" s="1"/>
      <c r="O313" s="1"/>
      <c r="P313" s="82"/>
      <c r="Q313" s="1"/>
      <c r="R313" s="1"/>
      <c r="S313" s="83"/>
      <c r="T313" s="1"/>
      <c r="U313" s="1"/>
      <c r="V313" s="1"/>
      <c r="W313" s="1"/>
      <c r="X313" s="1"/>
      <c r="Y313" s="1"/>
    </row>
    <row r="314">
      <c r="A314" s="49"/>
      <c r="B314" s="78" t="str">
        <f>IFERROR(VLOOKUP(C314, 'Tổng hợp thông tin sinh viên'!A:E, 2, 0), "")</f>
        <v>Nguyễn Lương Hoàng Tùng</v>
      </c>
      <c r="C314" s="27" t="s">
        <v>388</v>
      </c>
      <c r="D314" s="27" t="str">
        <f>IFERROR(VLOOKUP(C314, 'Tổng hợp thông tin sinh viên'!A:E, 3, 0), "")</f>
        <v>tung.nlh226129@sis.hust.edu.vn</v>
      </c>
      <c r="E314" s="27" t="str">
        <f>IFERROR(VLOOKUP(C314, 'Tổng hợp thông tin sinh viên'!A:E, 5, 0), "")</f>
        <v>CNTT Việt Pháp 01-K67</v>
      </c>
      <c r="F314" s="49"/>
      <c r="G314" s="1"/>
      <c r="H314" s="1"/>
      <c r="I314" s="1"/>
      <c r="J314" s="1"/>
      <c r="K314" s="1"/>
      <c r="L314" s="1"/>
      <c r="M314" s="1"/>
      <c r="N314" s="1"/>
      <c r="O314" s="1"/>
      <c r="P314" s="82"/>
      <c r="Q314" s="1"/>
      <c r="R314" s="1"/>
      <c r="S314" s="83"/>
      <c r="T314" s="1"/>
      <c r="U314" s="1"/>
      <c r="V314" s="1"/>
      <c r="W314" s="1"/>
      <c r="X314" s="1"/>
      <c r="Y314" s="1"/>
    </row>
    <row r="315">
      <c r="A315" s="49"/>
      <c r="B315" s="78" t="str">
        <f>IFERROR(VLOOKUP(C315, 'Tổng hợp thông tin sinh viên'!A:E, 2, 0), "")</f>
        <v>Nguyễn Khoa Ninh</v>
      </c>
      <c r="C315" s="27" t="s">
        <v>389</v>
      </c>
      <c r="D315" s="27" t="str">
        <f>IFERROR(VLOOKUP(C315, 'Tổng hợp thông tin sinh viên'!A:E, 3, 0), "")</f>
        <v>ninh.nk226117@sis.hust.edu.vn</v>
      </c>
      <c r="E315" s="27" t="str">
        <f>IFERROR(VLOOKUP(C315, 'Tổng hợp thông tin sinh viên'!A:E, 5, 0), "")</f>
        <v>CNTT Việt Pháp 01-K67</v>
      </c>
      <c r="F315" s="49"/>
      <c r="G315" s="1"/>
      <c r="H315" s="1"/>
      <c r="I315" s="1"/>
      <c r="J315" s="1"/>
      <c r="K315" s="1"/>
      <c r="L315" s="1"/>
      <c r="M315" s="1"/>
      <c r="N315" s="1"/>
      <c r="O315" s="1"/>
      <c r="P315" s="82"/>
      <c r="Q315" s="1"/>
      <c r="R315" s="1"/>
      <c r="S315" s="83"/>
      <c r="T315" s="1"/>
      <c r="U315" s="1"/>
      <c r="V315" s="1"/>
      <c r="W315" s="1"/>
      <c r="X315" s="1"/>
      <c r="Y315" s="1"/>
    </row>
    <row r="316">
      <c r="A316" s="49"/>
      <c r="B316" s="78" t="str">
        <f>IFERROR(VLOOKUP(C316, 'Tổng hợp thông tin sinh viên'!A:E, 2, 0), "")</f>
        <v>Nông Quốc Khánh</v>
      </c>
      <c r="C316" s="27" t="s">
        <v>390</v>
      </c>
      <c r="D316" s="27" t="str">
        <f>IFERROR(VLOOKUP(C316, 'Tổng hợp thông tin sinh viên'!A:E, 3, 0), "")</f>
        <v>khanh.nq226088@sis.hust.edu.vn</v>
      </c>
      <c r="E316" s="27" t="str">
        <f>IFERROR(VLOOKUP(C316, 'Tổng hợp thông tin sinh viên'!A:E, 5, 0), "")</f>
        <v>CNTT Việt Pháp 01-K67</v>
      </c>
      <c r="F316" s="49"/>
      <c r="G316" s="1"/>
      <c r="H316" s="1"/>
      <c r="I316" s="1"/>
      <c r="J316" s="1"/>
      <c r="K316" s="1"/>
      <c r="L316" s="1"/>
      <c r="M316" s="1"/>
      <c r="N316" s="1"/>
      <c r="O316" s="1"/>
      <c r="P316" s="82"/>
      <c r="Q316" s="1"/>
      <c r="R316" s="1"/>
      <c r="S316" s="83"/>
      <c r="T316" s="1"/>
      <c r="U316" s="1"/>
      <c r="V316" s="1"/>
      <c r="W316" s="1"/>
      <c r="X316" s="1"/>
      <c r="Y316" s="1"/>
    </row>
    <row r="317">
      <c r="A317" s="49"/>
      <c r="B317" s="78" t="str">
        <f>IFERROR(VLOOKUP(C317, 'Tổng hợp thông tin sinh viên'!A:E, 2, 0), "")</f>
        <v>Ngô Mạnh Hùng</v>
      </c>
      <c r="C317" s="27" t="s">
        <v>391</v>
      </c>
      <c r="D317" s="27" t="str">
        <f>IFERROR(VLOOKUP(C317, 'Tổng hợp thông tin sinh viên'!A:E, 3, 0), "")</f>
        <v>hung.nm226083@sis.hust.edu.vn</v>
      </c>
      <c r="E317" s="27" t="str">
        <f>IFERROR(VLOOKUP(C317, 'Tổng hợp thông tin sinh viên'!A:E, 5, 0), "")</f>
        <v>CNTT Việt Pháp 01-K67</v>
      </c>
      <c r="F317" s="49"/>
      <c r="G317" s="1"/>
      <c r="H317" s="1"/>
      <c r="I317" s="1"/>
      <c r="J317" s="1"/>
      <c r="K317" s="1"/>
      <c r="L317" s="1"/>
      <c r="M317" s="1"/>
      <c r="N317" s="1"/>
      <c r="O317" s="1"/>
      <c r="P317" s="82"/>
      <c r="Q317" s="1"/>
      <c r="R317" s="1"/>
      <c r="S317" s="83"/>
      <c r="T317" s="1"/>
      <c r="U317" s="1"/>
      <c r="V317" s="1"/>
      <c r="W317" s="1"/>
      <c r="X317" s="1"/>
      <c r="Y317" s="1"/>
    </row>
    <row r="318">
      <c r="A318" s="49"/>
      <c r="B318" s="78" t="str">
        <f>IFERROR(VLOOKUP(C318, 'Tổng hợp thông tin sinh viên'!A:E, 2, 0), "")</f>
        <v>Ôn Quang Tùng</v>
      </c>
      <c r="C318" s="27" t="s">
        <v>392</v>
      </c>
      <c r="D318" s="27" t="str">
        <f>IFERROR(VLOOKUP(C318, 'Tổng hợp thông tin sinh viên'!A:E, 3, 0), "")</f>
        <v>tung.oq226096@sis.hust.edu.vn</v>
      </c>
      <c r="E318" s="27" t="str">
        <f>IFERROR(VLOOKUP(C318, 'Tổng hợp thông tin sinh viên'!A:E, 5, 0), "")</f>
        <v>CNTT Việt Pháp 01-K67</v>
      </c>
      <c r="F318" s="49"/>
      <c r="G318" s="1"/>
      <c r="H318" s="1"/>
      <c r="I318" s="1"/>
      <c r="J318" s="1"/>
      <c r="K318" s="1"/>
      <c r="L318" s="1"/>
      <c r="M318" s="1"/>
      <c r="N318" s="1"/>
      <c r="O318" s="1"/>
      <c r="P318" s="82"/>
      <c r="Q318" s="1"/>
      <c r="R318" s="1"/>
      <c r="S318" s="83"/>
      <c r="T318" s="1"/>
      <c r="U318" s="1"/>
      <c r="V318" s="1"/>
      <c r="W318" s="1"/>
      <c r="X318" s="1"/>
      <c r="Y318" s="1"/>
    </row>
    <row r="319">
      <c r="A319" s="49"/>
      <c r="B319" s="78" t="str">
        <f>IFERROR(VLOOKUP(C319, 'Tổng hợp thông tin sinh viên'!A:E, 2, 0), "")</f>
        <v>Trịnh Quang Minh</v>
      </c>
      <c r="C319" s="27" t="s">
        <v>393</v>
      </c>
      <c r="D319" s="27" t="str">
        <f>IFERROR(VLOOKUP(C319, 'Tổng hợp thông tin sinh viên'!A:E, 3, 0), "")</f>
        <v>minh.tq226092@sis.hust.edu.vn</v>
      </c>
      <c r="E319" s="27" t="str">
        <f>IFERROR(VLOOKUP(C319, 'Tổng hợp thông tin sinh viên'!A:E, 5, 0), "")</f>
        <v>CNTT Việt Pháp 01-K67</v>
      </c>
      <c r="F319" s="49"/>
      <c r="G319" s="1"/>
      <c r="H319" s="1"/>
      <c r="I319" s="1"/>
      <c r="J319" s="1"/>
      <c r="K319" s="1"/>
      <c r="L319" s="1"/>
      <c r="M319" s="1"/>
      <c r="N319" s="1"/>
      <c r="O319" s="1"/>
      <c r="P319" s="82"/>
      <c r="Q319" s="1"/>
      <c r="R319" s="1"/>
      <c r="S319" s="83"/>
      <c r="T319" s="1"/>
      <c r="U319" s="1"/>
      <c r="V319" s="1"/>
      <c r="W319" s="1"/>
      <c r="X319" s="1"/>
      <c r="Y319" s="1"/>
    </row>
    <row r="320">
      <c r="A320" s="49"/>
      <c r="B320" s="78" t="str">
        <f>IFERROR(VLOOKUP(C320, 'Tổng hợp thông tin sinh viên'!A:E, 2, 0), "")</f>
        <v>Trần Quang Huy</v>
      </c>
      <c r="C320" s="27" t="s">
        <v>394</v>
      </c>
      <c r="D320" s="27" t="str">
        <f>IFERROR(VLOOKUP(C320, 'Tổng hợp thông tin sinh viên'!A:E, 3, 0), "")</f>
        <v>huy.tq226109@sis.hust.edu.vn</v>
      </c>
      <c r="E320" s="27" t="str">
        <f>IFERROR(VLOOKUP(C320, 'Tổng hợp thông tin sinh viên'!A:E, 5, 0), "")</f>
        <v>CNTT Việt Pháp 01-K67</v>
      </c>
      <c r="F320" s="49"/>
      <c r="G320" s="1"/>
      <c r="H320" s="1"/>
      <c r="I320" s="1"/>
      <c r="J320" s="1"/>
      <c r="K320" s="1"/>
      <c r="L320" s="1"/>
      <c r="M320" s="1"/>
      <c r="N320" s="1"/>
      <c r="O320" s="1"/>
      <c r="P320" s="82"/>
      <c r="Q320" s="1"/>
      <c r="R320" s="1"/>
      <c r="S320" s="83"/>
      <c r="T320" s="1"/>
      <c r="U320" s="1"/>
      <c r="V320" s="1"/>
      <c r="W320" s="1"/>
      <c r="X320" s="1"/>
      <c r="Y320" s="1"/>
    </row>
    <row r="321">
      <c r="A321" s="52"/>
      <c r="B321" s="78" t="str">
        <f>IFERROR(VLOOKUP(C321, 'Tổng hợp thông tin sinh viên'!A:E, 2, 0), "")</f>
        <v>Nguyễn Hoàng Việt</v>
      </c>
      <c r="C321" s="27" t="s">
        <v>395</v>
      </c>
      <c r="D321" s="27" t="str">
        <f>IFERROR(VLOOKUP(C321, 'Tổng hợp thông tin sinh viên'!A:E, 3, 0), "")</f>
        <v>viet.nh226098@sis.hust.edu.vn</v>
      </c>
      <c r="E321" s="27" t="str">
        <f>IFERROR(VLOOKUP(C321, 'Tổng hợp thông tin sinh viên'!A:E, 5, 0), "")</f>
        <v>CNTT Việt Pháp 01-K67</v>
      </c>
      <c r="F321" s="52"/>
      <c r="G321" s="1"/>
      <c r="H321" s="1"/>
      <c r="I321" s="1"/>
      <c r="J321" s="1"/>
      <c r="K321" s="1"/>
      <c r="L321" s="1"/>
      <c r="M321" s="1"/>
      <c r="N321" s="1"/>
      <c r="O321" s="1"/>
      <c r="P321" s="82"/>
      <c r="Q321" s="1"/>
      <c r="R321" s="1"/>
      <c r="S321" s="83"/>
      <c r="T321" s="1"/>
      <c r="U321" s="1"/>
      <c r="V321" s="1"/>
      <c r="W321" s="1"/>
      <c r="X321" s="1"/>
      <c r="Y321" s="1"/>
    </row>
    <row r="322">
      <c r="A322" s="69">
        <v>39.0</v>
      </c>
      <c r="B322" s="70" t="str">
        <f>IFERROR(VLOOKUP(C322, 'Tổng hợp thông tin sinh viên'!A:E, 2, 0), "")</f>
        <v>Nguyễn Trung Sơn</v>
      </c>
      <c r="C322" s="31" t="s">
        <v>396</v>
      </c>
      <c r="D322" s="31" t="str">
        <f>IFERROR(VLOOKUP(C322, 'Tổng hợp thông tin sinh viên'!A:E, 3, 0), "")</f>
        <v>Son.nt226124@sis.hust.edu.vn</v>
      </c>
      <c r="E322" s="31" t="str">
        <f>IFERROR(VLOOKUP(C322, 'Tổng hợp thông tin sinh viên'!A:E, 5, 0), "")</f>
        <v/>
      </c>
      <c r="F322" s="71" t="str">
        <f>IF(COUNTBLANK(C322:C331) = 0, "Đủ", "Thiếu: " &amp; COUNTBLANK(C322:C331))</f>
        <v>Đủ</v>
      </c>
      <c r="G322" s="1"/>
      <c r="H322" s="1"/>
      <c r="I322" s="1"/>
      <c r="J322" s="1"/>
      <c r="K322" s="1"/>
      <c r="L322" s="1"/>
      <c r="M322" s="1"/>
      <c r="N322" s="1"/>
      <c r="O322" s="1"/>
      <c r="P322" s="82"/>
      <c r="Q322" s="1"/>
      <c r="R322" s="1"/>
      <c r="S322" s="83"/>
      <c r="T322" s="1"/>
      <c r="U322" s="1"/>
      <c r="V322" s="1"/>
      <c r="W322" s="1"/>
      <c r="X322" s="1"/>
      <c r="Y322" s="1"/>
    </row>
    <row r="323">
      <c r="A323" s="49"/>
      <c r="B323" s="70" t="str">
        <f>IFERROR(VLOOKUP(C323, 'Tổng hợp thông tin sinh viên'!A:E, 2, 0), "")</f>
        <v>Trần Đại Hiệp</v>
      </c>
      <c r="C323" s="31" t="s">
        <v>397</v>
      </c>
      <c r="D323" s="31" t="str">
        <f>IFERROR(VLOOKUP(C323, 'Tổng hợp thông tin sinh viên'!A:E, 3, 0), "")</f>
        <v>hiep.td226081@sis.hust.edu.vn</v>
      </c>
      <c r="E323" s="31" t="str">
        <f>IFERROR(VLOOKUP(C323, 'Tổng hợp thông tin sinh viên'!A:E, 5, 0), "")</f>
        <v>CNTT Việt Pháp 01-K67</v>
      </c>
      <c r="F323" s="49"/>
      <c r="G323" s="1"/>
      <c r="H323" s="1"/>
      <c r="I323" s="1"/>
      <c r="J323" s="1"/>
      <c r="K323" s="1"/>
      <c r="L323" s="1"/>
      <c r="M323" s="1"/>
      <c r="N323" s="1"/>
      <c r="O323" s="1"/>
      <c r="P323" s="82"/>
      <c r="Q323" s="1"/>
      <c r="R323" s="1"/>
      <c r="S323" s="83"/>
      <c r="T323" s="1"/>
      <c r="U323" s="1"/>
      <c r="V323" s="1"/>
      <c r="W323" s="1"/>
      <c r="X323" s="1"/>
      <c r="Y323" s="1"/>
    </row>
    <row r="324">
      <c r="A324" s="49"/>
      <c r="B324" s="70" t="str">
        <f>IFERROR(VLOOKUP(C324, 'Tổng hợp thông tin sinh viên'!A:E, 2, 0), "")</f>
        <v>Nguyễn Minh Quang</v>
      </c>
      <c r="C324" s="31" t="s">
        <v>398</v>
      </c>
      <c r="D324" s="31" t="str">
        <f>IFERROR(VLOOKUP(C324, 'Tổng hợp thông tin sinh viên'!A:E, 3, 0), "")</f>
        <v>quang.nm226123@sis.hust.edu.vn</v>
      </c>
      <c r="E324" s="31" t="str">
        <f>IFERROR(VLOOKUP(C324, 'Tổng hợp thông tin sinh viên'!A:E, 5, 0), "")</f>
        <v/>
      </c>
      <c r="F324" s="49"/>
      <c r="G324" s="1"/>
      <c r="H324" s="1"/>
      <c r="I324" s="1"/>
      <c r="J324" s="1"/>
      <c r="K324" s="1"/>
      <c r="L324" s="1"/>
      <c r="M324" s="1"/>
      <c r="N324" s="1"/>
      <c r="O324" s="1"/>
      <c r="P324" s="82"/>
      <c r="Q324" s="1"/>
      <c r="R324" s="1"/>
      <c r="S324" s="83"/>
      <c r="T324" s="1"/>
      <c r="U324" s="1"/>
      <c r="V324" s="1"/>
      <c r="W324" s="1"/>
      <c r="X324" s="1"/>
      <c r="Y324" s="1"/>
    </row>
    <row r="325">
      <c r="A325" s="49"/>
      <c r="B325" s="70" t="str">
        <f>IFERROR(VLOOKUP(C325, 'Tổng hợp thông tin sinh viên'!A:E, 2, 0), "")</f>
        <v>Dương Thái Anh</v>
      </c>
      <c r="C325" s="31" t="s">
        <v>399</v>
      </c>
      <c r="D325" s="31" t="str">
        <f>IFERROR(VLOOKUP(C325, 'Tổng hợp thông tin sinh viên'!A:E, 3, 0), "")</f>
        <v>anh.dt226099@sis.hust.edu.vn</v>
      </c>
      <c r="E325" s="31" t="str">
        <f>IFERROR(VLOOKUP(C325, 'Tổng hợp thông tin sinh viên'!A:E, 5, 0), "")</f>
        <v/>
      </c>
      <c r="F325" s="49"/>
      <c r="G325" s="1"/>
      <c r="H325" s="1"/>
      <c r="I325" s="1"/>
      <c r="J325" s="1"/>
      <c r="K325" s="1"/>
      <c r="L325" s="1"/>
      <c r="M325" s="1"/>
      <c r="N325" s="1"/>
      <c r="O325" s="1"/>
      <c r="P325" s="82"/>
      <c r="Q325" s="1"/>
      <c r="R325" s="1"/>
      <c r="S325" s="83"/>
      <c r="T325" s="1"/>
      <c r="U325" s="1"/>
      <c r="V325" s="1"/>
      <c r="W325" s="1"/>
      <c r="X325" s="1"/>
      <c r="Y325" s="1"/>
    </row>
    <row r="326">
      <c r="A326" s="49"/>
      <c r="B326" s="70" t="str">
        <f>IFERROR(VLOOKUP(C326, 'Tổng hợp thông tin sinh viên'!A:E, 2, 0), "")</f>
        <v>Nguyễn Trung Hiếu</v>
      </c>
      <c r="C326" s="31" t="s">
        <v>400</v>
      </c>
      <c r="D326" s="31" t="str">
        <f>IFERROR(VLOOKUP(C326, 'Tổng hợp thông tin sinh viên'!A:E, 3, 0), "")</f>
        <v>hieu.nt226082@sis.hust.edu.vn</v>
      </c>
      <c r="E326" s="31" t="str">
        <f>IFERROR(VLOOKUP(C326, 'Tổng hợp thông tin sinh viên'!A:E, 5, 0), "")</f>
        <v/>
      </c>
      <c r="F326" s="49"/>
      <c r="G326" s="1"/>
      <c r="H326" s="1"/>
      <c r="I326" s="1"/>
      <c r="J326" s="1"/>
      <c r="K326" s="1"/>
      <c r="L326" s="1"/>
      <c r="M326" s="1"/>
      <c r="N326" s="1"/>
      <c r="O326" s="1"/>
      <c r="P326" s="82"/>
      <c r="Q326" s="1"/>
      <c r="R326" s="1"/>
      <c r="S326" s="83"/>
      <c r="T326" s="1"/>
      <c r="U326" s="1"/>
      <c r="V326" s="1"/>
      <c r="W326" s="1"/>
      <c r="X326" s="1"/>
      <c r="Y326" s="1"/>
    </row>
    <row r="327">
      <c r="A327" s="49"/>
      <c r="B327" s="70" t="str">
        <f>IFERROR(VLOOKUP(C327, 'Tổng hợp thông tin sinh viên'!A:E, 2, 0), "")</f>
        <v>Phạm Nguyên Việt</v>
      </c>
      <c r="C327" s="31" t="s">
        <v>401</v>
      </c>
      <c r="D327" s="31" t="str">
        <f>IFERROR(VLOOKUP(C327, 'Tổng hợp thông tin sinh viên'!A:E, 3, 0), "")</f>
        <v>viet.pn225776@sis.hust.edu.vn</v>
      </c>
      <c r="E327" s="31" t="str">
        <f>IFERROR(VLOOKUP(C327, 'Tổng hợp thông tin sinh viên'!A:E, 5, 0), "")</f>
        <v>Việt Nhật 01-K67</v>
      </c>
      <c r="F327" s="49"/>
      <c r="G327" s="1"/>
      <c r="H327" s="1"/>
      <c r="I327" s="1"/>
      <c r="J327" s="1"/>
      <c r="K327" s="1"/>
      <c r="L327" s="1"/>
      <c r="M327" s="1"/>
      <c r="N327" s="1"/>
      <c r="O327" s="1"/>
      <c r="P327" s="82"/>
      <c r="Q327" s="1"/>
      <c r="R327" s="1"/>
      <c r="S327" s="83"/>
      <c r="T327" s="1"/>
      <c r="U327" s="1"/>
      <c r="V327" s="1"/>
      <c r="W327" s="1"/>
      <c r="X327" s="1"/>
      <c r="Y327" s="1"/>
    </row>
    <row r="328">
      <c r="A328" s="49"/>
      <c r="B328" s="70" t="str">
        <f>IFERROR(VLOOKUP(C328, 'Tổng hợp thông tin sinh viên'!A:E, 2, 0), "")</f>
        <v>Lục Minh Đức</v>
      </c>
      <c r="C328" s="31" t="s">
        <v>402</v>
      </c>
      <c r="D328" s="31" t="str">
        <f>IFERROR(VLOOKUP(C328, 'Tổng hợp thông tin sinh viên'!A:E, 3, 0), "")</f>
        <v>duc.lm225810@sis.hust.edu.vn</v>
      </c>
      <c r="E328" s="31" t="str">
        <f>IFERROR(VLOOKUP(C328, 'Tổng hợp thông tin sinh viên'!A:E, 5, 0), "")</f>
        <v>Việt Nhật 04-K67</v>
      </c>
      <c r="F328" s="49"/>
      <c r="G328" s="1"/>
      <c r="H328" s="1"/>
      <c r="I328" s="1"/>
      <c r="J328" s="1"/>
      <c r="K328" s="1"/>
      <c r="L328" s="1"/>
      <c r="M328" s="1"/>
      <c r="N328" s="1"/>
      <c r="O328" s="1"/>
      <c r="P328" s="82"/>
      <c r="Q328" s="1"/>
      <c r="R328" s="1"/>
      <c r="S328" s="83"/>
      <c r="T328" s="1"/>
      <c r="U328" s="1"/>
      <c r="V328" s="1"/>
      <c r="W328" s="1"/>
      <c r="X328" s="1"/>
      <c r="Y328" s="1"/>
    </row>
    <row r="329">
      <c r="A329" s="49"/>
      <c r="B329" s="70" t="str">
        <f>IFERROR(VLOOKUP(C329, 'Tổng hợp thông tin sinh viên'!A:E, 2, 0), "")</f>
        <v>Đỗ Quang Huy</v>
      </c>
      <c r="C329" s="31" t="s">
        <v>403</v>
      </c>
      <c r="D329" s="31" t="str">
        <f>IFERROR(VLOOKUP(C329, 'Tổng hợp thông tin sinh viên'!A:E, 3, 0), "")</f>
        <v>huy.dq225854@sis.hust.edu.vn</v>
      </c>
      <c r="E329" s="31" t="str">
        <f>IFERROR(VLOOKUP(C329, 'Tổng hợp thông tin sinh viên'!A:E, 5, 0), "")</f>
        <v>Việt Nhật 04-K67</v>
      </c>
      <c r="F329" s="49"/>
      <c r="G329" s="1"/>
      <c r="H329" s="1"/>
      <c r="I329" s="1"/>
      <c r="J329" s="1"/>
      <c r="K329" s="1"/>
      <c r="L329" s="1"/>
      <c r="M329" s="1"/>
      <c r="N329" s="1"/>
      <c r="O329" s="1"/>
      <c r="P329" s="82"/>
      <c r="Q329" s="1"/>
      <c r="R329" s="1"/>
      <c r="S329" s="83"/>
      <c r="T329" s="1"/>
      <c r="U329" s="1"/>
      <c r="V329" s="1"/>
      <c r="W329" s="1"/>
      <c r="X329" s="1"/>
      <c r="Y329" s="1"/>
    </row>
    <row r="330">
      <c r="A330" s="49"/>
      <c r="B330" s="70" t="str">
        <f>IFERROR(VLOOKUP(C330, 'Tổng hợp thông tin sinh viên'!A:E, 2, 0), "")</f>
        <v>Phan Hoàng Long</v>
      </c>
      <c r="C330" s="31" t="s">
        <v>404</v>
      </c>
      <c r="D330" s="31" t="str">
        <f>IFERROR(VLOOKUP(C330, 'Tổng hợp thông tin sinh viên'!A:E, 3, 0), "")</f>
        <v>long.ph225738@sis.hust.edu.vn</v>
      </c>
      <c r="E330" s="31" t="str">
        <f>IFERROR(VLOOKUP(C330, 'Tổng hợp thông tin sinh viên'!A:E, 5, 0), "")</f>
        <v>Việt Nhật 05-K67</v>
      </c>
      <c r="F330" s="49"/>
      <c r="G330" s="1"/>
      <c r="H330" s="1"/>
      <c r="I330" s="1"/>
      <c r="J330" s="1"/>
      <c r="K330" s="1"/>
      <c r="L330" s="1"/>
      <c r="M330" s="1"/>
      <c r="N330" s="1"/>
      <c r="O330" s="1"/>
      <c r="P330" s="82"/>
      <c r="Q330" s="1"/>
      <c r="R330" s="1"/>
      <c r="S330" s="83"/>
      <c r="T330" s="1"/>
      <c r="U330" s="1"/>
      <c r="V330" s="1"/>
      <c r="W330" s="1"/>
      <c r="X330" s="1"/>
      <c r="Y330" s="1"/>
    </row>
    <row r="331">
      <c r="A331" s="52"/>
      <c r="B331" s="70" t="str">
        <f>IFERROR(VLOOKUP(C331, 'Tổng hợp thông tin sinh viên'!A:E, 2, 0), "")</f>
        <v>Trương Công Thái Đức</v>
      </c>
      <c r="C331" s="31" t="s">
        <v>405</v>
      </c>
      <c r="D331" s="31" t="str">
        <f>IFERROR(VLOOKUP(C331, 'Tổng hợp thông tin sinh viên'!A:E, 3, 0), "")</f>
        <v>duc.tct225815@sis.hust.edu.vn</v>
      </c>
      <c r="E331" s="31" t="str">
        <f>IFERROR(VLOOKUP(C331, 'Tổng hợp thông tin sinh viên'!A:E, 5, 0), "")</f>
        <v>Việt Nhật 04-K67</v>
      </c>
      <c r="F331" s="52"/>
      <c r="G331" s="1"/>
      <c r="H331" s="1"/>
      <c r="I331" s="1"/>
      <c r="J331" s="1"/>
      <c r="K331" s="1"/>
      <c r="L331" s="1"/>
      <c r="M331" s="1"/>
      <c r="N331" s="1"/>
      <c r="O331" s="1"/>
      <c r="P331" s="82"/>
      <c r="Q331" s="1"/>
      <c r="R331" s="1"/>
      <c r="S331" s="83"/>
      <c r="T331" s="1"/>
      <c r="U331" s="1"/>
      <c r="V331" s="1"/>
      <c r="W331" s="1"/>
      <c r="X331" s="1"/>
      <c r="Y331" s="1"/>
    </row>
    <row r="332">
      <c r="A332" s="77">
        <v>40.0</v>
      </c>
      <c r="B332" s="78" t="str">
        <f>IFERROR(VLOOKUP(C332, 'Tổng hợp thông tin sinh viên'!A:E, 2, 0), "")</f>
        <v>Phạm Việt Anh</v>
      </c>
      <c r="C332" s="79" t="s">
        <v>406</v>
      </c>
      <c r="D332" s="27" t="str">
        <f>IFERROR(VLOOKUP(C332, 'Tổng hợp thông tin sinh viên'!A:E, 3, 0), "")</f>
        <v>anh.pv225599@sis.hust.edu.vn</v>
      </c>
      <c r="E332" s="27" t="str">
        <f>IFERROR(VLOOKUP(C332, 'Tổng hợp thông tin sinh viên'!A:E, 5, 0), "")</f>
        <v>Việt Nhật 03-K67</v>
      </c>
      <c r="F332" s="71" t="str">
        <f>IF(COUNTBLANK(C332:C341) = 0, "Đủ", "Thiếu: " &amp; COUNTBLANK(C332:C341))</f>
        <v>Đủ</v>
      </c>
      <c r="G332" s="1"/>
      <c r="H332" s="1"/>
      <c r="I332" s="1"/>
      <c r="J332" s="1"/>
      <c r="K332" s="1"/>
      <c r="L332" s="1"/>
      <c r="M332" s="1"/>
      <c r="N332" s="1"/>
      <c r="O332" s="1"/>
      <c r="P332" s="82"/>
      <c r="Q332" s="1"/>
      <c r="R332" s="1"/>
      <c r="S332" s="83"/>
      <c r="T332" s="1"/>
      <c r="U332" s="1"/>
      <c r="V332" s="1"/>
      <c r="W332" s="1"/>
      <c r="X332" s="1"/>
      <c r="Y332" s="1"/>
    </row>
    <row r="333">
      <c r="A333" s="49"/>
      <c r="B333" s="78" t="str">
        <f>IFERROR(VLOOKUP(C333, 'Tổng hợp thông tin sinh viên'!A:E, 2, 0), "")</f>
        <v>Nguyễn Trí Dũng</v>
      </c>
      <c r="C333" s="27" t="s">
        <v>407</v>
      </c>
      <c r="D333" s="27" t="str">
        <f>IFERROR(VLOOKUP(C333, 'Tổng hợp thông tin sinh viên'!A:E, 3, 0), "")</f>
        <v>dung.nt225613@sis.hust.edu.vn</v>
      </c>
      <c r="E333" s="27" t="str">
        <f>IFERROR(VLOOKUP(C333, 'Tổng hợp thông tin sinh viên'!A:E, 5, 0), "")</f>
        <v>Việt Nhật 03-K67</v>
      </c>
      <c r="F333" s="49"/>
      <c r="G333" s="1"/>
      <c r="H333" s="1"/>
      <c r="I333" s="1"/>
      <c r="J333" s="1"/>
      <c r="K333" s="1"/>
      <c r="L333" s="1"/>
      <c r="M333" s="1"/>
      <c r="N333" s="1"/>
      <c r="O333" s="1"/>
      <c r="P333" s="82"/>
      <c r="Q333" s="1"/>
      <c r="R333" s="1"/>
      <c r="S333" s="83"/>
      <c r="T333" s="1"/>
      <c r="U333" s="1"/>
      <c r="V333" s="1"/>
      <c r="W333" s="1"/>
      <c r="X333" s="1"/>
      <c r="Y333" s="1"/>
    </row>
    <row r="334">
      <c r="A334" s="49"/>
      <c r="B334" s="78" t="str">
        <f>IFERROR(VLOOKUP(C334, 'Tổng hợp thông tin sinh viên'!A:E, 2, 0), "")</f>
        <v>Vũ Minh Quân</v>
      </c>
      <c r="C334" s="27" t="s">
        <v>408</v>
      </c>
      <c r="D334" s="27" t="str">
        <f>IFERROR(VLOOKUP(C334, 'Tổng hợp thông tin sinh viên'!A:E, 3, 0), "")</f>
        <v>quan.vm225910@sis.hust.edu.vn</v>
      </c>
      <c r="E334" s="27" t="str">
        <f>IFERROR(VLOOKUP(C334, 'Tổng hợp thông tin sinh viên'!A:E, 5, 0), "")</f>
        <v>Việt Nhật 04-K67</v>
      </c>
      <c r="F334" s="49"/>
      <c r="G334" s="1"/>
      <c r="H334" s="1"/>
      <c r="I334" s="1"/>
      <c r="J334" s="1"/>
      <c r="K334" s="1"/>
      <c r="L334" s="1"/>
      <c r="M334" s="1"/>
      <c r="N334" s="1"/>
      <c r="O334" s="1"/>
      <c r="P334" s="82"/>
      <c r="Q334" s="1"/>
      <c r="R334" s="1"/>
      <c r="S334" s="83"/>
      <c r="T334" s="1"/>
      <c r="U334" s="1"/>
      <c r="V334" s="1"/>
      <c r="W334" s="1"/>
      <c r="X334" s="1"/>
      <c r="Y334" s="1"/>
    </row>
    <row r="335">
      <c r="A335" s="49"/>
      <c r="B335" s="78" t="str">
        <f>IFERROR(VLOOKUP(C335, 'Tổng hợp thông tin sinh viên'!A:E, 2, 0), "")</f>
        <v>Trương Phạm Ngọc Khánh</v>
      </c>
      <c r="C335" s="27" t="s">
        <v>409</v>
      </c>
      <c r="D335" s="27" t="str">
        <f>IFERROR(VLOOKUP(C335, 'Tổng hợp thông tin sinh viên'!A:E, 3, 0), "")</f>
        <v>khanh.tpn225641@sis.hust.edu.vn</v>
      </c>
      <c r="E335" s="27" t="str">
        <f>IFERROR(VLOOKUP(C335, 'Tổng hợp thông tin sinh viên'!A:E, 5, 0), "")</f>
        <v>Việt Nhật 07-K67</v>
      </c>
      <c r="F335" s="49"/>
      <c r="G335" s="1"/>
      <c r="H335" s="1"/>
      <c r="I335" s="1"/>
      <c r="J335" s="1"/>
      <c r="K335" s="1"/>
      <c r="L335" s="1"/>
      <c r="M335" s="1"/>
      <c r="N335" s="1"/>
      <c r="O335" s="1"/>
      <c r="P335" s="82"/>
      <c r="Q335" s="1"/>
      <c r="R335" s="1"/>
      <c r="S335" s="83"/>
      <c r="T335" s="1"/>
      <c r="U335" s="1"/>
      <c r="V335" s="1"/>
      <c r="W335" s="1"/>
      <c r="X335" s="1"/>
      <c r="Y335" s="1"/>
    </row>
    <row r="336">
      <c r="A336" s="49"/>
      <c r="B336" s="78" t="str">
        <f>IFERROR(VLOOKUP(C336, 'Tổng hợp thông tin sinh viên'!A:E, 2, 0), "")</f>
        <v>Mạch Ngọc Đức Anh</v>
      </c>
      <c r="C336" s="27" t="s">
        <v>410</v>
      </c>
      <c r="D336" s="27" t="str">
        <f>IFERROR(VLOOKUP(C336, 'Tổng hợp thông tin sinh viên'!A:E, 3, 0), "")</f>
        <v>anh.mnd225595@sis.hust.edu.vn</v>
      </c>
      <c r="E336" s="27" t="str">
        <f>IFERROR(VLOOKUP(C336, 'Tổng hợp thông tin sinh viên'!A:E, 5, 0), "")</f>
        <v>Việt Nhật 03-K67</v>
      </c>
      <c r="F336" s="49"/>
      <c r="G336" s="1"/>
      <c r="H336" s="1"/>
      <c r="I336" s="1"/>
      <c r="J336" s="1"/>
      <c r="K336" s="1"/>
      <c r="L336" s="1"/>
      <c r="M336" s="1"/>
      <c r="N336" s="1"/>
      <c r="O336" s="1"/>
      <c r="P336" s="82"/>
      <c r="Q336" s="1"/>
      <c r="R336" s="1"/>
      <c r="S336" s="83"/>
      <c r="T336" s="1"/>
      <c r="U336" s="1"/>
      <c r="V336" s="1"/>
      <c r="W336" s="1"/>
      <c r="X336" s="1"/>
      <c r="Y336" s="1"/>
    </row>
    <row r="337">
      <c r="A337" s="49"/>
      <c r="B337" s="78" t="str">
        <f>IFERROR(VLOOKUP(C337, 'Tổng hợp thông tin sinh viên'!A:E, 2, 0), "")</f>
        <v>Đỗ Hoàng Đông</v>
      </c>
      <c r="C337" s="27" t="s">
        <v>411</v>
      </c>
      <c r="D337" s="27" t="str">
        <f>IFERROR(VLOOKUP(C337, 'Tổng hợp thông tin sinh viên'!A:E, 3, 0), "")</f>
        <v>dong.dh225807@sis.hust.edu.vn</v>
      </c>
      <c r="E337" s="27" t="str">
        <f>IFERROR(VLOOKUP(C337, 'Tổng hợp thông tin sinh viên'!A:E, 5, 0), "")</f>
        <v>Việt Nhật 03-K67</v>
      </c>
      <c r="F337" s="49"/>
      <c r="G337" s="1"/>
      <c r="H337" s="1"/>
      <c r="I337" s="1"/>
      <c r="J337" s="1"/>
      <c r="K337" s="1"/>
      <c r="L337" s="1"/>
      <c r="M337" s="1"/>
      <c r="N337" s="1"/>
      <c r="O337" s="1"/>
      <c r="P337" s="82"/>
      <c r="Q337" s="1"/>
      <c r="R337" s="1"/>
      <c r="S337" s="83"/>
      <c r="T337" s="1"/>
      <c r="U337" s="1"/>
      <c r="V337" s="1"/>
      <c r="W337" s="1"/>
      <c r="X337" s="1"/>
      <c r="Y337" s="1"/>
    </row>
    <row r="338">
      <c r="A338" s="49"/>
      <c r="B338" s="78" t="str">
        <f>IFERROR(VLOOKUP(C338, 'Tổng hợp thông tin sinh viên'!A:E, 2, 0), "")</f>
        <v>Bùi Quốc Bảo</v>
      </c>
      <c r="C338" s="27" t="s">
        <v>412</v>
      </c>
      <c r="D338" s="27" t="str">
        <f>IFERROR(VLOOKUP(C338, 'Tổng hợp thông tin sinh viên'!A:E, 3, 0), "")</f>
        <v>bao.bq225601@sis.hust.edu.vn</v>
      </c>
      <c r="E338" s="27" t="str">
        <f>IFERROR(VLOOKUP(C338, 'Tổng hợp thông tin sinh viên'!A:E, 5, 0), "")</f>
        <v>Việt Nhật 04-K67</v>
      </c>
      <c r="F338" s="49"/>
      <c r="G338" s="1"/>
      <c r="H338" s="1"/>
      <c r="I338" s="1"/>
      <c r="J338" s="1"/>
      <c r="K338" s="1"/>
      <c r="L338" s="1"/>
      <c r="M338" s="1"/>
      <c r="N338" s="1"/>
      <c r="O338" s="1"/>
      <c r="P338" s="82"/>
      <c r="Q338" s="1"/>
      <c r="R338" s="1"/>
      <c r="S338" s="83"/>
      <c r="T338" s="1"/>
      <c r="U338" s="1"/>
      <c r="V338" s="1"/>
      <c r="W338" s="1"/>
      <c r="X338" s="1"/>
      <c r="Y338" s="1"/>
    </row>
    <row r="339">
      <c r="A339" s="49"/>
      <c r="B339" s="78" t="str">
        <f>IFERROR(VLOOKUP(C339, 'Tổng hợp thông tin sinh viên'!A:E, 2, 0), "")</f>
        <v>Trịnh Quốc Hoàng</v>
      </c>
      <c r="C339" s="27" t="s">
        <v>413</v>
      </c>
      <c r="D339" s="27" t="str">
        <f>IFERROR(VLOOKUP(C339, 'Tổng hợp thông tin sinh viên'!A:E, 3, 0), "")</f>
        <v>hoang.tq225629@sis.hust.edu.vn</v>
      </c>
      <c r="E339" s="27" t="str">
        <f>IFERROR(VLOOKUP(C339, 'Tổng hợp thông tin sinh viên'!A:E, 5, 0), "")</f>
        <v>Việt Nhật 07-K67</v>
      </c>
      <c r="F339" s="49"/>
      <c r="G339" s="1"/>
      <c r="H339" s="1"/>
      <c r="I339" s="1"/>
      <c r="J339" s="1"/>
      <c r="K339" s="1"/>
      <c r="L339" s="1"/>
      <c r="M339" s="1"/>
      <c r="N339" s="1"/>
      <c r="O339" s="1"/>
      <c r="P339" s="82"/>
      <c r="Q339" s="1"/>
      <c r="R339" s="1"/>
      <c r="S339" s="83"/>
      <c r="T339" s="1"/>
      <c r="U339" s="1"/>
      <c r="V339" s="1"/>
      <c r="W339" s="1"/>
      <c r="X339" s="1"/>
      <c r="Y339" s="1"/>
    </row>
    <row r="340">
      <c r="A340" s="49"/>
      <c r="B340" s="78" t="str">
        <f>IFERROR(VLOOKUP(C340, 'Tổng hợp thông tin sinh viên'!A:E, 2, 0), "")</f>
        <v>Trịnh Vi Giang Xuân</v>
      </c>
      <c r="C340" s="27" t="s">
        <v>414</v>
      </c>
      <c r="D340" s="27" t="str">
        <f>IFERROR(VLOOKUP(C340, 'Tổng hợp thông tin sinh viên'!A:E, 3, 0), "")</f>
        <v>xuan.tvg225118@sis.hust.edu.vn</v>
      </c>
      <c r="E340" s="27" t="str">
        <f>IFERROR(VLOOKUP(C340, 'Tổng hợp thông tin sinh viên'!A:E, 5, 0), "")</f>
        <v>Khoa học máy tính 01-K67</v>
      </c>
      <c r="F340" s="49"/>
      <c r="G340" s="1"/>
      <c r="H340" s="1"/>
      <c r="I340" s="1"/>
      <c r="J340" s="1"/>
      <c r="K340" s="1"/>
      <c r="L340" s="1"/>
      <c r="M340" s="1"/>
      <c r="N340" s="1"/>
      <c r="O340" s="1"/>
      <c r="P340" s="82"/>
      <c r="Q340" s="1"/>
      <c r="R340" s="1"/>
      <c r="S340" s="83"/>
      <c r="T340" s="1"/>
      <c r="U340" s="1"/>
      <c r="V340" s="1"/>
      <c r="W340" s="1"/>
      <c r="X340" s="1"/>
      <c r="Y340" s="1"/>
    </row>
    <row r="341">
      <c r="A341" s="52"/>
      <c r="B341" s="78" t="str">
        <f>IFERROR(VLOOKUP(C341, 'Tổng hợp thông tin sinh viên'!A:E, 2, 0), "")</f>
        <v>Bàng Tiến Thành</v>
      </c>
      <c r="C341" s="27" t="s">
        <v>415</v>
      </c>
      <c r="D341" s="27" t="str">
        <f>IFERROR(VLOOKUP(C341, 'Tổng hợp thông tin sinh viên'!A:E, 3, 0), "")</f>
        <v>thanh.bt225669@sis.hust.edu.vn</v>
      </c>
      <c r="E341" s="27" t="str">
        <f>IFERROR(VLOOKUP(C341, 'Tổng hợp thông tin sinh viên'!A:E, 5, 0), "")</f>
        <v>Việt Nhật 06-K67</v>
      </c>
      <c r="F341" s="52"/>
      <c r="G341" s="1"/>
      <c r="H341" s="1"/>
      <c r="I341" s="1"/>
      <c r="J341" s="1"/>
      <c r="K341" s="1"/>
      <c r="L341" s="1"/>
      <c r="M341" s="1"/>
      <c r="N341" s="1"/>
      <c r="O341" s="1"/>
      <c r="P341" s="82"/>
      <c r="Q341" s="1"/>
      <c r="R341" s="1"/>
      <c r="S341" s="83"/>
      <c r="T341" s="1"/>
      <c r="U341" s="1"/>
      <c r="V341" s="1"/>
      <c r="W341" s="1"/>
      <c r="X341" s="1"/>
      <c r="Y341" s="1"/>
    </row>
    <row r="342">
      <c r="A342" s="69">
        <v>42.0</v>
      </c>
      <c r="B342" s="70" t="str">
        <f>IFERROR(VLOOKUP(C342, 'Tổng hợp thông tin sinh viên'!A:E, 2, 0), "")</f>
        <v>Nguyễn Đình Dương</v>
      </c>
      <c r="C342" s="31" t="s">
        <v>416</v>
      </c>
      <c r="D342" s="31" t="str">
        <f>IFERROR(VLOOKUP(C342, 'Tổng hợp thông tin sinh viên'!A:E, 3, 0), "")</f>
        <v>duong.nd225966@sis.hust.edu.vn</v>
      </c>
      <c r="E342" s="31" t="str">
        <f>IFERROR(VLOOKUP(C342, 'Tổng hợp thông tin sinh viên'!A:E, 5, 0), "")</f>
        <v>ICT 02-K67</v>
      </c>
      <c r="F342" s="71" t="str">
        <f>IF(COUNTBLANK(C342:C351) = 0, "Đủ", "Thiếu: " &amp; COUNTBLANK(C342:C351))</f>
        <v>Đủ</v>
      </c>
      <c r="G342" s="1"/>
      <c r="H342" s="1"/>
      <c r="I342" s="1"/>
      <c r="J342" s="1"/>
      <c r="K342" s="1"/>
      <c r="L342" s="1"/>
      <c r="M342" s="1"/>
      <c r="N342" s="1"/>
      <c r="O342" s="1"/>
      <c r="P342" s="82"/>
      <c r="Q342" s="1"/>
      <c r="R342" s="1"/>
      <c r="S342" s="83"/>
      <c r="T342" s="1"/>
      <c r="U342" s="1"/>
      <c r="V342" s="1"/>
      <c r="W342" s="1"/>
      <c r="X342" s="1"/>
      <c r="Y342" s="1"/>
    </row>
    <row r="343">
      <c r="A343" s="49"/>
      <c r="B343" s="70" t="str">
        <f>IFERROR(VLOOKUP(C343, 'Tổng hợp thông tin sinh viên'!A:E, 2, 0), "")</f>
        <v>Nguyễn Lan Nhi</v>
      </c>
      <c r="C343" s="31" t="s">
        <v>417</v>
      </c>
      <c r="D343" s="31" t="str">
        <f>IFERROR(VLOOKUP(C343, 'Tổng hợp thông tin sinh viên'!A:E, 3, 0), "")</f>
        <v>nhi.nl225991@sis.hust.edu.vn</v>
      </c>
      <c r="E343" s="31" t="str">
        <f>IFERROR(VLOOKUP(C343, 'Tổng hợp thông tin sinh viên'!A:E, 5, 0), "")</f>
        <v>ICT 02-K67</v>
      </c>
      <c r="F343" s="49"/>
      <c r="G343" s="1"/>
      <c r="H343" s="1"/>
      <c r="I343" s="1"/>
      <c r="J343" s="1"/>
      <c r="K343" s="1"/>
      <c r="L343" s="1"/>
      <c r="M343" s="1"/>
      <c r="N343" s="1"/>
      <c r="O343" s="1"/>
      <c r="P343" s="82"/>
      <c r="Q343" s="1"/>
      <c r="R343" s="1"/>
      <c r="S343" s="83"/>
      <c r="T343" s="1"/>
      <c r="U343" s="1"/>
      <c r="V343" s="1"/>
      <c r="W343" s="1"/>
      <c r="X343" s="1"/>
      <c r="Y343" s="1"/>
    </row>
    <row r="344">
      <c r="A344" s="49"/>
      <c r="B344" s="70" t="str">
        <f>IFERROR(VLOOKUP(C344, 'Tổng hợp thông tin sinh viên'!A:E, 2, 0), "")</f>
        <v>Nguyễn Trọng Minh Phương</v>
      </c>
      <c r="C344" s="31" t="s">
        <v>418</v>
      </c>
      <c r="D344" s="31" t="str">
        <f>IFERROR(VLOOKUP(C344, 'Tổng hợp thông tin sinh viên'!A:E, 3, 0), "")</f>
        <v>phuong.ntm225992@sis.hust.edu.vn</v>
      </c>
      <c r="E344" s="31" t="str">
        <f>IFERROR(VLOOKUP(C344, 'Tổng hợp thông tin sinh viên'!A:E, 5, 0), "")</f>
        <v>ICT 01-K67</v>
      </c>
      <c r="F344" s="49"/>
      <c r="G344" s="1"/>
      <c r="H344" s="1"/>
      <c r="I344" s="1"/>
      <c r="J344" s="1"/>
      <c r="K344" s="1"/>
      <c r="L344" s="1"/>
      <c r="M344" s="1"/>
      <c r="N344" s="1"/>
      <c r="O344" s="1"/>
      <c r="P344" s="82"/>
      <c r="Q344" s="1"/>
      <c r="R344" s="1"/>
      <c r="S344" s="83"/>
      <c r="T344" s="1"/>
      <c r="U344" s="1"/>
      <c r="V344" s="1"/>
      <c r="W344" s="1"/>
      <c r="X344" s="1"/>
      <c r="Y344" s="1"/>
    </row>
    <row r="345">
      <c r="A345" s="49"/>
      <c r="B345" s="70" t="str">
        <f>IFERROR(VLOOKUP(C345, 'Tổng hợp thông tin sinh viên'!A:E, 2, 0), "")</f>
        <v>Bùi Hà My</v>
      </c>
      <c r="C345" s="31" t="s">
        <v>419</v>
      </c>
      <c r="D345" s="31" t="str">
        <f>IFERROR(VLOOKUP(C345, 'Tổng hợp thông tin sinh viên'!A:E, 3, 0), "")</f>
        <v>my.bh225987@sis.hust.edu.vn</v>
      </c>
      <c r="E345" s="31" t="str">
        <f>IFERROR(VLOOKUP(C345, 'Tổng hợp thông tin sinh viên'!A:E, 5, 0), "")</f>
        <v>ICT 02-K67</v>
      </c>
      <c r="F345" s="49"/>
      <c r="G345" s="1"/>
      <c r="H345" s="1"/>
      <c r="I345" s="1"/>
      <c r="J345" s="1"/>
      <c r="K345" s="1"/>
      <c r="L345" s="1"/>
      <c r="M345" s="1"/>
      <c r="N345" s="1"/>
      <c r="O345" s="1"/>
      <c r="P345" s="82"/>
      <c r="Q345" s="1"/>
      <c r="R345" s="1"/>
      <c r="S345" s="83"/>
      <c r="T345" s="1"/>
      <c r="U345" s="1"/>
      <c r="V345" s="1"/>
      <c r="W345" s="1"/>
      <c r="X345" s="1"/>
      <c r="Y345" s="1"/>
    </row>
    <row r="346">
      <c r="A346" s="49"/>
      <c r="B346" s="70" t="str">
        <f>IFERROR(VLOOKUP(C346, 'Tổng hợp thông tin sinh viên'!A:E, 2, 0), "")</f>
        <v>Nguyễn Mỹ Duyên</v>
      </c>
      <c r="C346" s="31" t="s">
        <v>420</v>
      </c>
      <c r="D346" s="31" t="str">
        <f>IFERROR(VLOOKUP(C346, 'Tổng hợp thông tin sinh viên'!A:E, 3, 0), "")</f>
        <v>duyen.nm225967@sis.hust.edu.vn</v>
      </c>
      <c r="E346" s="31" t="str">
        <f>IFERROR(VLOOKUP(C346, 'Tổng hợp thông tin sinh viên'!A:E, 5, 0), "")</f>
        <v>ICT 02-K67</v>
      </c>
      <c r="F346" s="49"/>
      <c r="G346" s="1"/>
      <c r="H346" s="1"/>
      <c r="I346" s="1"/>
      <c r="J346" s="1"/>
      <c r="K346" s="1"/>
      <c r="L346" s="1"/>
      <c r="M346" s="1"/>
      <c r="N346" s="1"/>
      <c r="O346" s="1"/>
      <c r="P346" s="82"/>
      <c r="Q346" s="1"/>
      <c r="R346" s="1"/>
      <c r="S346" s="83"/>
      <c r="T346" s="1"/>
      <c r="U346" s="1"/>
      <c r="V346" s="1"/>
      <c r="W346" s="1"/>
      <c r="X346" s="1"/>
      <c r="Y346" s="1"/>
    </row>
    <row r="347">
      <c r="A347" s="49"/>
      <c r="B347" s="70" t="str">
        <f>IFERROR(VLOOKUP(C347, 'Tổng hợp thông tin sinh viên'!A:E, 2, 0), "")</f>
        <v>Hồ Bảo Thư</v>
      </c>
      <c r="C347" s="31" t="s">
        <v>421</v>
      </c>
      <c r="D347" s="31" t="str">
        <f>IFERROR(VLOOKUP(C347, 'Tổng hợp thông tin sinh viên'!A:E, 3, 0), "")</f>
        <v>thu.hb226003@sis.hust.edu.vn</v>
      </c>
      <c r="E347" s="31" t="str">
        <f>IFERROR(VLOOKUP(C347, 'Tổng hợp thông tin sinh viên'!A:E, 5, 0), "")</f>
        <v>ICT 02-K67</v>
      </c>
      <c r="F347" s="49"/>
      <c r="G347" s="1"/>
      <c r="H347" s="1"/>
      <c r="I347" s="1"/>
      <c r="J347" s="1"/>
      <c r="K347" s="1"/>
      <c r="L347" s="1"/>
      <c r="M347" s="1"/>
      <c r="N347" s="1"/>
      <c r="O347" s="1"/>
      <c r="P347" s="82"/>
      <c r="Q347" s="1"/>
      <c r="R347" s="1"/>
      <c r="S347" s="83"/>
      <c r="T347" s="1"/>
      <c r="U347" s="1"/>
      <c r="V347" s="1"/>
      <c r="W347" s="1"/>
      <c r="X347" s="1"/>
      <c r="Y347" s="1"/>
    </row>
    <row r="348">
      <c r="A348" s="49"/>
      <c r="B348" s="70" t="str">
        <f>IFERROR(VLOOKUP(C348, 'Tổng hợp thông tin sinh viên'!A:E, 2, 0), "")</f>
        <v>Hà Việt Khánh</v>
      </c>
      <c r="C348" s="31" t="s">
        <v>422</v>
      </c>
      <c r="D348" s="31" t="str">
        <f>IFERROR(VLOOKUP(C348, 'Tổng hợp thông tin sinh viên'!A:E, 3, 0), "")</f>
        <v>khanh.hv225979@sis.hust.edu.vn</v>
      </c>
      <c r="E348" s="31" t="str">
        <f>IFERROR(VLOOKUP(C348, 'Tổng hợp thông tin sinh viên'!A:E, 5, 0), "")</f>
        <v/>
      </c>
      <c r="F348" s="49"/>
      <c r="G348" s="1"/>
      <c r="H348" s="1"/>
      <c r="I348" s="1"/>
      <c r="J348" s="1"/>
      <c r="K348" s="1"/>
      <c r="L348" s="1"/>
      <c r="M348" s="1"/>
      <c r="N348" s="1"/>
      <c r="O348" s="1"/>
      <c r="P348" s="82"/>
      <c r="Q348" s="1"/>
      <c r="R348" s="1"/>
      <c r="S348" s="83"/>
      <c r="T348" s="1"/>
      <c r="U348" s="1"/>
      <c r="V348" s="1"/>
      <c r="W348" s="1"/>
      <c r="X348" s="1"/>
      <c r="Y348" s="1"/>
    </row>
    <row r="349">
      <c r="A349" s="49"/>
      <c r="B349" s="70" t="str">
        <f>IFERROR(VLOOKUP(C349, 'Tổng hợp thông tin sinh viên'!A:E, 2, 0), "")</f>
        <v>Đặng Văn Nhân</v>
      </c>
      <c r="C349" s="31" t="s">
        <v>423</v>
      </c>
      <c r="D349" s="31" t="str">
        <f>IFERROR(VLOOKUP(C349, 'Tổng hợp thông tin sinh viên'!A:E, 3, 0), "")</f>
        <v>nhan.dv225990@sis.hust.edu.vn</v>
      </c>
      <c r="E349" s="31" t="str">
        <f>IFERROR(VLOOKUP(C349, 'Tổng hợp thông tin sinh viên'!A:E, 5, 0), "")</f>
        <v>ICT 01-K67</v>
      </c>
      <c r="F349" s="49"/>
      <c r="G349" s="1"/>
      <c r="H349" s="1"/>
      <c r="I349" s="1"/>
      <c r="J349" s="1"/>
      <c r="K349" s="1"/>
      <c r="L349" s="1"/>
      <c r="M349" s="1"/>
      <c r="N349" s="1"/>
      <c r="O349" s="1"/>
      <c r="P349" s="82"/>
      <c r="Q349" s="1"/>
      <c r="R349" s="1"/>
      <c r="S349" s="83"/>
      <c r="T349" s="1"/>
      <c r="U349" s="1"/>
      <c r="V349" s="1"/>
      <c r="W349" s="1"/>
      <c r="X349" s="1"/>
      <c r="Y349" s="1"/>
    </row>
    <row r="350">
      <c r="A350" s="49"/>
      <c r="B350" s="74" t="str">
        <f>IFERROR(VLOOKUP(C350, 'Tổng hợp thông tin sinh viên'!A:E, 2, 0), "")</f>
        <v>Trần Kim Cương</v>
      </c>
      <c r="C350" s="75" t="s">
        <v>424</v>
      </c>
      <c r="D350" s="75" t="str">
        <f>IFERROR(VLOOKUP(C350, 'Tổng hợp thông tin sinh viên'!A:E, 3, 0), "")</f>
        <v>Cuong.TK226017@sis.hust.edu.vn</v>
      </c>
      <c r="E350" s="75" t="str">
        <f>IFERROR(VLOOKUP(C350, 'Tổng hợp thông tin sinh viên'!A:E, 5, 0), "")</f>
        <v/>
      </c>
      <c r="F350" s="49"/>
      <c r="G350" s="1"/>
      <c r="H350" s="1"/>
      <c r="I350" s="1"/>
      <c r="J350" s="1"/>
      <c r="K350" s="1"/>
      <c r="L350" s="1"/>
      <c r="M350" s="1"/>
      <c r="N350" s="1"/>
      <c r="O350" s="1"/>
      <c r="P350" s="82"/>
      <c r="Q350" s="1"/>
      <c r="R350" s="1"/>
      <c r="S350" s="83"/>
      <c r="T350" s="1"/>
      <c r="U350" s="1"/>
      <c r="V350" s="1"/>
      <c r="W350" s="1"/>
      <c r="X350" s="1"/>
      <c r="Y350" s="1"/>
    </row>
    <row r="351">
      <c r="A351" s="52"/>
      <c r="B351" s="70" t="str">
        <f>IFERROR(VLOOKUP(C351, 'Tổng hợp thông tin sinh viên'!A:E, 2, 0), "")</f>
        <v>Trần Tiến Đạt</v>
      </c>
      <c r="C351" s="31" t="s">
        <v>425</v>
      </c>
      <c r="D351" s="31" t="str">
        <f>IFERROR(VLOOKUP(C351, 'Tổng hợp thông tin sinh viên'!A:E, 3, 0), "")</f>
        <v>dat.tt194246@sis.hust.edu.vn</v>
      </c>
      <c r="E351" s="31" t="str">
        <f>IFERROR(VLOOKUP(C351, 'Tổng hợp thông tin sinh viên'!A:E, 5, 0), "")</f>
        <v>Kỹ thuật máy tính 04-K64</v>
      </c>
      <c r="F351" s="52"/>
      <c r="G351" s="1"/>
      <c r="H351" s="1"/>
      <c r="I351" s="1"/>
      <c r="J351" s="1"/>
      <c r="K351" s="1"/>
      <c r="L351" s="1"/>
      <c r="M351" s="1"/>
      <c r="N351" s="1"/>
      <c r="O351" s="1"/>
      <c r="P351" s="82"/>
      <c r="Q351" s="1"/>
      <c r="R351" s="1"/>
      <c r="S351" s="83"/>
      <c r="T351" s="1"/>
      <c r="U351" s="1"/>
      <c r="V351" s="1"/>
      <c r="W351" s="1"/>
      <c r="X351" s="1"/>
      <c r="Y351" s="1"/>
    </row>
    <row r="352">
      <c r="A352" s="77">
        <v>43.0</v>
      </c>
      <c r="B352" s="78" t="str">
        <f>IFERROR(VLOOKUP(C352, 'Tổng hợp thông tin sinh viên'!A:E, 2, 0), "")</f>
        <v>Phạm Tuấn Anh</v>
      </c>
      <c r="C352" s="79" t="s">
        <v>426</v>
      </c>
      <c r="D352" s="27" t="str">
        <f>IFERROR(VLOOKUP(C352, 'Tổng hợp thông tin sinh viên'!A:E, 3, 0), "")</f>
        <v>anh.pt225542@sis.hust.edu.vn</v>
      </c>
      <c r="E352" s="27" t="str">
        <f>IFERROR(VLOOKUP(C352, 'Tổng hợp thông tin sinh viên'!A:E, 5, 0), "")</f>
        <v>CTTT An toàn không gian số 01-K67</v>
      </c>
      <c r="F352" s="71" t="str">
        <f>IF(COUNTBLANK(C352:C361) = 0, "Đủ", "Thiếu: " &amp; COUNTBLANK(C352:C361))</f>
        <v>Đủ</v>
      </c>
      <c r="G352" s="1"/>
      <c r="H352" s="1"/>
      <c r="I352" s="1"/>
      <c r="J352" s="1"/>
      <c r="K352" s="1"/>
      <c r="L352" s="1"/>
      <c r="M352" s="1"/>
      <c r="N352" s="1"/>
      <c r="O352" s="1"/>
      <c r="P352" s="82"/>
      <c r="Q352" s="1"/>
      <c r="R352" s="1"/>
      <c r="S352" s="83"/>
      <c r="T352" s="1"/>
      <c r="U352" s="1"/>
      <c r="V352" s="1"/>
      <c r="W352" s="1"/>
      <c r="X352" s="1"/>
      <c r="Y352" s="1"/>
    </row>
    <row r="353">
      <c r="A353" s="49"/>
      <c r="B353" s="78" t="str">
        <f>IFERROR(VLOOKUP(C353, 'Tổng hợp thông tin sinh viên'!A:E, 2, 0), "")</f>
        <v>Phan Việt Anh</v>
      </c>
      <c r="C353" s="27" t="s">
        <v>427</v>
      </c>
      <c r="D353" s="27" t="str">
        <f>IFERROR(VLOOKUP(C353, 'Tổng hợp thông tin sinh viên'!A:E, 3, 0), "")</f>
        <v>anh.pv225566@sis.hust.edu.vn</v>
      </c>
      <c r="E353" s="27" t="str">
        <f>IFERROR(VLOOKUP(C353, 'Tổng hợp thông tin sinh viên'!A:E, 5, 0), "")</f>
        <v>CTTT An toàn không gian số 01-K67</v>
      </c>
      <c r="F353" s="49"/>
      <c r="G353" s="1"/>
      <c r="H353" s="1"/>
      <c r="I353" s="1"/>
      <c r="J353" s="1"/>
      <c r="K353" s="1"/>
      <c r="L353" s="1"/>
      <c r="M353" s="1"/>
      <c r="N353" s="1"/>
      <c r="O353" s="1"/>
      <c r="P353" s="82"/>
      <c r="Q353" s="1"/>
      <c r="R353" s="1"/>
      <c r="S353" s="83"/>
      <c r="T353" s="1"/>
      <c r="U353" s="1"/>
      <c r="V353" s="1"/>
      <c r="W353" s="1"/>
      <c r="X353" s="1"/>
      <c r="Y353" s="1"/>
    </row>
    <row r="354">
      <c r="A354" s="49"/>
      <c r="B354" s="78" t="str">
        <f>IFERROR(VLOOKUP(C354, 'Tổng hợp thông tin sinh viên'!A:E, 2, 0), "")</f>
        <v>Hạ Nhật Duy</v>
      </c>
      <c r="C354" s="27" t="s">
        <v>428</v>
      </c>
      <c r="D354" s="27" t="str">
        <f>IFERROR(VLOOKUP(C354, 'Tổng hợp thông tin sinh viên'!A:E, 3, 0), "")</f>
        <v>duy.hn225544@sis.hust.edu.vn</v>
      </c>
      <c r="E354" s="27" t="str">
        <f>IFERROR(VLOOKUP(C354, 'Tổng hợp thông tin sinh viên'!A:E, 5, 0), "")</f>
        <v>CTTT An toàn không gian số 01-K67</v>
      </c>
      <c r="F354" s="49"/>
      <c r="G354" s="1"/>
      <c r="H354" s="1"/>
      <c r="I354" s="1"/>
      <c r="J354" s="1"/>
      <c r="K354" s="1"/>
      <c r="L354" s="1"/>
      <c r="M354" s="1"/>
      <c r="N354" s="1"/>
      <c r="O354" s="1"/>
      <c r="P354" s="82"/>
      <c r="Q354" s="1"/>
      <c r="R354" s="1"/>
      <c r="S354" s="83"/>
      <c r="T354" s="1"/>
      <c r="U354" s="1"/>
      <c r="V354" s="1"/>
      <c r="W354" s="1"/>
      <c r="X354" s="1"/>
      <c r="Y354" s="1"/>
    </row>
    <row r="355">
      <c r="A355" s="49"/>
      <c r="B355" s="78" t="str">
        <f>IFERROR(VLOOKUP(C355, 'Tổng hợp thông tin sinh viên'!A:E, 2, 0), "")</f>
        <v>Lê Tiến Đạt</v>
      </c>
      <c r="C355" s="27" t="s">
        <v>429</v>
      </c>
      <c r="D355" s="27" t="str">
        <f>IFERROR(VLOOKUP(C355, 'Tổng hợp thông tin sinh viên'!A:E, 3, 0), "")</f>
        <v>dat.lt225543@sis.hust.edu.vn</v>
      </c>
      <c r="E355" s="27" t="str">
        <f>IFERROR(VLOOKUP(C355, 'Tổng hợp thông tin sinh viên'!A:E, 5, 0), "")</f>
        <v>CTTT An toàn không gian số 01-K67</v>
      </c>
      <c r="F355" s="49"/>
      <c r="G355" s="1"/>
      <c r="H355" s="1"/>
      <c r="I355" s="1"/>
      <c r="J355" s="1"/>
      <c r="K355" s="1"/>
      <c r="L355" s="1"/>
      <c r="M355" s="1"/>
      <c r="N355" s="1"/>
      <c r="O355" s="1"/>
      <c r="P355" s="82"/>
      <c r="Q355" s="1"/>
      <c r="R355" s="1"/>
      <c r="S355" s="83"/>
      <c r="T355" s="1"/>
      <c r="U355" s="1"/>
      <c r="V355" s="1"/>
      <c r="W355" s="1"/>
      <c r="X355" s="1"/>
      <c r="Y355" s="1"/>
    </row>
    <row r="356">
      <c r="A356" s="49"/>
      <c r="B356" s="78" t="str">
        <f>IFERROR(VLOOKUP(C356, 'Tổng hợp thông tin sinh viên'!A:E, 2, 0), "")</f>
        <v>Nguyễn Minh Đức</v>
      </c>
      <c r="C356" s="27" t="s">
        <v>430</v>
      </c>
      <c r="D356" s="27" t="str">
        <f>IFERROR(VLOOKUP(C356, 'Tổng hợp thông tin sinh viên'!A:E, 3, 0), "")</f>
        <v>Duc.NM225567@sis.hust.edu.vn</v>
      </c>
      <c r="E356" s="27" t="str">
        <f>IFERROR(VLOOKUP(C356, 'Tổng hợp thông tin sinh viên'!A:E, 5, 0), "")</f>
        <v/>
      </c>
      <c r="F356" s="49"/>
      <c r="G356" s="1"/>
      <c r="H356" s="1"/>
      <c r="I356" s="1"/>
      <c r="J356" s="1"/>
      <c r="K356" s="1"/>
      <c r="L356" s="1"/>
      <c r="M356" s="1"/>
      <c r="N356" s="1"/>
      <c r="O356" s="1"/>
      <c r="P356" s="82"/>
      <c r="Q356" s="1"/>
      <c r="R356" s="1"/>
      <c r="S356" s="83"/>
      <c r="T356" s="1"/>
      <c r="U356" s="1"/>
      <c r="V356" s="1"/>
      <c r="W356" s="1"/>
      <c r="X356" s="1"/>
      <c r="Y356" s="1"/>
    </row>
    <row r="357">
      <c r="A357" s="49"/>
      <c r="B357" s="78" t="str">
        <f>IFERROR(VLOOKUP(C357, 'Tổng hợp thông tin sinh viên'!A:E, 2, 0), "")</f>
        <v>Trần Đăng Huy</v>
      </c>
      <c r="C357" s="27" t="s">
        <v>431</v>
      </c>
      <c r="D357" s="27" t="str">
        <f>IFERROR(VLOOKUP(C357, 'Tổng hợp thông tin sinh viên'!A:E, 3, 0), "")</f>
        <v>huy.td225575@sis.hust.edu.vn</v>
      </c>
      <c r="E357" s="27" t="str">
        <f>IFERROR(VLOOKUP(C357, 'Tổng hợp thông tin sinh viên'!A:E, 5, 0), "")</f>
        <v>CTTT An toàn không gian số 01-K67</v>
      </c>
      <c r="F357" s="49"/>
      <c r="G357" s="1"/>
      <c r="H357" s="1"/>
      <c r="I357" s="1"/>
      <c r="J357" s="1"/>
      <c r="K357" s="1"/>
      <c r="L357" s="1"/>
      <c r="M357" s="1"/>
      <c r="N357" s="1"/>
      <c r="O357" s="1"/>
      <c r="P357" s="82"/>
      <c r="Q357" s="1"/>
      <c r="R357" s="1"/>
      <c r="S357" s="83"/>
      <c r="T357" s="1"/>
      <c r="U357" s="1"/>
      <c r="V357" s="1"/>
      <c r="W357" s="1"/>
      <c r="X357" s="1"/>
      <c r="Y357" s="1"/>
    </row>
    <row r="358">
      <c r="A358" s="49"/>
      <c r="B358" s="78" t="str">
        <f>IFERROR(VLOOKUP(C358, 'Tổng hợp thông tin sinh viên'!A:E, 2, 0), "")</f>
        <v>Nguyễn Quang Hưng</v>
      </c>
      <c r="C358" s="27" t="s">
        <v>432</v>
      </c>
      <c r="D358" s="27" t="str">
        <f>IFERROR(VLOOKUP(C358, 'Tổng hợp thông tin sinh viên'!A:E, 3, 0), "")</f>
        <v>Hung.NQ225545@sis.hust.edu.vn</v>
      </c>
      <c r="E358" s="27" t="str">
        <f>IFERROR(VLOOKUP(C358, 'Tổng hợp thông tin sinh viên'!A:E, 5, 0), "")</f>
        <v/>
      </c>
      <c r="F358" s="49"/>
      <c r="G358" s="1"/>
      <c r="H358" s="1"/>
      <c r="I358" s="1"/>
      <c r="J358" s="1"/>
      <c r="K358" s="1"/>
      <c r="L358" s="1"/>
      <c r="M358" s="1"/>
      <c r="N358" s="1"/>
      <c r="O358" s="1"/>
      <c r="P358" s="82"/>
      <c r="Q358" s="1"/>
      <c r="R358" s="1"/>
      <c r="S358" s="83"/>
      <c r="T358" s="1"/>
      <c r="U358" s="1"/>
      <c r="V358" s="1"/>
      <c r="W358" s="1"/>
      <c r="X358" s="1"/>
      <c r="Y358" s="1"/>
    </row>
    <row r="359">
      <c r="A359" s="49"/>
      <c r="B359" s="78" t="str">
        <f>IFERROR(VLOOKUP(C359, 'Tổng hợp thông tin sinh viên'!A:E, 2, 0), "")</f>
        <v>Phạm Đoàn Phúc Lâm</v>
      </c>
      <c r="C359" s="27" t="s">
        <v>433</v>
      </c>
      <c r="D359" s="27" t="str">
        <f>IFERROR(VLOOKUP(C359, 'Tổng hợp thông tin sinh viên'!A:E, 3, 0), "")</f>
        <v>lam.pdp225546@sis.hust.edu.vn</v>
      </c>
      <c r="E359" s="27" t="str">
        <f>IFERROR(VLOOKUP(C359, 'Tổng hợp thông tin sinh viên'!A:E, 5, 0), "")</f>
        <v>CTTT An toàn không gian số 01-K67</v>
      </c>
      <c r="F359" s="49"/>
      <c r="G359" s="1"/>
      <c r="H359" s="1"/>
      <c r="I359" s="1"/>
      <c r="J359" s="1"/>
      <c r="K359" s="1"/>
      <c r="L359" s="1"/>
      <c r="M359" s="1"/>
      <c r="N359" s="1"/>
      <c r="O359" s="1"/>
      <c r="P359" s="82"/>
      <c r="Q359" s="1"/>
      <c r="R359" s="1"/>
      <c r="S359" s="83"/>
      <c r="T359" s="1"/>
      <c r="U359" s="1"/>
      <c r="V359" s="1"/>
      <c r="W359" s="1"/>
      <c r="X359" s="1"/>
      <c r="Y359" s="1"/>
    </row>
    <row r="360">
      <c r="A360" s="49"/>
      <c r="B360" s="78" t="str">
        <f>IFERROR(VLOOKUP(C360, 'Tổng hợp thông tin sinh viên'!A:E, 2, 0), "")</f>
        <v>Lê Hải Nhật</v>
      </c>
      <c r="C360" s="27" t="s">
        <v>434</v>
      </c>
      <c r="D360" s="27" t="str">
        <f>IFERROR(VLOOKUP(C360, 'Tổng hợp thông tin sinh viên'!A:E, 3, 0), "")</f>
        <v>nhat.lh225583@sis.hust.edu.vn</v>
      </c>
      <c r="E360" s="27" t="str">
        <f>IFERROR(VLOOKUP(C360, 'Tổng hợp thông tin sinh viên'!A:E, 5, 0), "")</f>
        <v>CTTT An toàn không gian số 01-K67</v>
      </c>
      <c r="F360" s="49"/>
      <c r="G360" s="1"/>
      <c r="H360" s="1"/>
      <c r="I360" s="1"/>
      <c r="J360" s="1"/>
      <c r="K360" s="1"/>
      <c r="L360" s="1"/>
      <c r="M360" s="1"/>
      <c r="N360" s="1"/>
      <c r="O360" s="1"/>
      <c r="P360" s="82"/>
      <c r="Q360" s="1"/>
      <c r="R360" s="1"/>
      <c r="S360" s="83"/>
      <c r="T360" s="1"/>
      <c r="U360" s="1"/>
      <c r="V360" s="1"/>
      <c r="W360" s="1"/>
      <c r="X360" s="1"/>
      <c r="Y360" s="1"/>
    </row>
    <row r="361">
      <c r="A361" s="52"/>
      <c r="B361" s="78" t="str">
        <f>IFERROR(VLOOKUP(C361, 'Tổng hợp thông tin sinh viên'!A:E, 2, 0), "")</f>
        <v>Kim Duy Minh</v>
      </c>
      <c r="C361" s="27" t="s">
        <v>435</v>
      </c>
      <c r="D361" s="27" t="str">
        <f>IFERROR(VLOOKUP(C361, 'Tổng hợp thông tin sinh viên'!A:E, 3, 0), "")</f>
        <v>minh.kd225578@sis.hust.edu.vn</v>
      </c>
      <c r="E361" s="27" t="str">
        <f>IFERROR(VLOOKUP(C361, 'Tổng hợp thông tin sinh viên'!A:E, 5, 0), "")</f>
        <v>CTTT An toàn không gian số 01-K67</v>
      </c>
      <c r="F361" s="52"/>
      <c r="G361" s="1"/>
      <c r="H361" s="1"/>
      <c r="I361" s="1"/>
      <c r="J361" s="1"/>
      <c r="K361" s="1"/>
      <c r="L361" s="1"/>
      <c r="M361" s="1"/>
      <c r="N361" s="1"/>
      <c r="O361" s="1"/>
      <c r="P361" s="82"/>
      <c r="Q361" s="1"/>
      <c r="R361" s="1"/>
      <c r="S361" s="83"/>
      <c r="T361" s="1"/>
      <c r="U361" s="1"/>
      <c r="V361" s="1"/>
      <c r="W361" s="1"/>
      <c r="X361" s="1"/>
      <c r="Y361" s="1"/>
    </row>
    <row r="362">
      <c r="A362" s="69">
        <v>45.0</v>
      </c>
      <c r="B362" s="70" t="str">
        <f>IFERROR(VLOOKUP(C362, 'Tổng hợp thông tin sinh viên'!A:E, 2, 0), "")</f>
        <v>Nguyễn Tuấn Minh</v>
      </c>
      <c r="C362" s="31" t="s">
        <v>436</v>
      </c>
      <c r="D362" s="31" t="str">
        <f>IFERROR(VLOOKUP(C362, 'Tổng hợp thông tin sinh viên'!A:E, 3, 0), "")</f>
        <v>Minh.NT225579@sis.hust.edu.vn</v>
      </c>
      <c r="E362" s="31" t="str">
        <f>IFERROR(VLOOKUP(C362, 'Tổng hợp thông tin sinh viên'!A:E, 5, 0), "")</f>
        <v/>
      </c>
      <c r="F362" s="71" t="str">
        <f>IF(COUNTBLANK(C362:C371) = 0, "Đủ", "Thiếu: " &amp; COUNTBLANK(C362:C371))</f>
        <v>Đủ</v>
      </c>
      <c r="G362" s="1"/>
      <c r="H362" s="1"/>
      <c r="I362" s="1"/>
      <c r="J362" s="1"/>
      <c r="K362" s="1"/>
      <c r="L362" s="1"/>
      <c r="M362" s="1"/>
      <c r="N362" s="1"/>
      <c r="O362" s="1"/>
      <c r="P362" s="82"/>
      <c r="Q362" s="1"/>
      <c r="R362" s="1"/>
      <c r="S362" s="83"/>
      <c r="T362" s="1"/>
      <c r="U362" s="1"/>
      <c r="V362" s="1"/>
      <c r="W362" s="1"/>
      <c r="X362" s="1"/>
      <c r="Y362" s="1"/>
    </row>
    <row r="363">
      <c r="A363" s="49"/>
      <c r="B363" s="70" t="str">
        <f>IFERROR(VLOOKUP(C363, 'Tổng hợp thông tin sinh viên'!A:E, 2, 0), "")</f>
        <v>Trương Thảo Nguyên</v>
      </c>
      <c r="C363" s="31" t="s">
        <v>437</v>
      </c>
      <c r="D363" s="31" t="str">
        <f>IFERROR(VLOOKUP(C363, 'Tổng hợp thông tin sinh viên'!A:E, 3, 0), "")</f>
        <v>nguyen.tt220067@sis.hust.edu.vn</v>
      </c>
      <c r="E363" s="31" t="str">
        <f>IFERROR(VLOOKUP(C363, 'Tổng hợp thông tin sinh viên'!A:E, 5, 0), "")</f>
        <v>CTTT An toàn không gian số 01-K67</v>
      </c>
      <c r="F363" s="49"/>
      <c r="G363" s="1"/>
      <c r="H363" s="1"/>
      <c r="I363" s="1"/>
      <c r="J363" s="1"/>
      <c r="K363" s="1"/>
      <c r="L363" s="1"/>
      <c r="M363" s="1"/>
      <c r="N363" s="1"/>
      <c r="O363" s="1"/>
      <c r="P363" s="82"/>
      <c r="Q363" s="1"/>
      <c r="R363" s="1"/>
      <c r="S363" s="83"/>
      <c r="T363" s="1"/>
      <c r="U363" s="1"/>
      <c r="V363" s="1"/>
      <c r="W363" s="1"/>
      <c r="X363" s="1"/>
      <c r="Y363" s="1"/>
    </row>
    <row r="364">
      <c r="A364" s="49"/>
      <c r="B364" s="70" t="str">
        <f>IFERROR(VLOOKUP(C364, 'Tổng hợp thông tin sinh viên'!A:E, 2, 0), "")</f>
        <v>Phan Thu Hà</v>
      </c>
      <c r="C364" s="31" t="s">
        <v>438</v>
      </c>
      <c r="D364" s="31" t="str">
        <f>IFERROR(VLOOKUP(C364, 'Tổng hợp thông tin sinh viên'!A:E, 3, 0), "")</f>
        <v>ha.pt225571@sis.hust.edu.vn</v>
      </c>
      <c r="E364" s="31" t="str">
        <f>IFERROR(VLOOKUP(C364, 'Tổng hợp thông tin sinh viên'!A:E, 5, 0), "")</f>
        <v>CTTT An toàn không gian số 01-K67</v>
      </c>
      <c r="F364" s="49"/>
      <c r="G364" s="1"/>
      <c r="H364" s="1"/>
      <c r="I364" s="1"/>
      <c r="J364" s="1"/>
      <c r="K364" s="1"/>
      <c r="L364" s="1"/>
      <c r="M364" s="1"/>
      <c r="N364" s="1"/>
      <c r="O364" s="1"/>
      <c r="P364" s="82"/>
      <c r="Q364" s="1"/>
      <c r="R364" s="1"/>
      <c r="S364" s="83"/>
      <c r="T364" s="1"/>
      <c r="U364" s="1"/>
      <c r="V364" s="1"/>
      <c r="W364" s="1"/>
      <c r="X364" s="1"/>
      <c r="Y364" s="1"/>
    </row>
    <row r="365">
      <c r="A365" s="49"/>
      <c r="B365" s="70" t="str">
        <f>IFERROR(VLOOKUP(C365, 'Tổng hợp thông tin sinh viên'!A:E, 2, 0), "")</f>
        <v>Nguyễn Phương Linh</v>
      </c>
      <c r="C365" s="31" t="s">
        <v>439</v>
      </c>
      <c r="D365" s="31" t="str">
        <f>IFERROR(VLOOKUP(C365, 'Tổng hợp thông tin sinh viên'!A:E, 3, 0), "")</f>
        <v>linh.np225547@sis.hust.edu.vn</v>
      </c>
      <c r="E365" s="31" t="str">
        <f>IFERROR(VLOOKUP(C365, 'Tổng hợp thông tin sinh viên'!A:E, 5, 0), "")</f>
        <v>CTTT An toàn không gian số 01-K67</v>
      </c>
      <c r="F365" s="49"/>
      <c r="G365" s="1"/>
      <c r="H365" s="1"/>
      <c r="I365" s="1"/>
      <c r="J365" s="1"/>
      <c r="K365" s="1"/>
      <c r="L365" s="1"/>
      <c r="M365" s="1"/>
      <c r="N365" s="1"/>
      <c r="O365" s="1"/>
      <c r="P365" s="82"/>
      <c r="Q365" s="1"/>
      <c r="R365" s="1"/>
      <c r="S365" s="83"/>
      <c r="T365" s="1"/>
      <c r="U365" s="1"/>
      <c r="V365" s="1"/>
      <c r="W365" s="1"/>
      <c r="X365" s="1"/>
      <c r="Y365" s="1"/>
    </row>
    <row r="366">
      <c r="A366" s="49"/>
      <c r="B366" s="70" t="str">
        <f>IFERROR(VLOOKUP(C366, 'Tổng hợp thông tin sinh viên'!A:E, 2, 0), "")</f>
        <v>Phạm Nguyễn Hải Nhi</v>
      </c>
      <c r="C366" s="31" t="s">
        <v>440</v>
      </c>
      <c r="D366" s="31" t="str">
        <f>IFERROR(VLOOKUP(C366, 'Tổng hợp thông tin sinh viên'!A:E, 3, 0), "")</f>
        <v>nhi.pnh225549@sis.hust.edu.vn</v>
      </c>
      <c r="E366" s="31" t="str">
        <f>IFERROR(VLOOKUP(C366, 'Tổng hợp thông tin sinh viên'!A:E, 5, 0), "")</f>
        <v>CTTT An toàn không gian số 01-K67</v>
      </c>
      <c r="F366" s="49"/>
      <c r="G366" s="1"/>
      <c r="H366" s="1"/>
      <c r="I366" s="1"/>
      <c r="J366" s="1"/>
      <c r="K366" s="1"/>
      <c r="L366" s="1"/>
      <c r="M366" s="1"/>
      <c r="N366" s="1"/>
      <c r="O366" s="1"/>
      <c r="P366" s="82"/>
      <c r="Q366" s="1"/>
      <c r="R366" s="1"/>
      <c r="S366" s="83"/>
      <c r="T366" s="1"/>
      <c r="U366" s="1"/>
      <c r="V366" s="1"/>
      <c r="W366" s="1"/>
      <c r="X366" s="1"/>
      <c r="Y366" s="1"/>
    </row>
    <row r="367">
      <c r="A367" s="49"/>
      <c r="B367" s="70" t="str">
        <f>IFERROR(VLOOKUP(C367, 'Tổng hợp thông tin sinh viên'!A:E, 2, 0), "")</f>
        <v>Ngô Anh Quân</v>
      </c>
      <c r="C367" s="31" t="s">
        <v>441</v>
      </c>
      <c r="D367" s="31" t="str">
        <f>IFERROR(VLOOKUP(C367, 'Tổng hợp thông tin sinh viên'!A:E, 3, 0), "")</f>
        <v>Quan.NA225584@sis.hust.edu.vn</v>
      </c>
      <c r="E367" s="31" t="str">
        <f>IFERROR(VLOOKUP(C367, 'Tổng hợp thông tin sinh viên'!A:E, 5, 0), "")</f>
        <v/>
      </c>
      <c r="F367" s="49"/>
      <c r="G367" s="1"/>
      <c r="H367" s="1"/>
      <c r="I367" s="1"/>
      <c r="J367" s="1"/>
      <c r="K367" s="1"/>
      <c r="L367" s="1"/>
      <c r="M367" s="1"/>
      <c r="N367" s="1"/>
      <c r="O367" s="1"/>
      <c r="P367" s="82"/>
      <c r="Q367" s="1"/>
      <c r="R367" s="1"/>
      <c r="S367" s="83"/>
      <c r="T367" s="1"/>
      <c r="U367" s="1"/>
      <c r="V367" s="1"/>
      <c r="W367" s="1"/>
      <c r="X367" s="1"/>
      <c r="Y367" s="1"/>
    </row>
    <row r="368">
      <c r="A368" s="49"/>
      <c r="B368" s="70" t="str">
        <f>IFERROR(VLOOKUP(C368, 'Tổng hợp thông tin sinh viên'!A:E, 2, 0), "")</f>
        <v>Bùi Xuân Sơn</v>
      </c>
      <c r="C368" s="31" t="s">
        <v>442</v>
      </c>
      <c r="D368" s="31" t="str">
        <f>IFERROR(VLOOKUP(C368, 'Tổng hợp thông tin sinh viên'!A:E, 3, 0), "")</f>
        <v>son.bx225586@sis.hust.edu.vn</v>
      </c>
      <c r="E368" s="31" t="str">
        <f>IFERROR(VLOOKUP(C368, 'Tổng hợp thông tin sinh viên'!A:E, 5, 0), "")</f>
        <v>CTTT An toàn không gian số 01-K67</v>
      </c>
      <c r="F368" s="49"/>
      <c r="G368" s="1"/>
      <c r="H368" s="1"/>
      <c r="I368" s="1"/>
      <c r="J368" s="1"/>
      <c r="K368" s="1"/>
      <c r="L368" s="1"/>
      <c r="M368" s="1"/>
      <c r="N368" s="1"/>
      <c r="O368" s="1"/>
      <c r="P368" s="82"/>
      <c r="Q368" s="1"/>
      <c r="R368" s="1"/>
      <c r="S368" s="83"/>
      <c r="T368" s="1"/>
      <c r="U368" s="1"/>
      <c r="V368" s="1"/>
      <c r="W368" s="1"/>
      <c r="X368" s="1"/>
      <c r="Y368" s="1"/>
    </row>
    <row r="369">
      <c r="A369" s="49"/>
      <c r="B369" s="70" t="str">
        <f>IFERROR(VLOOKUP(C369, 'Tổng hợp thông tin sinh viên'!A:E, 2, 0), "")</f>
        <v>Lê Anh Tuấn</v>
      </c>
      <c r="C369" s="31" t="s">
        <v>443</v>
      </c>
      <c r="D369" s="31" t="str">
        <f>IFERROR(VLOOKUP(C369, 'Tổng hợp thông tin sinh viên'!A:E, 3, 0), "")</f>
        <v>tuan.la225559@sis.hust.edu.vn</v>
      </c>
      <c r="E369" s="31" t="str">
        <f>IFERROR(VLOOKUP(C369, 'Tổng hợp thông tin sinh viên'!A:E, 5, 0), "")</f>
        <v>CTTT An toàn không gian số 01-K67</v>
      </c>
      <c r="F369" s="49"/>
      <c r="G369" s="1"/>
      <c r="H369" s="1"/>
      <c r="I369" s="1"/>
      <c r="J369" s="1"/>
      <c r="K369" s="1"/>
      <c r="L369" s="1"/>
      <c r="M369" s="1"/>
      <c r="N369" s="1"/>
      <c r="O369" s="1"/>
      <c r="P369" s="82"/>
      <c r="Q369" s="1"/>
      <c r="R369" s="1"/>
      <c r="S369" s="83"/>
      <c r="T369" s="1"/>
      <c r="U369" s="1"/>
      <c r="V369" s="1"/>
      <c r="W369" s="1"/>
      <c r="X369" s="1"/>
      <c r="Y369" s="1"/>
    </row>
    <row r="370">
      <c r="A370" s="49"/>
      <c r="B370" s="70" t="str">
        <f>IFERROR(VLOOKUP(C370, 'Tổng hợp thông tin sinh viên'!A:E, 2, 0), "")</f>
        <v>Trần Công Thành</v>
      </c>
      <c r="C370" s="31" t="s">
        <v>444</v>
      </c>
      <c r="D370" s="31" t="str">
        <f>IFERROR(VLOOKUP(C370, 'Tổng hợp thông tin sinh viên'!A:E, 3, 0), "")</f>
        <v>thanh.tc225554@sis.hust.edu.vn</v>
      </c>
      <c r="E370" s="31" t="str">
        <f>IFERROR(VLOOKUP(C370, 'Tổng hợp thông tin sinh viên'!A:E, 5, 0), "")</f>
        <v>CTTT An toàn không gian số 01-K67</v>
      </c>
      <c r="F370" s="49"/>
      <c r="G370" s="1"/>
      <c r="H370" s="1"/>
      <c r="I370" s="1"/>
      <c r="J370" s="1"/>
      <c r="K370" s="1"/>
      <c r="L370" s="1"/>
      <c r="M370" s="1"/>
      <c r="N370" s="1"/>
      <c r="O370" s="1"/>
      <c r="P370" s="82"/>
      <c r="Q370" s="1"/>
      <c r="R370" s="1"/>
      <c r="S370" s="83"/>
      <c r="T370" s="1"/>
      <c r="U370" s="1"/>
      <c r="V370" s="1"/>
      <c r="W370" s="1"/>
      <c r="X370" s="1"/>
      <c r="Y370" s="1"/>
    </row>
    <row r="371">
      <c r="A371" s="52"/>
      <c r="B371" s="70" t="str">
        <f>IFERROR(VLOOKUP(C371, 'Tổng hợp thông tin sinh viên'!A:E, 2, 0), "")</f>
        <v>Trần Quốc Trí Trung</v>
      </c>
      <c r="C371" s="31" t="s">
        <v>445</v>
      </c>
      <c r="D371" s="31" t="str">
        <f>IFERROR(VLOOKUP(C371, 'Tổng hợp thông tin sinh viên'!A:E, 3, 0), "")</f>
        <v>trung.tqt225558@sis.hust.edu.vn</v>
      </c>
      <c r="E371" s="31" t="str">
        <f>IFERROR(VLOOKUP(C371, 'Tổng hợp thông tin sinh viên'!A:E, 5, 0), "")</f>
        <v>CTTT An toàn không gian số 01-K67</v>
      </c>
      <c r="F371" s="52"/>
      <c r="G371" s="1"/>
      <c r="H371" s="1"/>
      <c r="I371" s="1"/>
      <c r="J371" s="1"/>
      <c r="K371" s="1"/>
      <c r="L371" s="1"/>
      <c r="M371" s="1"/>
      <c r="N371" s="1"/>
      <c r="O371" s="1"/>
      <c r="P371" s="82"/>
      <c r="Q371" s="1"/>
      <c r="R371" s="1"/>
      <c r="S371" s="83"/>
      <c r="T371" s="1"/>
      <c r="U371" s="1"/>
      <c r="V371" s="1"/>
      <c r="W371" s="1"/>
      <c r="X371" s="1"/>
      <c r="Y371" s="1"/>
    </row>
    <row r="372">
      <c r="A372" s="77">
        <v>46.0</v>
      </c>
      <c r="B372" s="78" t="str">
        <f>IFERROR(VLOOKUP(C372, 'Tổng hợp thông tin sinh viên'!A:E, 2, 0), "")</f>
        <v>Trần Thị Tường Vân</v>
      </c>
      <c r="C372" s="79" t="s">
        <v>446</v>
      </c>
      <c r="D372" s="27" t="str">
        <f>IFERROR(VLOOKUP(C372, 'Tổng hợp thông tin sinh viên'!A:E, 3, 0), "")</f>
        <v>van.ttt225590@sis.hust.edu.vn</v>
      </c>
      <c r="E372" s="27" t="str">
        <f>IFERROR(VLOOKUP(C372, 'Tổng hợp thông tin sinh viên'!A:E, 5, 0), "")</f>
        <v>CTTT An toàn không gian số 01-K67</v>
      </c>
      <c r="F372" s="71" t="str">
        <f>IF(COUNTBLANK(C372:C381) = 0, "Đủ", "Thiếu: " &amp; COUNTBLANK(C372:C381))</f>
        <v>Đủ</v>
      </c>
      <c r="G372" s="1"/>
      <c r="H372" s="1"/>
      <c r="I372" s="1"/>
      <c r="J372" s="1"/>
      <c r="K372" s="1"/>
      <c r="L372" s="1"/>
      <c r="M372" s="1"/>
      <c r="N372" s="1"/>
      <c r="O372" s="1"/>
      <c r="P372" s="82"/>
      <c r="Q372" s="1"/>
      <c r="R372" s="1"/>
      <c r="S372" s="83"/>
      <c r="T372" s="1"/>
      <c r="U372" s="1"/>
      <c r="V372" s="1"/>
      <c r="W372" s="1"/>
      <c r="X372" s="1"/>
      <c r="Y372" s="1"/>
    </row>
    <row r="373">
      <c r="A373" s="49"/>
      <c r="B373" s="78" t="str">
        <f>IFERROR(VLOOKUP(C373, 'Tổng hợp thông tin sinh viên'!A:E, 2, 0), "")</f>
        <v>Nguyễn Quang Trung</v>
      </c>
      <c r="C373" s="27" t="s">
        <v>447</v>
      </c>
      <c r="D373" s="27" t="str">
        <f>IFERROR(VLOOKUP(C373, 'Tổng hợp thông tin sinh viên'!A:E, 3, 0), "")</f>
        <v>trung.nq225557@sis.hust.edu.vn</v>
      </c>
      <c r="E373" s="27" t="str">
        <f>IFERROR(VLOOKUP(C373, 'Tổng hợp thông tin sinh viên'!A:E, 5, 0), "")</f>
        <v>CTTT An toàn không gian số 01-K67</v>
      </c>
      <c r="F373" s="49"/>
      <c r="G373" s="1"/>
      <c r="H373" s="1"/>
      <c r="I373" s="1"/>
      <c r="J373" s="1"/>
      <c r="K373" s="1"/>
      <c r="L373" s="1"/>
      <c r="M373" s="1"/>
      <c r="N373" s="1"/>
      <c r="O373" s="1"/>
      <c r="P373" s="82"/>
      <c r="Q373" s="1"/>
      <c r="R373" s="1"/>
      <c r="S373" s="83"/>
      <c r="T373" s="1"/>
      <c r="U373" s="1"/>
      <c r="V373" s="1"/>
      <c r="W373" s="1"/>
      <c r="X373" s="1"/>
      <c r="Y373" s="1"/>
    </row>
    <row r="374">
      <c r="A374" s="49"/>
      <c r="B374" s="78" t="str">
        <f>IFERROR(VLOOKUP(C374, 'Tổng hợp thông tin sinh viên'!A:E, 2, 0), "")</f>
        <v>Lê Trần Long</v>
      </c>
      <c r="C374" s="27" t="s">
        <v>448</v>
      </c>
      <c r="D374" s="27" t="str">
        <f>IFERROR(VLOOKUP(C374, 'Tổng hợp thông tin sinh viên'!A:E, 3, 0), "")</f>
        <v>long.lt225577@sis.hust.edu.vn</v>
      </c>
      <c r="E374" s="27" t="str">
        <f>IFERROR(VLOOKUP(C374, 'Tổng hợp thông tin sinh viên'!A:E, 5, 0), "")</f>
        <v>CTTT An toàn không gian số 01-K67</v>
      </c>
      <c r="F374" s="49"/>
      <c r="G374" s="1"/>
      <c r="H374" s="1"/>
      <c r="I374" s="1"/>
      <c r="J374" s="1"/>
      <c r="K374" s="1"/>
      <c r="L374" s="1"/>
      <c r="M374" s="1"/>
      <c r="N374" s="1"/>
      <c r="O374" s="1"/>
      <c r="P374" s="82"/>
      <c r="Q374" s="1"/>
      <c r="R374" s="1"/>
      <c r="S374" s="83"/>
      <c r="T374" s="1"/>
      <c r="U374" s="1"/>
      <c r="V374" s="1"/>
      <c r="W374" s="1"/>
      <c r="X374" s="1"/>
      <c r="Y374" s="1"/>
    </row>
    <row r="375">
      <c r="A375" s="49"/>
      <c r="B375" s="78" t="str">
        <f>IFERROR(VLOOKUP(C375, 'Tổng hợp thông tin sinh viên'!A:E, 2, 0), "")</f>
        <v>Dương Mạnh Kiên</v>
      </c>
      <c r="C375" s="27" t="s">
        <v>449</v>
      </c>
      <c r="D375" s="27" t="str">
        <f>IFERROR(VLOOKUP(C375, 'Tổng hợp thông tin sinh viên'!A:E, 3, 0), "")</f>
        <v>kien.dm225576@sis.hust.edu.vn</v>
      </c>
      <c r="E375" s="27" t="str">
        <f>IFERROR(VLOOKUP(C375, 'Tổng hợp thông tin sinh viên'!A:E, 5, 0), "")</f>
        <v>CTTT An toàn không gian số 01-K67</v>
      </c>
      <c r="F375" s="49"/>
      <c r="G375" s="1"/>
      <c r="H375" s="1"/>
      <c r="I375" s="1"/>
      <c r="J375" s="1"/>
      <c r="K375" s="1"/>
      <c r="L375" s="1"/>
      <c r="M375" s="1"/>
      <c r="N375" s="1"/>
      <c r="O375" s="1"/>
      <c r="P375" s="82"/>
      <c r="Q375" s="1"/>
      <c r="R375" s="1"/>
      <c r="S375" s="83"/>
      <c r="T375" s="1"/>
      <c r="U375" s="1"/>
      <c r="V375" s="1"/>
      <c r="W375" s="1"/>
      <c r="X375" s="1"/>
      <c r="Y375" s="1"/>
    </row>
    <row r="376">
      <c r="A376" s="49"/>
      <c r="B376" s="78" t="str">
        <f>IFERROR(VLOOKUP(C376, 'Tổng hợp thông tin sinh viên'!A:E, 2, 0), "")</f>
        <v>Nguyễn Ngọc Phúc</v>
      </c>
      <c r="C376" s="27" t="s">
        <v>450</v>
      </c>
      <c r="D376" s="27" t="str">
        <f>IFERROR(VLOOKUP(C376, 'Tổng hợp thông tin sinh viên'!A:E, 3, 0), "")</f>
        <v>phuc.nn220041@sis.hust.edu.vn</v>
      </c>
      <c r="E376" s="27" t="str">
        <f>IFERROR(VLOOKUP(C376, 'Tổng hợp thông tin sinh viên'!A:E, 5, 0), "")</f>
        <v>Khoa học máy tính 05-K67</v>
      </c>
      <c r="F376" s="49"/>
      <c r="G376" s="1"/>
      <c r="H376" s="1"/>
      <c r="I376" s="1"/>
      <c r="J376" s="1"/>
      <c r="K376" s="1"/>
      <c r="L376" s="1"/>
      <c r="M376" s="1"/>
      <c r="N376" s="1"/>
      <c r="O376" s="1"/>
      <c r="P376" s="82"/>
      <c r="Q376" s="1"/>
      <c r="R376" s="1"/>
      <c r="S376" s="83"/>
      <c r="T376" s="1"/>
      <c r="U376" s="1"/>
      <c r="V376" s="1"/>
      <c r="W376" s="1"/>
      <c r="X376" s="1"/>
      <c r="Y376" s="1"/>
    </row>
    <row r="377">
      <c r="A377" s="49"/>
      <c r="B377" s="78" t="str">
        <f>IFERROR(VLOOKUP(C377, 'Tổng hợp thông tin sinh viên'!A:E, 2, 0), "")</f>
        <v>Lưu Đức Tài</v>
      </c>
      <c r="C377" s="27" t="s">
        <v>451</v>
      </c>
      <c r="D377" s="27" t="str">
        <f>IFERROR(VLOOKUP(C377, 'Tổng hợp thông tin sinh viên'!A:E, 3, 0), "")</f>
        <v>tai.ld225081@sis.hust.edu.vn</v>
      </c>
      <c r="E377" s="27" t="str">
        <f>IFERROR(VLOOKUP(C377, 'Tổng hợp thông tin sinh viên'!A:E, 5, 0), "")</f>
        <v>Khoa học máy tính 05-K67</v>
      </c>
      <c r="F377" s="49"/>
      <c r="G377" s="1"/>
      <c r="H377" s="1"/>
      <c r="I377" s="1"/>
      <c r="J377" s="1"/>
      <c r="K377" s="1"/>
      <c r="L377" s="1"/>
      <c r="M377" s="1"/>
      <c r="N377" s="1"/>
      <c r="O377" s="1"/>
      <c r="P377" s="82"/>
      <c r="Q377" s="1"/>
      <c r="R377" s="1"/>
      <c r="S377" s="83"/>
      <c r="T377" s="1"/>
      <c r="U377" s="1"/>
      <c r="V377" s="1"/>
      <c r="W377" s="1"/>
      <c r="X377" s="1"/>
      <c r="Y377" s="1"/>
    </row>
    <row r="378">
      <c r="A378" s="49"/>
      <c r="B378" s="78" t="str">
        <f>IFERROR(VLOOKUP(C378, 'Tổng hợp thông tin sinh viên'!A:E, 2, 0), "")</f>
        <v>Lưu Tuấn Hùng</v>
      </c>
      <c r="C378" s="27" t="s">
        <v>452</v>
      </c>
      <c r="D378" s="27" t="str">
        <f>IFERROR(VLOOKUP(C378, 'Tổng hợp thông tin sinh viên'!A:E, 3, 0), "")</f>
        <v>hung.lt225131@sis.hust.edu.vn</v>
      </c>
      <c r="E378" s="27" t="str">
        <f>IFERROR(VLOOKUP(C378, 'Tổng hợp thông tin sinh viên'!A:E, 5, 0), "")</f>
        <v>Kỹ thuật máy tính 02-K67</v>
      </c>
      <c r="F378" s="49"/>
      <c r="G378" s="1"/>
      <c r="H378" s="1"/>
      <c r="I378" s="1"/>
      <c r="J378" s="1"/>
      <c r="K378" s="1"/>
      <c r="L378" s="1"/>
      <c r="M378" s="1"/>
      <c r="N378" s="1"/>
      <c r="O378" s="1"/>
      <c r="P378" s="82"/>
      <c r="Q378" s="1"/>
      <c r="R378" s="1"/>
      <c r="S378" s="83"/>
      <c r="T378" s="1"/>
      <c r="U378" s="1"/>
      <c r="V378" s="1"/>
      <c r="W378" s="1"/>
      <c r="X378" s="1"/>
      <c r="Y378" s="1"/>
    </row>
    <row r="379">
      <c r="A379" s="49"/>
      <c r="B379" s="78" t="str">
        <f>IFERROR(VLOOKUP(C379, 'Tổng hợp thông tin sinh viên'!A:E, 2, 0), "")</f>
        <v>Nguyễn Thành Lâm</v>
      </c>
      <c r="C379" s="27" t="s">
        <v>453</v>
      </c>
      <c r="D379" s="27" t="str">
        <f>IFERROR(VLOOKUP(C379, 'Tổng hợp thông tin sinh viên'!A:E, 3, 0), "")</f>
        <v>lam.nt225139@sis.hust.edu.vn</v>
      </c>
      <c r="E379" s="27" t="str">
        <f>IFERROR(VLOOKUP(C379, 'Tổng hợp thông tin sinh viên'!A:E, 5, 0), "")</f>
        <v>Kỹ thuật máy tính 06-K67</v>
      </c>
      <c r="F379" s="49"/>
      <c r="G379" s="1"/>
      <c r="H379" s="1"/>
      <c r="I379" s="1"/>
      <c r="J379" s="1"/>
      <c r="K379" s="1"/>
      <c r="L379" s="1"/>
      <c r="M379" s="1"/>
      <c r="N379" s="1"/>
      <c r="O379" s="1"/>
      <c r="P379" s="82"/>
      <c r="Q379" s="1"/>
      <c r="R379" s="1"/>
      <c r="S379" s="83"/>
      <c r="T379" s="1"/>
      <c r="U379" s="1"/>
      <c r="V379" s="1"/>
      <c r="W379" s="1"/>
      <c r="X379" s="1"/>
      <c r="Y379" s="1"/>
    </row>
    <row r="380">
      <c r="A380" s="49"/>
      <c r="B380" s="78" t="str">
        <f>IFERROR(VLOOKUP(C380, 'Tổng hợp thông tin sinh viên'!A:E, 2, 0), "")</f>
        <v>Vũ Tiến Nam</v>
      </c>
      <c r="C380" s="27" t="s">
        <v>454</v>
      </c>
      <c r="D380" s="27" t="str">
        <f>IFERROR(VLOOKUP(C380, 'Tổng hợp thông tin sinh viên'!A:E, 3, 0), "")</f>
        <v>nam.vt225055@sis.hust.edu.vn</v>
      </c>
      <c r="E380" s="27" t="str">
        <f>IFERROR(VLOOKUP(C380, 'Tổng hợp thông tin sinh viên'!A:E, 5, 0), "")</f>
        <v>Khoa học máy tính 02-K67</v>
      </c>
      <c r="F380" s="49"/>
      <c r="G380" s="1"/>
      <c r="H380" s="1"/>
      <c r="I380" s="1"/>
      <c r="J380" s="1"/>
      <c r="K380" s="1"/>
      <c r="L380" s="1"/>
      <c r="M380" s="1"/>
      <c r="N380" s="1"/>
      <c r="O380" s="1"/>
      <c r="P380" s="82"/>
      <c r="Q380" s="1"/>
      <c r="R380" s="1"/>
      <c r="S380" s="83"/>
      <c r="T380" s="1"/>
      <c r="U380" s="1"/>
      <c r="V380" s="1"/>
      <c r="W380" s="1"/>
      <c r="X380" s="1"/>
      <c r="Y380" s="1"/>
    </row>
    <row r="381">
      <c r="A381" s="52"/>
      <c r="B381" s="78" t="str">
        <f>IFERROR(VLOOKUP(C381, 'Tổng hợp thông tin sinh viên'!A:E, 2, 0), "")</f>
        <v>Trần Quang Huy</v>
      </c>
      <c r="C381" s="27" t="s">
        <v>455</v>
      </c>
      <c r="D381" s="27" t="str">
        <f>IFERROR(VLOOKUP(C381, 'Tổng hợp thông tin sinh viên'!A:E, 3, 0), "")</f>
        <v>huy.tq225201@sis.hust.edu.vn</v>
      </c>
      <c r="E381" s="27" t="str">
        <f>IFERROR(VLOOKUP(C381, 'Tổng hợp thông tin sinh viên'!A:E, 5, 0), "")</f>
        <v>Kỹ thuật máy tính 01-K67</v>
      </c>
      <c r="F381" s="52"/>
      <c r="G381" s="1"/>
      <c r="H381" s="1"/>
      <c r="I381" s="1"/>
      <c r="J381" s="1"/>
      <c r="K381" s="1"/>
      <c r="L381" s="1"/>
      <c r="M381" s="1"/>
      <c r="N381" s="1"/>
      <c r="O381" s="1"/>
      <c r="P381" s="82"/>
      <c r="Q381" s="1"/>
      <c r="R381" s="1"/>
      <c r="S381" s="83"/>
      <c r="T381" s="1"/>
      <c r="U381" s="1"/>
      <c r="V381" s="1"/>
      <c r="W381" s="1"/>
      <c r="X381" s="1"/>
      <c r="Y381" s="1"/>
    </row>
    <row r="382">
      <c r="A382" s="69">
        <v>47.0</v>
      </c>
      <c r="B382" s="70" t="str">
        <f>IFERROR(VLOOKUP(C382, 'Tổng hợp thông tin sinh viên'!A:E, 2, 0), "")</f>
        <v>Lê Đại Lâm</v>
      </c>
      <c r="C382" s="31" t="s">
        <v>456</v>
      </c>
      <c r="D382" s="31" t="str">
        <f>IFERROR(VLOOKUP(C382, 'Tổng hợp thông tin sinh viên'!A:E, 3, 0), "")</f>
        <v>lam.ld225982@sis.hust.edu.vn</v>
      </c>
      <c r="E382" s="31" t="str">
        <f>IFERROR(VLOOKUP(C382, 'Tổng hợp thông tin sinh viên'!A:E, 5, 0), "")</f>
        <v>ICT 01-K67</v>
      </c>
      <c r="F382" s="71" t="str">
        <f>IF(COUNTBLANK(C382:C391) = 0, "Đủ", "Thiếu: " &amp; COUNTBLANK(C382:C391))</f>
        <v>Đủ</v>
      </c>
      <c r="G382" s="1"/>
      <c r="H382" s="1"/>
      <c r="I382" s="1"/>
      <c r="J382" s="1"/>
      <c r="K382" s="1"/>
      <c r="L382" s="1"/>
      <c r="M382" s="1"/>
      <c r="N382" s="1"/>
      <c r="O382" s="1"/>
      <c r="P382" s="82"/>
      <c r="Q382" s="1"/>
      <c r="R382" s="1"/>
      <c r="S382" s="83"/>
      <c r="T382" s="1"/>
      <c r="U382" s="1"/>
      <c r="V382" s="1"/>
      <c r="W382" s="1"/>
      <c r="X382" s="1"/>
      <c r="Y382" s="1"/>
    </row>
    <row r="383">
      <c r="A383" s="49"/>
      <c r="B383" s="70" t="str">
        <f>IFERROR(VLOOKUP(C383, 'Tổng hợp thông tin sinh viên'!A:E, 2, 0), "")</f>
        <v>Hoàng Khải Mạnh</v>
      </c>
      <c r="C383" s="31" t="s">
        <v>457</v>
      </c>
      <c r="D383" s="31" t="str">
        <f>IFERROR(VLOOKUP(C383, 'Tổng hợp thông tin sinh viên'!A:E, 3, 0), "")</f>
        <v>manh.hk225984@sis.hust.edu.vn</v>
      </c>
      <c r="E383" s="31" t="str">
        <f>IFERROR(VLOOKUP(C383, 'Tổng hợp thông tin sinh viên'!A:E, 5, 0), "")</f>
        <v>ICT 02-K67</v>
      </c>
      <c r="F383" s="49"/>
      <c r="G383" s="1"/>
      <c r="H383" s="1"/>
      <c r="I383" s="1"/>
      <c r="J383" s="1"/>
      <c r="K383" s="1"/>
      <c r="L383" s="1"/>
      <c r="M383" s="1"/>
      <c r="N383" s="1"/>
      <c r="O383" s="1"/>
      <c r="P383" s="82"/>
      <c r="Q383" s="1"/>
      <c r="R383" s="1"/>
      <c r="S383" s="83"/>
      <c r="T383" s="1"/>
      <c r="U383" s="1"/>
      <c r="V383" s="1"/>
      <c r="W383" s="1"/>
      <c r="X383" s="1"/>
      <c r="Y383" s="1"/>
    </row>
    <row r="384">
      <c r="A384" s="49"/>
      <c r="B384" s="70" t="str">
        <f>IFERROR(VLOOKUP(C384, 'Tổng hợp thông tin sinh viên'!A:E, 2, 0), "")</f>
        <v>Nguyễn Minh Khôi</v>
      </c>
      <c r="C384" s="31" t="s">
        <v>458</v>
      </c>
      <c r="D384" s="31" t="str">
        <f>IFERROR(VLOOKUP(C384, 'Tổng hợp thông tin sinh viên'!A:E, 3, 0), "")</f>
        <v>khoi.nm226050@sis.hust.edu.vn</v>
      </c>
      <c r="E384" s="31" t="str">
        <f>IFERROR(VLOOKUP(C384, 'Tổng hợp thông tin sinh viên'!A:E, 5, 0), "")</f>
        <v>ICT 01-K67</v>
      </c>
      <c r="F384" s="49"/>
      <c r="G384" s="1"/>
      <c r="H384" s="1"/>
      <c r="I384" s="1"/>
      <c r="J384" s="1"/>
      <c r="K384" s="1"/>
      <c r="L384" s="1"/>
      <c r="M384" s="1"/>
      <c r="N384" s="1"/>
      <c r="O384" s="1"/>
      <c r="P384" s="82"/>
      <c r="Q384" s="1"/>
      <c r="R384" s="1"/>
      <c r="S384" s="83"/>
      <c r="T384" s="1"/>
      <c r="U384" s="1"/>
      <c r="V384" s="1"/>
      <c r="W384" s="1"/>
      <c r="X384" s="1"/>
      <c r="Y384" s="1"/>
    </row>
    <row r="385">
      <c r="A385" s="49"/>
      <c r="B385" s="70" t="str">
        <f>IFERROR(VLOOKUP(C385, 'Tổng hợp thông tin sinh viên'!A:E, 2, 0), "")</f>
        <v>Vũ Hải Đăng</v>
      </c>
      <c r="C385" s="31" t="s">
        <v>459</v>
      </c>
      <c r="D385" s="31" t="str">
        <f>IFERROR(VLOOKUP(C385, 'Tổng hợp thông tin sinh viên'!A:E, 3, 0), "")</f>
        <v>dang.vh225962@sis.hust.edu.vn</v>
      </c>
      <c r="E385" s="31" t="str">
        <f>IFERROR(VLOOKUP(C385, 'Tổng hợp thông tin sinh viên'!A:E, 5, 0), "")</f>
        <v>ICT 01-K67</v>
      </c>
      <c r="F385" s="49"/>
      <c r="G385" s="1"/>
      <c r="H385" s="1"/>
      <c r="I385" s="1"/>
      <c r="J385" s="1"/>
      <c r="K385" s="1"/>
      <c r="L385" s="1"/>
      <c r="M385" s="1"/>
      <c r="N385" s="1"/>
      <c r="O385" s="1"/>
      <c r="P385" s="82"/>
      <c r="Q385" s="1"/>
      <c r="R385" s="1"/>
      <c r="S385" s="83"/>
      <c r="T385" s="1"/>
      <c r="U385" s="1"/>
      <c r="V385" s="1"/>
      <c r="W385" s="1"/>
      <c r="X385" s="1"/>
      <c r="Y385" s="1"/>
    </row>
    <row r="386">
      <c r="A386" s="49"/>
      <c r="B386" s="70" t="str">
        <f>IFERROR(VLOOKUP(C386, 'Tổng hợp thông tin sinh viên'!A:E, 2, 0), "")</f>
        <v>Đinh Nguyễn Sơn</v>
      </c>
      <c r="C386" s="31" t="s">
        <v>460</v>
      </c>
      <c r="D386" s="31" t="str">
        <f>IFERROR(VLOOKUP(C386, 'Tổng hợp thông tin sinh viên'!A:E, 3, 0), "")</f>
        <v>son.dn225997@sis.hust.edu.vn</v>
      </c>
      <c r="E386" s="31" t="str">
        <f>IFERROR(VLOOKUP(C386, 'Tổng hợp thông tin sinh viên'!A:E, 5, 0), "")</f>
        <v>ICT 01-K67</v>
      </c>
      <c r="F386" s="49"/>
      <c r="G386" s="1"/>
      <c r="H386" s="1"/>
      <c r="I386" s="1"/>
      <c r="J386" s="1"/>
      <c r="K386" s="1"/>
      <c r="L386" s="1"/>
      <c r="M386" s="1"/>
      <c r="N386" s="1"/>
      <c r="O386" s="1"/>
      <c r="P386" s="82"/>
      <c r="Q386" s="1"/>
      <c r="R386" s="1"/>
      <c r="S386" s="83"/>
      <c r="T386" s="1"/>
      <c r="U386" s="1"/>
      <c r="V386" s="1"/>
      <c r="W386" s="1"/>
      <c r="X386" s="1"/>
      <c r="Y386" s="1"/>
    </row>
    <row r="387">
      <c r="A387" s="49"/>
      <c r="B387" s="70" t="str">
        <f>IFERROR(VLOOKUP(C387, 'Tổng hợp thông tin sinh viên'!A:E, 2, 0), "")</f>
        <v>Vũ Đức Mạnh</v>
      </c>
      <c r="C387" s="31" t="s">
        <v>461</v>
      </c>
      <c r="D387" s="31" t="str">
        <f>IFERROR(VLOOKUP(C387, 'Tổng hợp thông tin sinh viên'!A:E, 3, 0), "")</f>
        <v>manh.vd226054@sis.hust.edu.vn</v>
      </c>
      <c r="E387" s="31" t="str">
        <f>IFERROR(VLOOKUP(C387, 'Tổng hợp thông tin sinh viên'!A:E, 5, 0), "")</f>
        <v>ICT 01-K67</v>
      </c>
      <c r="F387" s="49"/>
      <c r="G387" s="1"/>
      <c r="H387" s="1"/>
      <c r="I387" s="1"/>
      <c r="J387" s="1"/>
      <c r="K387" s="1"/>
      <c r="L387" s="1"/>
      <c r="M387" s="1"/>
      <c r="N387" s="1"/>
      <c r="O387" s="1"/>
      <c r="P387" s="82"/>
      <c r="Q387" s="1"/>
      <c r="R387" s="1"/>
      <c r="S387" s="83"/>
      <c r="T387" s="1"/>
      <c r="U387" s="1"/>
      <c r="V387" s="1"/>
      <c r="W387" s="1"/>
      <c r="X387" s="1"/>
      <c r="Y387" s="1"/>
    </row>
    <row r="388">
      <c r="A388" s="49"/>
      <c r="B388" s="70" t="str">
        <f>IFERROR(VLOOKUP(C388, 'Tổng hợp thông tin sinh viên'!A:E, 2, 0), "")</f>
        <v>Luân Quang Minh</v>
      </c>
      <c r="C388" s="31" t="s">
        <v>462</v>
      </c>
      <c r="D388" s="31" t="str">
        <f>IFERROR(VLOOKUP(C388, 'Tổng hợp thông tin sinh viên'!A:E, 3, 0), "")</f>
        <v>minh.lq225985@sis.hust.edu.vn</v>
      </c>
      <c r="E388" s="31" t="str">
        <f>IFERROR(VLOOKUP(C388, 'Tổng hợp thông tin sinh viên'!A:E, 5, 0), "")</f>
        <v>ICT 01-K67</v>
      </c>
      <c r="F388" s="49"/>
      <c r="G388" s="1"/>
      <c r="H388" s="1"/>
      <c r="I388" s="1"/>
      <c r="J388" s="1"/>
      <c r="K388" s="1"/>
      <c r="L388" s="1"/>
      <c r="M388" s="1"/>
      <c r="N388" s="1"/>
      <c r="O388" s="1"/>
      <c r="P388" s="82"/>
      <c r="Q388" s="1"/>
      <c r="R388" s="1"/>
      <c r="S388" s="83"/>
      <c r="T388" s="1"/>
      <c r="U388" s="1"/>
      <c r="V388" s="1"/>
      <c r="W388" s="1"/>
      <c r="X388" s="1"/>
      <c r="Y388" s="1"/>
    </row>
    <row r="389">
      <c r="A389" s="49"/>
      <c r="B389" s="70" t="str">
        <f>IFERROR(VLOOKUP(C389, 'Tổng hợp thông tin sinh viên'!A:E, 2, 0), "")</f>
        <v>Phạm Phương Huy</v>
      </c>
      <c r="C389" s="31" t="s">
        <v>463</v>
      </c>
      <c r="D389" s="31" t="str">
        <f>IFERROR(VLOOKUP(C389, 'Tổng hợp thông tin sinh viên'!A:E, 3, 0), "")</f>
        <v>huy.pp225977@sis.hust.edu.vn</v>
      </c>
      <c r="E389" s="31" t="str">
        <f>IFERROR(VLOOKUP(C389, 'Tổng hợp thông tin sinh viên'!A:E, 5, 0), "")</f>
        <v>ICT 01-K67</v>
      </c>
      <c r="F389" s="49"/>
      <c r="G389" s="1"/>
      <c r="H389" s="1"/>
      <c r="I389" s="1"/>
      <c r="J389" s="1"/>
      <c r="K389" s="1"/>
      <c r="L389" s="1"/>
      <c r="M389" s="1"/>
      <c r="N389" s="1"/>
      <c r="O389" s="1"/>
      <c r="P389" s="82"/>
      <c r="Q389" s="1"/>
      <c r="R389" s="1"/>
      <c r="S389" s="83"/>
      <c r="T389" s="1"/>
      <c r="U389" s="1"/>
      <c r="V389" s="1"/>
      <c r="W389" s="1"/>
      <c r="X389" s="1"/>
      <c r="Y389" s="1"/>
    </row>
    <row r="390">
      <c r="A390" s="49"/>
      <c r="B390" s="70" t="str">
        <f>IFERROR(VLOOKUP(C390, 'Tổng hợp thông tin sinh viên'!A:E, 2, 0), "")</f>
        <v>Đặng Hồng Minh</v>
      </c>
      <c r="C390" s="86" t="s">
        <v>464</v>
      </c>
      <c r="D390" s="31" t="str">
        <f>IFERROR(VLOOKUP(C390, 'Tổng hợp thông tin sinh viên'!A:E, 3, 0), "")</f>
        <v>minh.dh225740@sis.hust.edu.vn</v>
      </c>
      <c r="E390" s="31" t="str">
        <f>IFERROR(VLOOKUP(C390, 'Tổng hợp thông tin sinh viên'!A:E, 5, 0), "")</f>
        <v>Việt Nhật 05-K67</v>
      </c>
      <c r="F390" s="49"/>
      <c r="G390" s="1"/>
      <c r="H390" s="1"/>
      <c r="I390" s="1"/>
      <c r="J390" s="1"/>
      <c r="K390" s="1"/>
      <c r="L390" s="1"/>
      <c r="M390" s="1"/>
      <c r="N390" s="1"/>
      <c r="O390" s="1"/>
      <c r="P390" s="82"/>
      <c r="Q390" s="1"/>
      <c r="R390" s="1"/>
      <c r="S390" s="83"/>
      <c r="T390" s="1"/>
      <c r="U390" s="1"/>
      <c r="V390" s="1"/>
      <c r="W390" s="1"/>
      <c r="X390" s="1"/>
      <c r="Y390" s="1"/>
    </row>
    <row r="391">
      <c r="A391" s="52"/>
      <c r="B391" s="70" t="str">
        <f>IFERROR(VLOOKUP(C391, 'Tổng hợp thông tin sinh viên'!A:E, 2, 0), "")</f>
        <v>Lương Thái Khang</v>
      </c>
      <c r="C391" s="86" t="s">
        <v>465</v>
      </c>
      <c r="D391" s="31" t="str">
        <f>IFERROR(VLOOKUP(C391, 'Tổng hợp thông tin sinh viên'!A:E, 3, 0), "")</f>
        <v>khang.lt224866@sis.hust.edu.vn</v>
      </c>
      <c r="E391" s="31" t="str">
        <f>IFERROR(VLOOKUP(C391, 'Tổng hợp thông tin sinh viên'!A:E, 5, 0), "")</f>
        <v>Khoa học máy tính 04-K67</v>
      </c>
      <c r="F391" s="52"/>
      <c r="G391" s="1"/>
      <c r="H391" s="1"/>
      <c r="I391" s="1"/>
      <c r="J391" s="1"/>
      <c r="K391" s="1"/>
      <c r="L391" s="1"/>
      <c r="M391" s="1"/>
      <c r="N391" s="1"/>
      <c r="O391" s="1"/>
      <c r="P391" s="82"/>
      <c r="Q391" s="1"/>
      <c r="R391" s="1"/>
      <c r="S391" s="83"/>
      <c r="T391" s="1"/>
      <c r="U391" s="1"/>
      <c r="V391" s="1"/>
      <c r="W391" s="1"/>
      <c r="X391" s="1"/>
      <c r="Y391" s="1"/>
    </row>
    <row r="392">
      <c r="A392" s="77">
        <v>48.0</v>
      </c>
      <c r="B392" s="78" t="str">
        <f>IFERROR(VLOOKUP(C392, 'Tổng hợp thông tin sinh viên'!A:E, 2, 0), "")</f>
        <v>Nguyễn Phúc Anh</v>
      </c>
      <c r="C392" s="79" t="s">
        <v>466</v>
      </c>
      <c r="D392" s="27" t="str">
        <f>IFERROR(VLOOKUP(C392, 'Tổng hợp thông tin sinh viên'!A:E, 3, 0), "")</f>
        <v>anh.np225784@sis.hust.edu.vn</v>
      </c>
      <c r="E392" s="27" t="str">
        <f>IFERROR(VLOOKUP(C392, 'Tổng hợp thông tin sinh viên'!A:E, 5, 0), "")</f>
        <v>Việt Nhật 01-K67</v>
      </c>
      <c r="F392" s="71" t="str">
        <f>IF(COUNTBLANK(C392:C401) = 0, "Đủ", "Thiếu: " &amp; COUNTBLANK(C392:C401))</f>
        <v>Đủ</v>
      </c>
      <c r="G392" s="1"/>
      <c r="H392" s="1"/>
      <c r="I392" s="1"/>
      <c r="J392" s="1"/>
      <c r="K392" s="1"/>
      <c r="L392" s="1"/>
      <c r="M392" s="1"/>
      <c r="N392" s="1"/>
      <c r="O392" s="1"/>
      <c r="P392" s="82"/>
      <c r="Q392" s="1"/>
      <c r="R392" s="1"/>
      <c r="S392" s="83"/>
      <c r="T392" s="1"/>
      <c r="U392" s="1"/>
      <c r="V392" s="1"/>
      <c r="W392" s="1"/>
      <c r="X392" s="1"/>
      <c r="Y392" s="1"/>
    </row>
    <row r="393">
      <c r="A393" s="49"/>
      <c r="B393" s="78" t="str">
        <f>IFERROR(VLOOKUP(C393, 'Tổng hợp thông tin sinh viên'!A:E, 2, 0), "")</f>
        <v>Nguyễn Bình An</v>
      </c>
      <c r="C393" s="27" t="s">
        <v>467</v>
      </c>
      <c r="D393" s="27" t="str">
        <f>IFERROR(VLOOKUP(C393, 'Tổng hợp thông tin sinh viên'!A:E, 3, 0), "")</f>
        <v>an.nb225591@sis.hust.edu.vn</v>
      </c>
      <c r="E393" s="27" t="str">
        <f>IFERROR(VLOOKUP(C393, 'Tổng hợp thông tin sinh viên'!A:E, 5, 0), "")</f>
        <v>Việt Nhật 01-K67</v>
      </c>
      <c r="F393" s="49"/>
      <c r="G393" s="1"/>
      <c r="H393" s="1"/>
      <c r="I393" s="1"/>
      <c r="J393" s="1"/>
      <c r="K393" s="1"/>
      <c r="L393" s="1"/>
      <c r="M393" s="1"/>
      <c r="N393" s="1"/>
      <c r="O393" s="1"/>
      <c r="P393" s="82"/>
      <c r="Q393" s="1"/>
      <c r="R393" s="1"/>
      <c r="S393" s="83"/>
      <c r="T393" s="1"/>
      <c r="U393" s="1"/>
      <c r="V393" s="1"/>
      <c r="W393" s="1"/>
      <c r="X393" s="1"/>
      <c r="Y393" s="1"/>
    </row>
    <row r="394">
      <c r="A394" s="49"/>
      <c r="B394" s="78" t="str">
        <f>IFERROR(VLOOKUP(C394, 'Tổng hợp thông tin sinh viên'!A:E, 2, 0), "")</f>
        <v>Đỗ Mạnh Phương</v>
      </c>
      <c r="C394" s="27" t="s">
        <v>468</v>
      </c>
      <c r="D394" s="27" t="str">
        <f>IFERROR(VLOOKUP(C394, 'Tổng hợp thông tin sinh viên'!A:E, 3, 0), "")</f>
        <v>phuong.dm225660@sis.hust.edu.vn</v>
      </c>
      <c r="E394" s="27" t="str">
        <f>IFERROR(VLOOKUP(C394, 'Tổng hợp thông tin sinh viên'!A:E, 5, 0), "")</f>
        <v>Việt Nhật 02-K67</v>
      </c>
      <c r="F394" s="49"/>
      <c r="G394" s="1"/>
      <c r="H394" s="1"/>
      <c r="I394" s="1"/>
      <c r="J394" s="1"/>
      <c r="K394" s="1"/>
      <c r="L394" s="1"/>
      <c r="M394" s="1"/>
      <c r="N394" s="1"/>
      <c r="O394" s="1"/>
      <c r="P394" s="82"/>
      <c r="Q394" s="1"/>
      <c r="R394" s="1"/>
      <c r="S394" s="83"/>
      <c r="T394" s="1"/>
      <c r="U394" s="1"/>
      <c r="V394" s="1"/>
      <c r="W394" s="1"/>
      <c r="X394" s="1"/>
      <c r="Y394" s="1"/>
    </row>
    <row r="395">
      <c r="A395" s="49"/>
      <c r="B395" s="78" t="str">
        <f>IFERROR(VLOOKUP(C395, 'Tổng hợp thông tin sinh viên'!A:E, 2, 0), "")</f>
        <v>Lê Đồng Cảnh Phú</v>
      </c>
      <c r="C395" s="27" t="s">
        <v>469</v>
      </c>
      <c r="D395" s="27" t="str">
        <f>IFERROR(VLOOKUP(C395, 'Tổng hợp thông tin sinh viên'!A:E, 3, 0), "")</f>
        <v>phu.ldc225755@sis.hust.edu.vn</v>
      </c>
      <c r="E395" s="27" t="str">
        <f>IFERROR(VLOOKUP(C395, 'Tổng hợp thông tin sinh viên'!A:E, 5, 0), "")</f>
        <v>Việt Nhật 01-K67</v>
      </c>
      <c r="F395" s="49"/>
      <c r="G395" s="1"/>
      <c r="H395" s="1"/>
      <c r="I395" s="1"/>
      <c r="J395" s="1"/>
      <c r="K395" s="1"/>
      <c r="L395" s="1"/>
      <c r="M395" s="1"/>
      <c r="N395" s="1"/>
      <c r="O395" s="1"/>
      <c r="P395" s="82"/>
      <c r="Q395" s="1"/>
      <c r="R395" s="1"/>
      <c r="S395" s="83"/>
      <c r="T395" s="1"/>
      <c r="U395" s="1"/>
      <c r="V395" s="1"/>
      <c r="W395" s="1"/>
      <c r="X395" s="1"/>
      <c r="Y395" s="1"/>
    </row>
    <row r="396">
      <c r="A396" s="49"/>
      <c r="B396" s="78" t="str">
        <f>IFERROR(VLOOKUP(C396, 'Tổng hợp thông tin sinh viên'!A:E, 2, 0), "")</f>
        <v>Đàm Thanh Bách</v>
      </c>
      <c r="C396" s="27" t="s">
        <v>470</v>
      </c>
      <c r="D396" s="27" t="str">
        <f>IFERROR(VLOOKUP(C396, 'Tổng hợp thông tin sinh viên'!A:E, 3, 0), "")</f>
        <v>bach.dt225600@sis.hust.edu.vn</v>
      </c>
      <c r="E396" s="27" t="str">
        <f>IFERROR(VLOOKUP(C396, 'Tổng hợp thông tin sinh viên'!A:E, 5, 0), "")</f>
        <v>Việt Nhật 01-K67</v>
      </c>
      <c r="F396" s="49"/>
      <c r="G396" s="1"/>
      <c r="H396" s="1"/>
      <c r="I396" s="1"/>
      <c r="J396" s="1"/>
      <c r="K396" s="1"/>
      <c r="L396" s="1"/>
      <c r="M396" s="1"/>
      <c r="N396" s="1"/>
      <c r="O396" s="1"/>
      <c r="P396" s="82"/>
      <c r="Q396" s="1"/>
      <c r="R396" s="1"/>
      <c r="S396" s="83"/>
      <c r="T396" s="1"/>
      <c r="U396" s="1"/>
      <c r="V396" s="1"/>
      <c r="W396" s="1"/>
      <c r="X396" s="1"/>
      <c r="Y396" s="1"/>
    </row>
    <row r="397">
      <c r="A397" s="49"/>
      <c r="B397" s="78" t="str">
        <f>IFERROR(VLOOKUP(C397, 'Tổng hợp thông tin sinh viên'!A:E, 2, 0), "")</f>
        <v>Tô Minh Ánh</v>
      </c>
      <c r="C397" s="27" t="s">
        <v>471</v>
      </c>
      <c r="D397" s="27" t="str">
        <f>IFERROR(VLOOKUP(C397, 'Tổng hợp thông tin sinh viên'!A:E, 3, 0), "")</f>
        <v>anh.tm225787@sis.hust.edu.vn</v>
      </c>
      <c r="E397" s="27" t="str">
        <f>IFERROR(VLOOKUP(C397, 'Tổng hợp thông tin sinh viên'!A:E, 5, 0), "")</f>
        <v>Việt Nhật 06-K67</v>
      </c>
      <c r="F397" s="49"/>
      <c r="G397" s="1"/>
      <c r="H397" s="1"/>
      <c r="I397" s="1"/>
      <c r="J397" s="1"/>
      <c r="K397" s="1"/>
      <c r="L397" s="1"/>
      <c r="M397" s="1"/>
      <c r="N397" s="1"/>
      <c r="O397" s="1"/>
      <c r="P397" s="82"/>
      <c r="Q397" s="1"/>
      <c r="R397" s="1"/>
      <c r="S397" s="83"/>
      <c r="T397" s="1"/>
      <c r="U397" s="1"/>
      <c r="V397" s="1"/>
      <c r="W397" s="1"/>
      <c r="X397" s="1"/>
      <c r="Y397" s="1"/>
    </row>
    <row r="398">
      <c r="A398" s="49"/>
      <c r="B398" s="78" t="str">
        <f>IFERROR(VLOOKUP(C398, 'Tổng hợp thông tin sinh viên'!A:E, 2, 0), "")</f>
        <v>Nguyễn Kim Ngọc</v>
      </c>
      <c r="C398" s="27" t="s">
        <v>472</v>
      </c>
      <c r="D398" s="27" t="str">
        <f>IFERROR(VLOOKUP(C398, 'Tổng hợp thông tin sinh viên'!A:E, 3, 0), "")</f>
        <v>ngoc.nk225655@sis.hust.edu.vn</v>
      </c>
      <c r="E398" s="27" t="str">
        <f>IFERROR(VLOOKUP(C398, 'Tổng hợp thông tin sinh viên'!A:E, 5, 0), "")</f>
        <v>Việt Nhật 05-K67</v>
      </c>
      <c r="F398" s="49"/>
      <c r="G398" s="1"/>
      <c r="H398" s="1"/>
      <c r="I398" s="1"/>
      <c r="J398" s="1"/>
      <c r="K398" s="1"/>
      <c r="L398" s="1"/>
      <c r="M398" s="1"/>
      <c r="N398" s="1"/>
      <c r="O398" s="1"/>
      <c r="P398" s="82"/>
      <c r="Q398" s="1"/>
      <c r="R398" s="1"/>
      <c r="S398" s="83"/>
      <c r="T398" s="1"/>
      <c r="U398" s="1"/>
      <c r="V398" s="1"/>
      <c r="W398" s="1"/>
      <c r="X398" s="1"/>
      <c r="Y398" s="1"/>
    </row>
    <row r="399">
      <c r="A399" s="49"/>
      <c r="B399" s="78" t="str">
        <f>IFERROR(VLOOKUP(C399, 'Tổng hợp thông tin sinh viên'!A:E, 2, 0), "")</f>
        <v>Lê Thị Ngọc Thảo</v>
      </c>
      <c r="C399" s="27" t="s">
        <v>473</v>
      </c>
      <c r="D399" s="27" t="str">
        <f>IFERROR(VLOOKUP(C399, 'Tổng hợp thông tin sinh viên'!A:E, 3, 0), "")</f>
        <v>thao.ltn225673@sis.hust.edu.vn</v>
      </c>
      <c r="E399" s="27" t="str">
        <f>IFERROR(VLOOKUP(C399, 'Tổng hợp thông tin sinh viên'!A:E, 5, 0), "")</f>
        <v>Việt Nhật 07-K67</v>
      </c>
      <c r="F399" s="49"/>
      <c r="G399" s="1"/>
      <c r="H399" s="1"/>
      <c r="I399" s="1"/>
      <c r="J399" s="1"/>
      <c r="K399" s="1"/>
      <c r="L399" s="1"/>
      <c r="M399" s="1"/>
      <c r="N399" s="1"/>
      <c r="O399" s="1"/>
      <c r="P399" s="82"/>
      <c r="Q399" s="1"/>
      <c r="R399" s="1"/>
      <c r="S399" s="83"/>
      <c r="T399" s="1"/>
      <c r="U399" s="1"/>
      <c r="V399" s="1"/>
      <c r="W399" s="1"/>
      <c r="X399" s="1"/>
      <c r="Y399" s="1"/>
    </row>
    <row r="400">
      <c r="A400" s="49"/>
      <c r="B400" s="78" t="str">
        <f>IFERROR(VLOOKUP(C400, 'Tổng hợp thông tin sinh viên'!A:E, 2, 0), "")</f>
        <v>Nguyễn Hữu Kiên</v>
      </c>
      <c r="C400" s="27" t="s">
        <v>474</v>
      </c>
      <c r="D400" s="27" t="str">
        <f>IFERROR(VLOOKUP(C400, 'Tổng hợp thông tin sinh viên'!A:E, 3, 0), "")</f>
        <v>kien.nh225024@sis.hust.edu.vn</v>
      </c>
      <c r="E400" s="27" t="str">
        <f>IFERROR(VLOOKUP(C400, 'Tổng hợp thông tin sinh viên'!A:E, 5, 0), "")</f>
        <v>Khoa học máy tính 01-K67</v>
      </c>
      <c r="F400" s="49"/>
      <c r="G400" s="1"/>
      <c r="H400" s="1"/>
      <c r="I400" s="1"/>
      <c r="J400" s="1"/>
      <c r="K400" s="1"/>
      <c r="L400" s="1"/>
      <c r="M400" s="1"/>
      <c r="N400" s="1"/>
      <c r="O400" s="1"/>
      <c r="P400" s="82"/>
      <c r="Q400" s="1"/>
      <c r="R400" s="1"/>
      <c r="S400" s="83"/>
      <c r="T400" s="1"/>
      <c r="U400" s="1"/>
      <c r="V400" s="1"/>
      <c r="W400" s="1"/>
      <c r="X400" s="1"/>
      <c r="Y400" s="1"/>
    </row>
    <row r="401">
      <c r="A401" s="52"/>
      <c r="B401" s="78" t="str">
        <f>IFERROR(VLOOKUP(C401, 'Tổng hợp thông tin sinh viên'!A:E, 2, 0), "")</f>
        <v>Kha Minh Bảo</v>
      </c>
      <c r="C401" s="27" t="s">
        <v>475</v>
      </c>
      <c r="D401" s="27" t="str">
        <f>IFERROR(VLOOKUP(C401, 'Tổng hợp thông tin sinh viên'!A:E, 3, 0), "")</f>
        <v>bao.km210098@sis.hust.edu.vn</v>
      </c>
      <c r="E401" s="27" t="str">
        <f>IFERROR(VLOOKUP(C401, 'Tổng hợp thông tin sinh viên'!A:E, 5, 0), "")</f>
        <v>Việt Nhật 01-K66</v>
      </c>
      <c r="F401" s="52"/>
      <c r="G401" s="1"/>
      <c r="H401" s="1"/>
      <c r="I401" s="1"/>
      <c r="J401" s="1"/>
      <c r="K401" s="1"/>
      <c r="L401" s="1"/>
      <c r="M401" s="1"/>
      <c r="N401" s="1"/>
      <c r="O401" s="1"/>
      <c r="P401" s="82"/>
      <c r="Q401" s="1"/>
      <c r="R401" s="1"/>
      <c r="S401" s="83"/>
      <c r="T401" s="1"/>
      <c r="U401" s="1"/>
      <c r="V401" s="1"/>
      <c r="W401" s="1"/>
      <c r="X401" s="1"/>
      <c r="Y401" s="1"/>
    </row>
    <row r="402">
      <c r="A402" s="69">
        <v>49.0</v>
      </c>
      <c r="B402" s="70" t="str">
        <f>IFERROR(VLOOKUP(C402, 'Tổng hợp thông tin sinh viên'!A:E, 2, 0), "")</f>
        <v>Nguyễn Kim Cường</v>
      </c>
      <c r="C402" s="31" t="s">
        <v>476</v>
      </c>
      <c r="D402" s="31" t="str">
        <f>IFERROR(VLOOKUP(C402, 'Tổng hợp thông tin sinh viên'!A:E, 3, 0), "")</f>
        <v>cuong.nk224939@sis.hust.edu.vn</v>
      </c>
      <c r="E402" s="31" t="str">
        <f>IFERROR(VLOOKUP(C402, 'Tổng hợp thông tin sinh viên'!A:E, 5, 0), "")</f>
        <v>Khoa học máy tính 05-K67</v>
      </c>
      <c r="F402" s="71" t="str">
        <f>IF(COUNTBLANK(C402:C411) = 0, "Đủ", "Thiếu: " &amp; COUNTBLANK(C402:C411))</f>
        <v>Đủ</v>
      </c>
      <c r="G402" s="1"/>
      <c r="H402" s="1"/>
      <c r="I402" s="1"/>
      <c r="J402" s="1"/>
      <c r="K402" s="1"/>
      <c r="L402" s="1"/>
      <c r="M402" s="1"/>
      <c r="N402" s="1"/>
      <c r="O402" s="1"/>
      <c r="P402" s="82"/>
      <c r="Q402" s="1"/>
      <c r="R402" s="1"/>
      <c r="S402" s="83"/>
      <c r="T402" s="1"/>
      <c r="U402" s="1"/>
      <c r="V402" s="1"/>
      <c r="W402" s="1"/>
      <c r="X402" s="1"/>
      <c r="Y402" s="1"/>
    </row>
    <row r="403">
      <c r="A403" s="49"/>
      <c r="B403" s="70" t="str">
        <f>IFERROR(VLOOKUP(C403, 'Tổng hợp thông tin sinh viên'!A:E, 2, 0), "")</f>
        <v>Đỗ Huy Đạt</v>
      </c>
      <c r="C403" s="31" t="s">
        <v>477</v>
      </c>
      <c r="D403" s="31" t="str">
        <f>IFERROR(VLOOKUP(C403, 'Tổng hợp thông tin sinh viên'!A:E, 3, 0), "")</f>
        <v>dat.dh220024@sis.hust.edu.vn</v>
      </c>
      <c r="E403" s="31" t="str">
        <f>IFERROR(VLOOKUP(C403, 'Tổng hợp thông tin sinh viên'!A:E, 5, 0), "")</f>
        <v>Khoa học máy tính 05-K67</v>
      </c>
      <c r="F403" s="49"/>
      <c r="G403" s="1"/>
      <c r="H403" s="1"/>
      <c r="I403" s="1"/>
      <c r="J403" s="1"/>
      <c r="K403" s="1"/>
      <c r="L403" s="1"/>
      <c r="M403" s="1"/>
      <c r="N403" s="1"/>
      <c r="O403" s="1"/>
      <c r="P403" s="82"/>
      <c r="Q403" s="1"/>
      <c r="R403" s="1"/>
      <c r="S403" s="83"/>
      <c r="T403" s="1"/>
      <c r="U403" s="1"/>
      <c r="V403" s="1"/>
      <c r="W403" s="1"/>
      <c r="X403" s="1"/>
      <c r="Y403" s="1"/>
    </row>
    <row r="404">
      <c r="A404" s="49"/>
      <c r="B404" s="70" t="str">
        <f>IFERROR(VLOOKUP(C404, 'Tổng hợp thông tin sinh viên'!A:E, 2, 0), "")</f>
        <v>Lê Hoàng Anh</v>
      </c>
      <c r="C404" s="31" t="s">
        <v>478</v>
      </c>
      <c r="D404" s="31" t="str">
        <f>IFERROR(VLOOKUP(C404, 'Tổng hợp thông tin sinh viên'!A:E, 3, 0), "")</f>
        <v>anh.lh224918@sis.hust.edu.vn</v>
      </c>
      <c r="E404" s="31" t="str">
        <f>IFERROR(VLOOKUP(C404, 'Tổng hợp thông tin sinh viên'!A:E, 5, 0), "")</f>
        <v>Khoa học máy tính 05-K67</v>
      </c>
      <c r="F404" s="49"/>
      <c r="G404" s="1"/>
      <c r="H404" s="1"/>
      <c r="I404" s="1"/>
      <c r="J404" s="1"/>
      <c r="K404" s="1"/>
      <c r="L404" s="1"/>
      <c r="M404" s="1"/>
      <c r="N404" s="1"/>
      <c r="O404" s="1"/>
      <c r="P404" s="82"/>
      <c r="Q404" s="1"/>
      <c r="R404" s="1"/>
      <c r="S404" s="83"/>
      <c r="T404" s="1"/>
      <c r="U404" s="1"/>
      <c r="V404" s="1"/>
      <c r="W404" s="1"/>
      <c r="X404" s="1"/>
      <c r="Y404" s="1"/>
    </row>
    <row r="405">
      <c r="A405" s="49"/>
      <c r="B405" s="70" t="str">
        <f>IFERROR(VLOOKUP(C405, 'Tổng hợp thông tin sinh viên'!A:E, 2, 0), "")</f>
        <v>Nguyễn Chí Cường</v>
      </c>
      <c r="C405" s="31" t="s">
        <v>479</v>
      </c>
      <c r="D405" s="31" t="str">
        <f>IFERROR(VLOOKUP(C405, 'Tổng hợp thông tin sinh viên'!A:E, 3, 0), "")</f>
        <v>cuong.nc224938@sis.hust.edu.vn</v>
      </c>
      <c r="E405" s="31" t="str">
        <f>IFERROR(VLOOKUP(C405, 'Tổng hợp thông tin sinh viên'!A:E, 5, 0), "")</f>
        <v>Khoa học máy tính 04-K67</v>
      </c>
      <c r="F405" s="49"/>
      <c r="G405" s="1"/>
      <c r="H405" s="1"/>
      <c r="I405" s="1"/>
      <c r="J405" s="1"/>
      <c r="K405" s="1"/>
      <c r="L405" s="1"/>
      <c r="M405" s="1"/>
      <c r="N405" s="1"/>
      <c r="O405" s="1"/>
      <c r="P405" s="82"/>
      <c r="Q405" s="1"/>
      <c r="R405" s="1"/>
      <c r="S405" s="83"/>
      <c r="T405" s="1"/>
      <c r="U405" s="1"/>
      <c r="V405" s="1"/>
      <c r="W405" s="1"/>
      <c r="X405" s="1"/>
      <c r="Y405" s="1"/>
    </row>
    <row r="406">
      <c r="A406" s="49"/>
      <c r="B406" s="70" t="str">
        <f>IFERROR(VLOOKUP(C406, 'Tổng hợp thông tin sinh viên'!A:E, 2, 0), "")</f>
        <v>Ngô Trí Cảnh</v>
      </c>
      <c r="C406" s="31" t="s">
        <v>480</v>
      </c>
      <c r="D406" s="31" t="str">
        <f>IFERROR(VLOOKUP(C406, 'Tổng hợp thông tin sinh viên'!A:E, 3, 0), "")</f>
        <v>canh.nt220015@sis.hust.edu.vn</v>
      </c>
      <c r="E406" s="31" t="str">
        <f>IFERROR(VLOOKUP(C406, 'Tổng hợp thông tin sinh viên'!A:E, 5, 0), "")</f>
        <v>Khoa học máy tính 04-K67</v>
      </c>
      <c r="F406" s="49"/>
      <c r="G406" s="1"/>
      <c r="H406" s="1"/>
      <c r="I406" s="1"/>
      <c r="J406" s="1"/>
      <c r="K406" s="1"/>
      <c r="L406" s="1"/>
      <c r="M406" s="1"/>
      <c r="N406" s="1"/>
      <c r="O406" s="1"/>
      <c r="P406" s="82"/>
      <c r="Q406" s="1"/>
      <c r="R406" s="1"/>
      <c r="S406" s="83"/>
      <c r="T406" s="1"/>
      <c r="U406" s="1"/>
      <c r="V406" s="1"/>
      <c r="W406" s="1"/>
      <c r="X406" s="1"/>
      <c r="Y406" s="1"/>
    </row>
    <row r="407">
      <c r="A407" s="49"/>
      <c r="B407" s="70" t="str">
        <f>IFERROR(VLOOKUP(C407, 'Tổng hợp thông tin sinh viên'!A:E, 2, 0), "")</f>
        <v>Bùi Xuân Tùng</v>
      </c>
      <c r="C407" s="31" t="s">
        <v>481</v>
      </c>
      <c r="D407" s="31" t="str">
        <f>IFERROR(VLOOKUP(C407, 'Tổng hợp thông tin sinh viên'!A:E, 3, 0), "")</f>
        <v>tung.bx224905@sis.hust.edu.vn</v>
      </c>
      <c r="E407" s="31" t="str">
        <f>IFERROR(VLOOKUP(C407, 'Tổng hợp thông tin sinh viên'!A:E, 5, 0), "")</f>
        <v>Khoa học máy tính 05-K67</v>
      </c>
      <c r="F407" s="49"/>
      <c r="G407" s="1"/>
      <c r="H407" s="1"/>
      <c r="I407" s="1"/>
      <c r="J407" s="1"/>
      <c r="K407" s="1"/>
      <c r="L407" s="1"/>
      <c r="M407" s="1"/>
      <c r="N407" s="1"/>
      <c r="O407" s="1"/>
      <c r="P407" s="82"/>
      <c r="Q407" s="1"/>
      <c r="R407" s="1"/>
      <c r="S407" s="83"/>
      <c r="T407" s="1"/>
      <c r="U407" s="1"/>
      <c r="V407" s="1"/>
      <c r="W407" s="1"/>
      <c r="X407" s="1"/>
      <c r="Y407" s="1"/>
    </row>
    <row r="408">
      <c r="A408" s="49"/>
      <c r="B408" s="70" t="str">
        <f>IFERROR(VLOOKUP(C408, 'Tổng hợp thông tin sinh viên'!A:E, 2, 0), "")</f>
        <v>Lại Hoàng Sơn</v>
      </c>
      <c r="C408" s="31" t="s">
        <v>482</v>
      </c>
      <c r="D408" s="31" t="str">
        <f>IFERROR(VLOOKUP(C408, 'Tổng hợp thông tin sinh viên'!A:E, 3, 0), "")</f>
        <v>son.lh224895@sis.hust.edu.vn</v>
      </c>
      <c r="E408" s="31" t="str">
        <f>IFERROR(VLOOKUP(C408, 'Tổng hợp thông tin sinh viên'!A:E, 5, 0), "")</f>
        <v>Khoa học máy tính 05-K67</v>
      </c>
      <c r="F408" s="49"/>
      <c r="G408" s="1"/>
      <c r="H408" s="1"/>
      <c r="I408" s="1"/>
      <c r="J408" s="1"/>
      <c r="K408" s="1"/>
      <c r="L408" s="1"/>
      <c r="M408" s="1"/>
      <c r="N408" s="1"/>
      <c r="O408" s="1"/>
      <c r="P408" s="82"/>
      <c r="Q408" s="1"/>
      <c r="R408" s="1"/>
      <c r="S408" s="83"/>
      <c r="T408" s="1"/>
      <c r="U408" s="1"/>
      <c r="V408" s="1"/>
      <c r="W408" s="1"/>
      <c r="X408" s="1"/>
      <c r="Y408" s="1"/>
    </row>
    <row r="409">
      <c r="A409" s="49"/>
      <c r="B409" s="70" t="str">
        <f>IFERROR(VLOOKUP(C409, 'Tổng hợp thông tin sinh viên'!A:E, 2, 0), "")</f>
        <v>Đinh Công Thái</v>
      </c>
      <c r="C409" s="31" t="s">
        <v>483</v>
      </c>
      <c r="D409" s="31" t="str">
        <f>IFERROR(VLOOKUP(C409, 'Tổng hợp thông tin sinh viên'!A:E, 3, 0), "")</f>
        <v>thai.dc224898@sis.hust.edu.vn</v>
      </c>
      <c r="E409" s="31" t="str">
        <f>IFERROR(VLOOKUP(C409, 'Tổng hợp thông tin sinh viên'!A:E, 5, 0), "")</f>
        <v>Khoa học máy tính 07-K67</v>
      </c>
      <c r="F409" s="49"/>
      <c r="G409" s="1"/>
      <c r="H409" s="1"/>
      <c r="I409" s="1"/>
      <c r="J409" s="1"/>
      <c r="K409" s="1"/>
      <c r="L409" s="1"/>
      <c r="M409" s="1"/>
      <c r="N409" s="1"/>
      <c r="O409" s="1"/>
      <c r="P409" s="82"/>
      <c r="Q409" s="1"/>
      <c r="R409" s="1"/>
      <c r="S409" s="83"/>
      <c r="T409" s="1"/>
      <c r="U409" s="1"/>
      <c r="V409" s="1"/>
      <c r="W409" s="1"/>
      <c r="X409" s="1"/>
      <c r="Y409" s="1"/>
    </row>
    <row r="410">
      <c r="A410" s="49"/>
      <c r="B410" s="70" t="str">
        <f>IFERROR(VLOOKUP(C410, 'Tổng hợp thông tin sinh viên'!A:E, 2, 0), "")</f>
        <v>Nguyễn Trung Long</v>
      </c>
      <c r="C410" s="31" t="s">
        <v>484</v>
      </c>
      <c r="D410" s="31" t="str">
        <f>IFERROR(VLOOKUP(C410, 'Tổng hợp thông tin sinh viên'!A:E, 3, 0), "")</f>
        <v>long.nt224874@sis.hust.edu.vn</v>
      </c>
      <c r="E410" s="31" t="str">
        <f>IFERROR(VLOOKUP(C410, 'Tổng hợp thông tin sinh viên'!A:E, 5, 0), "")</f>
        <v>Khoa học máy tính 07-K67</v>
      </c>
      <c r="F410" s="49"/>
      <c r="G410" s="1"/>
      <c r="H410" s="1"/>
      <c r="I410" s="1"/>
      <c r="J410" s="1"/>
      <c r="K410" s="1"/>
      <c r="L410" s="1"/>
      <c r="M410" s="1"/>
      <c r="N410" s="1"/>
      <c r="O410" s="1"/>
      <c r="P410" s="82"/>
      <c r="Q410" s="1"/>
      <c r="R410" s="1"/>
      <c r="S410" s="83"/>
      <c r="T410" s="1"/>
      <c r="U410" s="1"/>
      <c r="V410" s="1"/>
      <c r="W410" s="1"/>
      <c r="X410" s="1"/>
      <c r="Y410" s="1"/>
    </row>
    <row r="411">
      <c r="A411" s="52"/>
      <c r="B411" s="70" t="str">
        <f>IFERROR(VLOOKUP(C411, 'Tổng hợp thông tin sinh viên'!A:E, 2, 0), "")</f>
        <v>Nguyễn Duy Khánh</v>
      </c>
      <c r="C411" s="31" t="s">
        <v>485</v>
      </c>
      <c r="D411" s="31" t="str">
        <f>IFERROR(VLOOKUP(C411, 'Tổng hợp thông tin sinh viên'!A:E, 3, 0), "")</f>
        <v>khanh.nd225019@sis.hust.edu.vn</v>
      </c>
      <c r="E411" s="31" t="str">
        <f>IFERROR(VLOOKUP(C411, 'Tổng hợp thông tin sinh viên'!A:E, 5, 0), "")</f>
        <v>Khoa học máy tính 07-K67</v>
      </c>
      <c r="F411" s="52"/>
      <c r="G411" s="1"/>
      <c r="H411" s="1"/>
      <c r="I411" s="1"/>
      <c r="J411" s="1"/>
      <c r="K411" s="1"/>
      <c r="L411" s="1"/>
      <c r="M411" s="1"/>
      <c r="N411" s="1"/>
      <c r="O411" s="1"/>
      <c r="P411" s="82"/>
      <c r="Q411" s="1"/>
      <c r="R411" s="1"/>
      <c r="S411" s="83"/>
      <c r="T411" s="1"/>
      <c r="U411" s="1"/>
      <c r="V411" s="1"/>
      <c r="W411" s="1"/>
      <c r="X411" s="1"/>
      <c r="Y411" s="1"/>
    </row>
    <row r="412">
      <c r="A412" s="77">
        <v>50.0</v>
      </c>
      <c r="B412" s="78" t="str">
        <f>IFERROR(VLOOKUP(C412, 'Tổng hợp thông tin sinh viên'!A:E, 2, 0), "")</f>
        <v>Lê Thị Quỳnh</v>
      </c>
      <c r="C412" s="79" t="s">
        <v>486</v>
      </c>
      <c r="D412" s="27" t="str">
        <f>IFERROR(VLOOKUP(C412, 'Tổng hợp thông tin sinh viên'!A:E, 3, 0), "")</f>
        <v>quynh.lt225917@sis.hust.edu.vn</v>
      </c>
      <c r="E412" s="27" t="str">
        <f>IFERROR(VLOOKUP(C412, 'Tổng hợp thông tin sinh viên'!A:E, 5, 0), "")</f>
        <v>Việt Nhật 07-K67</v>
      </c>
      <c r="F412" s="71" t="str">
        <f>IF(COUNTBLANK(C412:C421) = 0, "Đủ", "Thiếu: " &amp; COUNTBLANK(C412:C421))</f>
        <v>Đủ</v>
      </c>
      <c r="G412" s="1"/>
      <c r="H412" s="1"/>
      <c r="I412" s="1"/>
      <c r="J412" s="1"/>
      <c r="K412" s="1"/>
      <c r="L412" s="1"/>
      <c r="M412" s="1"/>
      <c r="N412" s="1"/>
      <c r="O412" s="1"/>
      <c r="P412" s="82"/>
      <c r="Q412" s="1"/>
      <c r="R412" s="1"/>
      <c r="S412" s="83"/>
      <c r="T412" s="1"/>
      <c r="U412" s="1"/>
      <c r="V412" s="1"/>
      <c r="W412" s="1"/>
      <c r="X412" s="1"/>
      <c r="Y412" s="1"/>
    </row>
    <row r="413">
      <c r="A413" s="49"/>
      <c r="B413" s="78" t="str">
        <f>IFERROR(VLOOKUP(C413, 'Tổng hợp thông tin sinh viên'!A:E, 2, 0), "")</f>
        <v>Vũ Ngọc Đức</v>
      </c>
      <c r="C413" s="27" t="s">
        <v>487</v>
      </c>
      <c r="D413" s="27" t="str">
        <f>IFERROR(VLOOKUP(C413, 'Tổng hợp thông tin sinh viên'!A:E, 3, 0), "")</f>
        <v>duc.vn225816@sis.hust.edu.vn</v>
      </c>
      <c r="E413" s="27" t="str">
        <f>IFERROR(VLOOKUP(C413, 'Tổng hợp thông tin sinh viên'!A:E, 5, 0), "")</f>
        <v>Việt Nhật 06-K67</v>
      </c>
      <c r="F413" s="49"/>
      <c r="G413" s="1"/>
      <c r="H413" s="1"/>
      <c r="I413" s="1"/>
      <c r="J413" s="1"/>
      <c r="K413" s="1"/>
      <c r="L413" s="1"/>
      <c r="M413" s="1"/>
      <c r="N413" s="1"/>
      <c r="O413" s="1"/>
      <c r="P413" s="82"/>
      <c r="Q413" s="1"/>
      <c r="R413" s="1"/>
      <c r="S413" s="83"/>
      <c r="T413" s="1"/>
      <c r="U413" s="1"/>
      <c r="V413" s="1"/>
      <c r="W413" s="1"/>
      <c r="X413" s="1"/>
      <c r="Y413" s="1"/>
    </row>
    <row r="414">
      <c r="A414" s="49"/>
      <c r="B414" s="78" t="str">
        <f>IFERROR(VLOOKUP(C414, 'Tổng hợp thông tin sinh viên'!A:E, 2, 0), "")</f>
        <v>Phạm Duy Đông</v>
      </c>
      <c r="C414" s="27" t="s">
        <v>488</v>
      </c>
      <c r="D414" s="27" t="str">
        <f>IFERROR(VLOOKUP(C414, 'Tổng hợp thông tin sinh viên'!A:E, 3, 0), "")</f>
        <v>dong.pd225608@sis.hust.edu.vn</v>
      </c>
      <c r="E414" s="27" t="str">
        <f>IFERROR(VLOOKUP(C414, 'Tổng hợp thông tin sinh viên'!A:E, 5, 0), "")</f>
        <v>Việt Nhật 05-K67</v>
      </c>
      <c r="F414" s="49"/>
      <c r="G414" s="1"/>
      <c r="H414" s="1"/>
      <c r="I414" s="1"/>
      <c r="J414" s="1"/>
      <c r="K414" s="1"/>
      <c r="L414" s="1"/>
      <c r="M414" s="1"/>
      <c r="N414" s="1"/>
      <c r="O414" s="1"/>
      <c r="P414" s="82"/>
      <c r="Q414" s="1"/>
      <c r="R414" s="1"/>
      <c r="S414" s="83"/>
      <c r="T414" s="1"/>
      <c r="U414" s="1"/>
      <c r="V414" s="1"/>
      <c r="W414" s="1"/>
      <c r="X414" s="1"/>
      <c r="Y414" s="1"/>
    </row>
    <row r="415">
      <c r="A415" s="49"/>
      <c r="B415" s="78" t="str">
        <f>IFERROR(VLOOKUP(C415, 'Tổng hợp thông tin sinh viên'!A:E, 2, 0), "")</f>
        <v>Đoàn Nhật Quang</v>
      </c>
      <c r="C415" s="27" t="s">
        <v>489</v>
      </c>
      <c r="D415" s="27" t="str">
        <f>IFERROR(VLOOKUP(C415, 'Tổng hợp thông tin sinh viên'!A:E, 3, 0), "")</f>
        <v>quang.dn225911@sis.hust.edu.vn</v>
      </c>
      <c r="E415" s="27" t="str">
        <f>IFERROR(VLOOKUP(C415, 'Tổng hợp thông tin sinh viên'!A:E, 5, 0), "")</f>
        <v>Việt Nhật 05-K67</v>
      </c>
      <c r="F415" s="49"/>
      <c r="G415" s="1"/>
      <c r="H415" s="1"/>
      <c r="I415" s="1"/>
      <c r="J415" s="1"/>
      <c r="K415" s="1"/>
      <c r="L415" s="1"/>
      <c r="M415" s="1"/>
      <c r="N415" s="1"/>
      <c r="O415" s="1"/>
      <c r="P415" s="82"/>
      <c r="Q415" s="1"/>
      <c r="R415" s="1"/>
      <c r="S415" s="83"/>
      <c r="T415" s="1"/>
      <c r="U415" s="1"/>
      <c r="V415" s="1"/>
      <c r="W415" s="1"/>
      <c r="X415" s="1"/>
      <c r="Y415" s="1"/>
    </row>
    <row r="416">
      <c r="A416" s="49"/>
      <c r="B416" s="78" t="str">
        <f>IFERROR(VLOOKUP(C416, 'Tổng hợp thông tin sinh viên'!A:E, 2, 0), "")</f>
        <v>Đặng Hải Anh</v>
      </c>
      <c r="C416" s="27" t="s">
        <v>490</v>
      </c>
      <c r="D416" s="27" t="str">
        <f>IFERROR(VLOOKUP(C416, 'Tổng hợp thông tin sinh viên'!A:E, 3, 0), "")</f>
        <v>anh.dh225688@sis.hust.edu.vn</v>
      </c>
      <c r="E416" s="27" t="str">
        <f>IFERROR(VLOOKUP(C416, 'Tổng hợp thông tin sinh viên'!A:E, 5, 0), "")</f>
        <v>Việt Nhật 06-K67</v>
      </c>
      <c r="F416" s="49"/>
      <c r="G416" s="1"/>
      <c r="H416" s="1"/>
      <c r="I416" s="1"/>
      <c r="J416" s="1"/>
      <c r="K416" s="1"/>
      <c r="L416" s="1"/>
      <c r="M416" s="1"/>
      <c r="N416" s="1"/>
      <c r="O416" s="1"/>
      <c r="P416" s="82"/>
      <c r="Q416" s="1"/>
      <c r="R416" s="1"/>
      <c r="S416" s="83"/>
      <c r="T416" s="1"/>
      <c r="U416" s="1"/>
      <c r="V416" s="1"/>
      <c r="W416" s="1"/>
      <c r="X416" s="1"/>
      <c r="Y416" s="1"/>
    </row>
    <row r="417">
      <c r="A417" s="49"/>
      <c r="B417" s="78" t="str">
        <f>IFERROR(VLOOKUP(C417, 'Tổng hợp thông tin sinh viên'!A:E, 2, 0), "")</f>
        <v>Trần Xuân Tú</v>
      </c>
      <c r="C417" s="27" t="s">
        <v>491</v>
      </c>
      <c r="D417" s="27" t="str">
        <f>IFERROR(VLOOKUP(C417, 'Tổng hợp thông tin sinh viên'!A:E, 3, 0), "")</f>
        <v>tu.tx225677@sis.hust.edu.vn</v>
      </c>
      <c r="E417" s="27" t="str">
        <f>IFERROR(VLOOKUP(C417, 'Tổng hợp thông tin sinh viên'!A:E, 5, 0), "")</f>
        <v>Việt Nhật 07-K67</v>
      </c>
      <c r="F417" s="49"/>
      <c r="G417" s="1"/>
      <c r="H417" s="1"/>
      <c r="I417" s="1"/>
      <c r="J417" s="1"/>
      <c r="K417" s="1"/>
      <c r="L417" s="1"/>
      <c r="M417" s="1"/>
      <c r="N417" s="1"/>
      <c r="O417" s="1"/>
      <c r="P417" s="82"/>
      <c r="Q417" s="1"/>
      <c r="R417" s="1"/>
      <c r="S417" s="83"/>
      <c r="T417" s="1"/>
      <c r="U417" s="1"/>
      <c r="V417" s="1"/>
      <c r="W417" s="1"/>
      <c r="X417" s="1"/>
      <c r="Y417" s="1"/>
    </row>
    <row r="418">
      <c r="A418" s="49"/>
      <c r="B418" s="78" t="str">
        <f>IFERROR(VLOOKUP(C418, 'Tổng hợp thông tin sinh viên'!A:E, 2, 0), "")</f>
        <v>Nguyễn Quang Huy</v>
      </c>
      <c r="C418" s="27" t="s">
        <v>492</v>
      </c>
      <c r="D418" s="27" t="str">
        <f>IFERROR(VLOOKUP(C418, 'Tổng hợp thông tin sinh viên'!A:E, 3, 0), "")</f>
        <v>huy.nq225007@sis.hust.edu.vn</v>
      </c>
      <c r="E418" s="27" t="str">
        <f>IFERROR(VLOOKUP(C418, 'Tổng hợp thông tin sinh viên'!A:E, 5, 0), "")</f>
        <v>Khoa học máy tính 03-K67</v>
      </c>
      <c r="F418" s="49"/>
      <c r="G418" s="1"/>
      <c r="H418" s="1"/>
      <c r="I418" s="1"/>
      <c r="J418" s="1"/>
      <c r="K418" s="1"/>
      <c r="L418" s="1"/>
      <c r="M418" s="1"/>
      <c r="N418" s="1"/>
      <c r="O418" s="1"/>
      <c r="P418" s="82"/>
      <c r="Q418" s="1"/>
      <c r="R418" s="1"/>
      <c r="S418" s="83"/>
      <c r="T418" s="1"/>
      <c r="U418" s="1"/>
      <c r="V418" s="1"/>
      <c r="W418" s="1"/>
      <c r="X418" s="1"/>
      <c r="Y418" s="1"/>
    </row>
    <row r="419">
      <c r="A419" s="49"/>
      <c r="B419" s="78" t="str">
        <f>IFERROR(VLOOKUP(C419, 'Tổng hợp thông tin sinh viên'!A:E, 2, 0), "")</f>
        <v>Nguyễn Minh Hiếu</v>
      </c>
      <c r="C419" s="27" t="s">
        <v>493</v>
      </c>
      <c r="D419" s="27" t="str">
        <f>IFERROR(VLOOKUP(C419, 'Tổng hợp thông tin sinh viên'!A:E, 3, 0), "")</f>
        <v>hieu.nm224983@sis.hust.edu.vn</v>
      </c>
      <c r="E419" s="27" t="str">
        <f>IFERROR(VLOOKUP(C419, 'Tổng hợp thông tin sinh viên'!A:E, 5, 0), "")</f>
        <v>Khoa học máy tính 03-K67</v>
      </c>
      <c r="F419" s="49"/>
      <c r="G419" s="1"/>
      <c r="H419" s="1"/>
      <c r="I419" s="1"/>
      <c r="J419" s="1"/>
      <c r="K419" s="1"/>
      <c r="L419" s="1"/>
      <c r="M419" s="1"/>
      <c r="N419" s="1"/>
      <c r="O419" s="1"/>
      <c r="P419" s="82"/>
      <c r="Q419" s="1"/>
      <c r="R419" s="1"/>
      <c r="S419" s="83"/>
      <c r="T419" s="1"/>
      <c r="U419" s="1"/>
      <c r="V419" s="1"/>
      <c r="W419" s="1"/>
      <c r="X419" s="1"/>
      <c r="Y419" s="1"/>
    </row>
    <row r="420">
      <c r="A420" s="49"/>
      <c r="B420" s="78" t="str">
        <f>IFERROR(VLOOKUP(C420, 'Tổng hợp thông tin sinh viên'!A:E, 2, 0), "")</f>
        <v>Lê Xuân Cường</v>
      </c>
      <c r="C420" s="27" t="s">
        <v>494</v>
      </c>
      <c r="D420" s="27" t="str">
        <f>IFERROR(VLOOKUP(C420, 'Tổng hợp thông tin sinh viên'!A:E, 3, 0), "")</f>
        <v>cuong.lx225797@sis.hust.edu.vn</v>
      </c>
      <c r="E420" s="27" t="str">
        <f>IFERROR(VLOOKUP(C420, 'Tổng hợp thông tin sinh viên'!A:E, 5, 0), "")</f>
        <v>Việt Nhật 07-K67</v>
      </c>
      <c r="F420" s="49"/>
      <c r="G420" s="1"/>
      <c r="H420" s="1"/>
      <c r="I420" s="1"/>
      <c r="J420" s="1"/>
      <c r="K420" s="1"/>
      <c r="L420" s="1"/>
      <c r="M420" s="1"/>
      <c r="N420" s="1"/>
      <c r="O420" s="1"/>
      <c r="P420" s="82"/>
      <c r="Q420" s="1"/>
      <c r="R420" s="1"/>
      <c r="S420" s="83"/>
      <c r="T420" s="1"/>
      <c r="U420" s="1"/>
      <c r="V420" s="1"/>
      <c r="W420" s="1"/>
      <c r="X420" s="1"/>
      <c r="Y420" s="1"/>
    </row>
    <row r="421">
      <c r="A421" s="52"/>
      <c r="B421" s="78" t="str">
        <f>IFERROR(VLOOKUP(C421, 'Tổng hợp thông tin sinh viên'!A:E, 2, 0), "")</f>
        <v>Trương Minh Ngọc</v>
      </c>
      <c r="C421" s="27" t="s">
        <v>495</v>
      </c>
      <c r="D421" s="27" t="str">
        <f>IFERROR(VLOOKUP(C421, 'Tổng hợp thông tin sinh viên'!A:E, 3, 0), "")</f>
        <v>ngoc.tm220038@sis.hust.edu.vn</v>
      </c>
      <c r="E421" s="27" t="str">
        <f>IFERROR(VLOOKUP(C421, 'Tổng hợp thông tin sinh viên'!A:E, 5, 0), "")</f>
        <v>Khoa học máy tính 01-K67</v>
      </c>
      <c r="F421" s="52"/>
      <c r="G421" s="1"/>
      <c r="H421" s="1"/>
      <c r="I421" s="1"/>
      <c r="J421" s="1"/>
      <c r="K421" s="1"/>
      <c r="L421" s="1"/>
      <c r="M421" s="1"/>
      <c r="N421" s="1"/>
      <c r="O421" s="1"/>
      <c r="P421" s="82"/>
      <c r="Q421" s="1"/>
      <c r="R421" s="1"/>
      <c r="S421" s="83"/>
      <c r="T421" s="1"/>
      <c r="U421" s="1"/>
      <c r="V421" s="1"/>
      <c r="W421" s="1"/>
      <c r="X421" s="1"/>
      <c r="Y421" s="1"/>
    </row>
    <row r="422">
      <c r="A422" s="69">
        <v>51.0</v>
      </c>
      <c r="B422" s="70" t="str">
        <f>IFERROR(VLOOKUP(C422, 'Tổng hợp thông tin sinh viên'!A:E, 2, 0), "")</f>
        <v>Nguyễn Hoàng Sơn Tùng</v>
      </c>
      <c r="C422" s="31" t="s">
        <v>496</v>
      </c>
      <c r="D422" s="31" t="str">
        <f>IFERROR(VLOOKUP(C422, 'Tổng hợp thông tin sinh viên'!A:E, 3, 0), "")</f>
        <v>tung.nhs225536@sis.hust.edu.vn</v>
      </c>
      <c r="E422" s="31" t="str">
        <f>IFERROR(VLOOKUP(C422, 'Tổng hợp thông tin sinh viên'!A:E, 5, 0), "")</f>
        <v>CTTT Data Science &amp; AI 03-K67</v>
      </c>
      <c r="F422" s="71" t="str">
        <f>IF(COUNTBLANK(C422:C431) = 0, "Đủ", "Thiếu: " &amp; COUNTBLANK(C422:C431))</f>
        <v>Đủ</v>
      </c>
      <c r="G422" s="1"/>
      <c r="H422" s="1"/>
      <c r="I422" s="1"/>
      <c r="J422" s="1"/>
      <c r="K422" s="1"/>
      <c r="L422" s="1"/>
      <c r="M422" s="1"/>
      <c r="N422" s="1"/>
      <c r="O422" s="1"/>
      <c r="P422" s="82"/>
      <c r="Q422" s="1"/>
      <c r="R422" s="1"/>
      <c r="S422" s="83"/>
      <c r="T422" s="1"/>
      <c r="U422" s="1"/>
      <c r="V422" s="1"/>
      <c r="W422" s="1"/>
      <c r="X422" s="1"/>
      <c r="Y422" s="1"/>
    </row>
    <row r="423">
      <c r="A423" s="49"/>
      <c r="B423" s="70" t="str">
        <f>IFERROR(VLOOKUP(C423, 'Tổng hợp thông tin sinh viên'!A:E, 2, 0), "")</f>
        <v>Vũ Tuấn Trường</v>
      </c>
      <c r="C423" s="31" t="s">
        <v>497</v>
      </c>
      <c r="D423" s="31" t="str">
        <f>IFERROR(VLOOKUP(C423, 'Tổng hợp thông tin sinh viên'!A:E, 3, 0), "")</f>
        <v>truong.vt225535@sis.hust.edu.vn</v>
      </c>
      <c r="E423" s="31" t="str">
        <f>IFERROR(VLOOKUP(C423, 'Tổng hợp thông tin sinh viên'!A:E, 5, 0), "")</f>
        <v>CTTT Data Science &amp; AI 01-K67</v>
      </c>
      <c r="F423" s="49"/>
      <c r="G423" s="1"/>
      <c r="H423" s="1"/>
      <c r="I423" s="1"/>
      <c r="J423" s="1"/>
      <c r="K423" s="1"/>
      <c r="L423" s="1"/>
      <c r="M423" s="1"/>
      <c r="N423" s="1"/>
      <c r="O423" s="1"/>
      <c r="P423" s="82"/>
      <c r="Q423" s="1"/>
      <c r="R423" s="1"/>
      <c r="S423" s="83"/>
      <c r="T423" s="1"/>
      <c r="U423" s="1"/>
      <c r="V423" s="1"/>
      <c r="W423" s="1"/>
      <c r="X423" s="1"/>
      <c r="Y423" s="1"/>
    </row>
    <row r="424">
      <c r="A424" s="49"/>
      <c r="B424" s="84" t="str">
        <f>IFERROR(VLOOKUP(C424, 'Tổng hợp thông tin sinh viên'!A:E, 2, 0), "")</f>
        <v>Trần Hoàng Dũng</v>
      </c>
      <c r="C424" s="85" t="s">
        <v>498</v>
      </c>
      <c r="D424" s="85" t="str">
        <f>IFERROR(VLOOKUP(C424, 'Tổng hợp thông tin sinh viên'!A:E, 3, 0), "")</f>
        <v>dung.th225708@sis.hust.edu.vn</v>
      </c>
      <c r="E424" s="85" t="str">
        <f>IFERROR(VLOOKUP(C424, 'Tổng hợp thông tin sinh viên'!A:E, 5, 0), "")</f>
        <v>Việt Nhật 05-K67</v>
      </c>
      <c r="F424" s="49"/>
      <c r="G424" s="1"/>
      <c r="H424" s="1"/>
      <c r="I424" s="1"/>
      <c r="J424" s="1"/>
      <c r="K424" s="1"/>
      <c r="L424" s="1"/>
      <c r="M424" s="1"/>
      <c r="N424" s="1"/>
      <c r="O424" s="1"/>
      <c r="P424" s="82"/>
      <c r="Q424" s="1"/>
      <c r="R424" s="1"/>
      <c r="S424" s="83"/>
      <c r="T424" s="1"/>
      <c r="U424" s="1"/>
      <c r="V424" s="1"/>
      <c r="W424" s="1"/>
      <c r="X424" s="1"/>
      <c r="Y424" s="1"/>
    </row>
    <row r="425">
      <c r="A425" s="49"/>
      <c r="B425" s="70" t="str">
        <f>IFERROR(VLOOKUP(C425, 'Tổng hợp thông tin sinh viên'!A:E, 2, 0), "")</f>
        <v>Nguyễn Thành Minh</v>
      </c>
      <c r="C425" s="31" t="s">
        <v>499</v>
      </c>
      <c r="D425" s="31" t="str">
        <f>IFERROR(VLOOKUP(C425, 'Tổng hợp thông tin sinh viên'!A:E, 3, 0), "")</f>
        <v>minh.nt225450@sis.hust.edu.vn</v>
      </c>
      <c r="E425" s="31" t="str">
        <f>IFERROR(VLOOKUP(C425, 'Tổng hợp thông tin sinh viên'!A:E, 5, 0), "")</f>
        <v>CTTT Data Science &amp; AI 01-K67</v>
      </c>
      <c r="F425" s="49"/>
      <c r="G425" s="1"/>
      <c r="H425" s="1"/>
      <c r="I425" s="1"/>
      <c r="J425" s="1"/>
      <c r="K425" s="1"/>
      <c r="L425" s="1"/>
      <c r="M425" s="1"/>
      <c r="N425" s="1"/>
      <c r="O425" s="1"/>
      <c r="P425" s="82"/>
      <c r="Q425" s="1"/>
      <c r="R425" s="1"/>
      <c r="S425" s="83"/>
      <c r="T425" s="1"/>
      <c r="U425" s="1"/>
      <c r="V425" s="1"/>
      <c r="W425" s="1"/>
      <c r="X425" s="1"/>
      <c r="Y425" s="1"/>
    </row>
    <row r="426">
      <c r="A426" s="49"/>
      <c r="B426" s="70" t="str">
        <f>IFERROR(VLOOKUP(C426, 'Tổng hợp thông tin sinh viên'!A:E, 2, 0), "")</f>
        <v>Nguyễn Phan Anh Vũ</v>
      </c>
      <c r="C426" s="31" t="s">
        <v>500</v>
      </c>
      <c r="D426" s="31" t="str">
        <f>IFERROR(VLOOKUP(C426, 'Tổng hợp thông tin sinh viên'!A:E, 3, 0), "")</f>
        <v>vu.npa225466@sis.hust.edu.vn</v>
      </c>
      <c r="E426" s="31" t="str">
        <f>IFERROR(VLOOKUP(C426, 'Tổng hợp thông tin sinh viên'!A:E, 5, 0), "")</f>
        <v>CTTT Data Science &amp; AI 03-K67</v>
      </c>
      <c r="F426" s="49"/>
      <c r="G426" s="1"/>
      <c r="H426" s="1"/>
      <c r="I426" s="1"/>
      <c r="J426" s="1"/>
      <c r="K426" s="1"/>
      <c r="L426" s="1"/>
      <c r="M426" s="1"/>
      <c r="N426" s="1"/>
      <c r="O426" s="1"/>
      <c r="P426" s="82"/>
      <c r="Q426" s="1"/>
      <c r="R426" s="1"/>
      <c r="S426" s="83"/>
      <c r="T426" s="1"/>
      <c r="U426" s="1"/>
      <c r="V426" s="1"/>
      <c r="W426" s="1"/>
      <c r="X426" s="1"/>
      <c r="Y426" s="1"/>
    </row>
    <row r="427">
      <c r="A427" s="49"/>
      <c r="B427" s="70" t="str">
        <f>IFERROR(VLOOKUP(C427, 'Tổng hợp thông tin sinh viên'!A:E, 2, 0), "")</f>
        <v>Nguyễn Tiến Thắng</v>
      </c>
      <c r="C427" s="31" t="s">
        <v>501</v>
      </c>
      <c r="D427" s="31" t="str">
        <f>IFERROR(VLOOKUP(C427, 'Tổng hợp thông tin sinh viên'!A:E, 3, 0), "")</f>
        <v>thang.nt225530@sis.hust.edu.vn</v>
      </c>
      <c r="E427" s="31" t="str">
        <f>IFERROR(VLOOKUP(C427, 'Tổng hợp thông tin sinh viên'!A:E, 5, 0), "")</f>
        <v>CTTT Data Science &amp; AI 01-K67</v>
      </c>
      <c r="F427" s="49"/>
      <c r="G427" s="1"/>
      <c r="H427" s="1"/>
      <c r="I427" s="1"/>
      <c r="J427" s="1"/>
      <c r="K427" s="1"/>
      <c r="L427" s="1"/>
      <c r="M427" s="1"/>
      <c r="N427" s="1"/>
      <c r="O427" s="1"/>
      <c r="P427" s="82"/>
      <c r="Q427" s="1"/>
      <c r="R427" s="1"/>
      <c r="S427" s="83"/>
      <c r="T427" s="1"/>
      <c r="U427" s="1"/>
      <c r="V427" s="1"/>
      <c r="W427" s="1"/>
      <c r="X427" s="1"/>
      <c r="Y427" s="1"/>
    </row>
    <row r="428">
      <c r="A428" s="49"/>
      <c r="B428" s="70" t="str">
        <f>IFERROR(VLOOKUP(C428, 'Tổng hợp thông tin sinh viên'!A:E, 2, 0), "")</f>
        <v>Đỗ Trần Gia Bách</v>
      </c>
      <c r="C428" s="31" t="s">
        <v>502</v>
      </c>
      <c r="D428" s="31" t="str">
        <f>IFERROR(VLOOKUP(C428, 'Tổng hợp thông tin sinh viên'!A:E, 3, 0), "")</f>
        <v>bach.dtg225472@sis.hust.edu.vn</v>
      </c>
      <c r="E428" s="31" t="str">
        <f>IFERROR(VLOOKUP(C428, 'Tổng hợp thông tin sinh viên'!A:E, 5, 0), "")</f>
        <v>CTTT Data Science &amp; AI 01-K67</v>
      </c>
      <c r="F428" s="49"/>
      <c r="G428" s="1"/>
      <c r="H428" s="1"/>
      <c r="I428" s="1"/>
      <c r="J428" s="1"/>
      <c r="K428" s="1"/>
      <c r="L428" s="1"/>
      <c r="M428" s="1"/>
      <c r="N428" s="1"/>
      <c r="O428" s="1"/>
      <c r="P428" s="82"/>
      <c r="Q428" s="1"/>
      <c r="R428" s="1"/>
      <c r="S428" s="83"/>
      <c r="T428" s="1"/>
      <c r="U428" s="1"/>
      <c r="V428" s="1"/>
      <c r="W428" s="1"/>
      <c r="X428" s="1"/>
      <c r="Y428" s="1"/>
    </row>
    <row r="429">
      <c r="A429" s="49"/>
      <c r="B429" s="70" t="str">
        <f>IFERROR(VLOOKUP(C429, 'Tổng hợp thông tin sinh viên'!A:E, 2, 0), "")</f>
        <v>Trần Quang Hưng</v>
      </c>
      <c r="C429" s="31" t="s">
        <v>503</v>
      </c>
      <c r="D429" s="31" t="str">
        <f>IFERROR(VLOOKUP(C429, 'Tổng hợp thông tin sinh viên'!A:E, 3, 0), "")</f>
        <v>hung.tq225004@sis.hust.edu.vn</v>
      </c>
      <c r="E429" s="31" t="str">
        <f>IFERROR(VLOOKUP(C429, 'Tổng hợp thông tin sinh viên'!A:E, 5, 0), "")</f>
        <v>Khoa học máy tính 05-K67</v>
      </c>
      <c r="F429" s="49"/>
      <c r="G429" s="1"/>
      <c r="H429" s="1"/>
      <c r="I429" s="1"/>
      <c r="J429" s="1"/>
      <c r="K429" s="1"/>
      <c r="L429" s="1"/>
      <c r="M429" s="1"/>
      <c r="N429" s="1"/>
      <c r="O429" s="1"/>
      <c r="P429" s="82"/>
      <c r="Q429" s="1"/>
      <c r="R429" s="1"/>
      <c r="S429" s="83"/>
      <c r="T429" s="1"/>
      <c r="U429" s="1"/>
      <c r="V429" s="1"/>
      <c r="W429" s="1"/>
      <c r="X429" s="1"/>
      <c r="Y429" s="1"/>
    </row>
    <row r="430">
      <c r="A430" s="49"/>
      <c r="B430" s="70" t="str">
        <f>IFERROR(VLOOKUP(C430, 'Tổng hợp thông tin sinh viên'!A:E, 2, 0), "")</f>
        <v>Đinh Bảo Phúc</v>
      </c>
      <c r="C430" s="31" t="s">
        <v>504</v>
      </c>
      <c r="D430" s="31" t="str">
        <f>IFERROR(VLOOKUP(C430, 'Tổng hợp thông tin sinh viên'!A:E, 3, 0), "")</f>
        <v>phuc.db224889@sis.hust.edu.vn</v>
      </c>
      <c r="E430" s="31" t="str">
        <f>IFERROR(VLOOKUP(C430, 'Tổng hợp thông tin sinh viên'!A:E, 5, 0), "")</f>
        <v>Khoa học máy tính 05-K67</v>
      </c>
      <c r="F430" s="49"/>
      <c r="G430" s="1"/>
      <c r="H430" s="1"/>
      <c r="I430" s="1"/>
      <c r="J430" s="1"/>
      <c r="K430" s="1"/>
      <c r="L430" s="1"/>
      <c r="M430" s="1"/>
      <c r="N430" s="1"/>
      <c r="O430" s="1"/>
      <c r="P430" s="82"/>
      <c r="Q430" s="1"/>
      <c r="R430" s="1"/>
      <c r="S430" s="83"/>
      <c r="T430" s="1"/>
      <c r="U430" s="1"/>
      <c r="V430" s="1"/>
      <c r="W430" s="1"/>
      <c r="X430" s="1"/>
      <c r="Y430" s="1"/>
    </row>
    <row r="431">
      <c r="A431" s="52"/>
      <c r="B431" s="70" t="str">
        <f>IFERROR(VLOOKUP(C431, 'Tổng hợp thông tin sinh viên'!A:E, 2, 0), "")</f>
        <v>Nguyễn Hoàng Việt Hùng</v>
      </c>
      <c r="C431" s="31" t="s">
        <v>505</v>
      </c>
      <c r="D431" s="31" t="str">
        <f>IFERROR(VLOOKUP(C431, 'Tổng hợp thông tin sinh viên'!A:E, 3, 0), "")</f>
        <v>hung.nhv224996@sis.hust.edu.vn</v>
      </c>
      <c r="E431" s="31" t="str">
        <f>IFERROR(VLOOKUP(C431, 'Tổng hợp thông tin sinh viên'!A:E, 5, 0), "")</f>
        <v>Khoa học máy tính 06-K67</v>
      </c>
      <c r="F431" s="52"/>
      <c r="G431" s="1"/>
      <c r="H431" s="1"/>
      <c r="I431" s="1"/>
      <c r="J431" s="1"/>
      <c r="K431" s="1"/>
      <c r="L431" s="1"/>
      <c r="M431" s="1"/>
      <c r="N431" s="1"/>
      <c r="O431" s="1"/>
      <c r="P431" s="82"/>
      <c r="Q431" s="1"/>
      <c r="R431" s="1"/>
      <c r="S431" s="83"/>
      <c r="T431" s="1"/>
      <c r="U431" s="1"/>
      <c r="V431" s="1"/>
      <c r="W431" s="1"/>
      <c r="X431" s="1"/>
      <c r="Y431" s="1"/>
    </row>
    <row r="432">
      <c r="A432" s="77">
        <v>52.0</v>
      </c>
      <c r="B432" s="78" t="str">
        <f>IFERROR(VLOOKUP(C432, 'Tổng hợp thông tin sinh viên'!A:E, 2, 0), "")</f>
        <v>Phạm Quốc Khánh</v>
      </c>
      <c r="C432" s="79" t="s">
        <v>506</v>
      </c>
      <c r="D432" s="27" t="str">
        <f>IFERROR(VLOOKUP(C432, 'Tổng hợp thông tin sinh viên'!A:E, 3, 0), "")</f>
        <v>khanh.pq225345@sis.hust.edu.vn</v>
      </c>
      <c r="E432" s="27" t="str">
        <f>IFERROR(VLOOKUP(C432, 'Tổng hợp thông tin sinh viên'!A:E, 5, 0), "")</f>
        <v>Kỹ thuật máy tính 04-K67</v>
      </c>
      <c r="F432" s="71" t="str">
        <f>IF(COUNTBLANK(C432:C441) = 0, "Đủ", "Thiếu: " &amp; COUNTBLANK(C432:C441))</f>
        <v>Đủ</v>
      </c>
      <c r="G432" s="1"/>
      <c r="H432" s="1"/>
      <c r="I432" s="1"/>
      <c r="J432" s="1"/>
      <c r="K432" s="1"/>
      <c r="L432" s="1"/>
      <c r="M432" s="1"/>
      <c r="N432" s="1"/>
      <c r="O432" s="1"/>
      <c r="P432" s="82"/>
      <c r="Q432" s="1"/>
      <c r="R432" s="1"/>
      <c r="S432" s="83"/>
      <c r="T432" s="1"/>
      <c r="U432" s="1"/>
      <c r="V432" s="1"/>
      <c r="W432" s="1"/>
      <c r="X432" s="1"/>
      <c r="Y432" s="1"/>
    </row>
    <row r="433">
      <c r="A433" s="49"/>
      <c r="B433" s="78" t="str">
        <f>IFERROR(VLOOKUP(C433, 'Tổng hợp thông tin sinh viên'!A:E, 2, 0), "")</f>
        <v>Nguyễn Tuấn Đạt</v>
      </c>
      <c r="C433" s="27" t="s">
        <v>507</v>
      </c>
      <c r="D433" s="27" t="str">
        <f>IFERROR(VLOOKUP(C433, 'Tổng hợp thông tin sinh viên'!A:E, 3, 0), "")</f>
        <v>dat.nt225278@sis.hust.edu.vn</v>
      </c>
      <c r="E433" s="27" t="str">
        <f>IFERROR(VLOOKUP(C433, 'Tổng hợp thông tin sinh viên'!A:E, 5, 0), "")</f>
        <v>Kỹ thuật máy tính 04-K67</v>
      </c>
      <c r="F433" s="49"/>
      <c r="G433" s="1"/>
      <c r="H433" s="1"/>
      <c r="I433" s="1"/>
      <c r="J433" s="1"/>
      <c r="K433" s="1"/>
      <c r="L433" s="1"/>
      <c r="M433" s="1"/>
      <c r="N433" s="1"/>
      <c r="O433" s="1"/>
      <c r="P433" s="82"/>
      <c r="Q433" s="1"/>
      <c r="R433" s="1"/>
      <c r="S433" s="83"/>
      <c r="T433" s="1"/>
      <c r="U433" s="1"/>
      <c r="V433" s="1"/>
      <c r="W433" s="1"/>
      <c r="X433" s="1"/>
      <c r="Y433" s="1"/>
    </row>
    <row r="434">
      <c r="A434" s="49"/>
      <c r="B434" s="78" t="str">
        <f>IFERROR(VLOOKUP(C434, 'Tổng hợp thông tin sinh viên'!A:E, 2, 0), "")</f>
        <v>Ngô Hùng Phúc</v>
      </c>
      <c r="C434" s="27" t="s">
        <v>508</v>
      </c>
      <c r="D434" s="27" t="str">
        <f>IFERROR(VLOOKUP(C434, 'Tổng hợp thông tin sinh viên'!A:E, 3, 0), "")</f>
        <v>phuc.nh225376@sis.hust.edu.vn</v>
      </c>
      <c r="E434" s="27" t="str">
        <f>IFERROR(VLOOKUP(C434, 'Tổng hợp thông tin sinh viên'!A:E, 5, 0), "")</f>
        <v>Kỹ thuật máy tính 04-K67</v>
      </c>
      <c r="F434" s="49"/>
      <c r="G434" s="1"/>
      <c r="H434" s="1"/>
      <c r="I434" s="1"/>
      <c r="J434" s="1"/>
      <c r="K434" s="1"/>
      <c r="L434" s="1"/>
      <c r="M434" s="1"/>
      <c r="N434" s="1"/>
      <c r="O434" s="1"/>
      <c r="P434" s="82"/>
      <c r="Q434" s="1"/>
      <c r="R434" s="1"/>
      <c r="S434" s="83"/>
      <c r="T434" s="1"/>
      <c r="U434" s="1"/>
      <c r="V434" s="1"/>
      <c r="W434" s="1"/>
      <c r="X434" s="1"/>
      <c r="Y434" s="1"/>
    </row>
    <row r="435">
      <c r="A435" s="49"/>
      <c r="B435" s="78" t="str">
        <f>IFERROR(VLOOKUP(C435, 'Tổng hợp thông tin sinh viên'!A:E, 2, 0), "")</f>
        <v>Nguyễn Văn Việt</v>
      </c>
      <c r="C435" s="27" t="s">
        <v>509</v>
      </c>
      <c r="D435" s="27" t="str">
        <f>IFERROR(VLOOKUP(C435, 'Tổng hợp thông tin sinh viên'!A:E, 3, 0), "")</f>
        <v>viet.nv225237@sis.hust.edu.vn</v>
      </c>
      <c r="E435" s="27" t="str">
        <f>IFERROR(VLOOKUP(C435, 'Tổng hợp thông tin sinh viên'!A:E, 5, 0), "")</f>
        <v>Kỹ thuật máy tính 04-K67</v>
      </c>
      <c r="F435" s="49"/>
      <c r="G435" s="1"/>
      <c r="H435" s="1"/>
      <c r="I435" s="1"/>
      <c r="J435" s="1"/>
      <c r="K435" s="1"/>
      <c r="L435" s="1"/>
      <c r="M435" s="1"/>
      <c r="N435" s="1"/>
      <c r="O435" s="1"/>
      <c r="P435" s="82"/>
      <c r="Q435" s="1"/>
      <c r="R435" s="1"/>
      <c r="S435" s="83"/>
      <c r="T435" s="1"/>
      <c r="U435" s="1"/>
      <c r="V435" s="1"/>
      <c r="W435" s="1"/>
      <c r="X435" s="1"/>
      <c r="Y435" s="1"/>
    </row>
    <row r="436">
      <c r="A436" s="49"/>
      <c r="B436" s="78" t="str">
        <f>IFERROR(VLOOKUP(C436, 'Tổng hợp thông tin sinh viên'!A:E, 2, 0), "")</f>
        <v>Hà Huy Dương</v>
      </c>
      <c r="C436" s="27" t="s">
        <v>510</v>
      </c>
      <c r="D436" s="27" t="str">
        <f>IFERROR(VLOOKUP(C436, 'Tổng hợp thông tin sinh viên'!A:E, 3, 0), "")</f>
        <v>duong.hh225183@sis.hust.edu.vn</v>
      </c>
      <c r="E436" s="27" t="str">
        <f>IFERROR(VLOOKUP(C436, 'Tổng hợp thông tin sinh viên'!A:E, 5, 0), "")</f>
        <v>Kỹ thuật máy tính 04-K67</v>
      </c>
      <c r="F436" s="49"/>
      <c r="G436" s="1"/>
      <c r="H436" s="1"/>
      <c r="I436" s="1"/>
      <c r="J436" s="1"/>
      <c r="K436" s="1"/>
      <c r="L436" s="1"/>
      <c r="M436" s="1"/>
      <c r="N436" s="1"/>
      <c r="O436" s="1"/>
      <c r="P436" s="82"/>
      <c r="Q436" s="1"/>
      <c r="R436" s="1"/>
      <c r="S436" s="83"/>
      <c r="T436" s="1"/>
      <c r="U436" s="1"/>
      <c r="V436" s="1"/>
      <c r="W436" s="1"/>
      <c r="X436" s="1"/>
      <c r="Y436" s="1"/>
    </row>
    <row r="437">
      <c r="A437" s="49"/>
      <c r="B437" s="78" t="str">
        <f>IFERROR(VLOOKUP(C437, 'Tổng hợp thông tin sinh viên'!A:E, 2, 0), "")</f>
        <v>Cao Văn Bảo</v>
      </c>
      <c r="C437" s="27" t="s">
        <v>511</v>
      </c>
      <c r="D437" s="27" t="str">
        <f>IFERROR(VLOOKUP(C437, 'Tổng hợp thông tin sinh viên'!A:E, 3, 0), "")</f>
        <v>bao.cv225166@sis.hust.edu.vn</v>
      </c>
      <c r="E437" s="27" t="str">
        <f>IFERROR(VLOOKUP(C437, 'Tổng hợp thông tin sinh viên'!A:E, 5, 0), "")</f>
        <v>Kỹ thuật máy tính 04-K67</v>
      </c>
      <c r="F437" s="49"/>
      <c r="G437" s="1"/>
      <c r="H437" s="1"/>
      <c r="I437" s="1"/>
      <c r="J437" s="1"/>
      <c r="K437" s="1"/>
      <c r="L437" s="1"/>
      <c r="M437" s="1"/>
      <c r="N437" s="1"/>
      <c r="O437" s="1"/>
      <c r="P437" s="82"/>
      <c r="Q437" s="1"/>
      <c r="R437" s="1"/>
      <c r="S437" s="83"/>
      <c r="T437" s="1"/>
      <c r="U437" s="1"/>
      <c r="V437" s="1"/>
      <c r="W437" s="1"/>
      <c r="X437" s="1"/>
      <c r="Y437" s="1"/>
    </row>
    <row r="438">
      <c r="A438" s="49"/>
      <c r="B438" s="78" t="str">
        <f>IFERROR(VLOOKUP(C438, 'Tổng hợp thông tin sinh viên'!A:E, 2, 0), "")</f>
        <v>Bùi Chí Thức</v>
      </c>
      <c r="C438" s="27" t="s">
        <v>512</v>
      </c>
      <c r="D438" s="27" t="str">
        <f>IFERROR(VLOOKUP(C438, 'Tổng hợp thông tin sinh viên'!A:E, 3, 0), "")</f>
        <v>thuc.bc225230@sis.hust.edu.vn</v>
      </c>
      <c r="E438" s="27" t="str">
        <f>IFERROR(VLOOKUP(C438, 'Tổng hợp thông tin sinh viên'!A:E, 5, 0), "")</f>
        <v>Kỹ thuật máy tính 04-K67</v>
      </c>
      <c r="F438" s="49"/>
      <c r="G438" s="1"/>
      <c r="H438" s="1"/>
      <c r="I438" s="1"/>
      <c r="J438" s="1"/>
      <c r="K438" s="1"/>
      <c r="L438" s="1"/>
      <c r="M438" s="1"/>
      <c r="N438" s="1"/>
      <c r="O438" s="1"/>
      <c r="P438" s="82"/>
      <c r="Q438" s="1"/>
      <c r="R438" s="1"/>
      <c r="S438" s="83"/>
      <c r="T438" s="1"/>
      <c r="U438" s="1"/>
      <c r="V438" s="1"/>
      <c r="W438" s="1"/>
      <c r="X438" s="1"/>
      <c r="Y438" s="1"/>
    </row>
    <row r="439">
      <c r="A439" s="49"/>
      <c r="B439" s="78" t="str">
        <f>IFERROR(VLOOKUP(C439, 'Tổng hợp thông tin sinh viên'!A:E, 2, 0), "")</f>
        <v>Đỗ Sơn Tùng</v>
      </c>
      <c r="C439" s="27" t="s">
        <v>513</v>
      </c>
      <c r="D439" s="27" t="str">
        <f>IFERROR(VLOOKUP(C439, 'Tổng hợp thông tin sinh viên'!A:E, 3, 0), "")</f>
        <v>tung.ds225425@sis.hust.edu.vn</v>
      </c>
      <c r="E439" s="27" t="str">
        <f>IFERROR(VLOOKUP(C439, 'Tổng hợp thông tin sinh viên'!A:E, 5, 0), "")</f>
        <v>Kỹ thuật máy tính 04-K67</v>
      </c>
      <c r="F439" s="49"/>
      <c r="G439" s="1"/>
      <c r="H439" s="1"/>
      <c r="I439" s="1"/>
      <c r="J439" s="1"/>
      <c r="K439" s="1"/>
      <c r="L439" s="1"/>
      <c r="M439" s="1"/>
      <c r="N439" s="1"/>
      <c r="O439" s="1"/>
      <c r="P439" s="82"/>
      <c r="Q439" s="1"/>
      <c r="R439" s="1"/>
      <c r="S439" s="83"/>
      <c r="T439" s="1"/>
      <c r="U439" s="1"/>
      <c r="V439" s="1"/>
      <c r="W439" s="1"/>
      <c r="X439" s="1"/>
      <c r="Y439" s="1"/>
    </row>
    <row r="440">
      <c r="A440" s="49"/>
      <c r="B440" s="78" t="str">
        <f>IFERROR(VLOOKUP(C440, 'Tổng hợp thông tin sinh viên'!A:E, 2, 0), "")</f>
        <v>Hoàng Đức Khải</v>
      </c>
      <c r="C440" s="27" t="s">
        <v>514</v>
      </c>
      <c r="D440" s="27" t="str">
        <f>IFERROR(VLOOKUP(C440, 'Tổng hợp thông tin sinh viên'!A:E, 3, 0), "")</f>
        <v>khai.hd225341@sis.hust.edu.vn</v>
      </c>
      <c r="E440" s="27" t="str">
        <f>IFERROR(VLOOKUP(C440, 'Tổng hợp thông tin sinh viên'!A:E, 5, 0), "")</f>
        <v>Kỹ thuật máy tính 04-K67</v>
      </c>
      <c r="F440" s="49"/>
      <c r="G440" s="1"/>
      <c r="H440" s="1"/>
      <c r="I440" s="1"/>
      <c r="J440" s="1"/>
      <c r="K440" s="1"/>
      <c r="L440" s="1"/>
      <c r="M440" s="1"/>
      <c r="N440" s="1"/>
      <c r="O440" s="1"/>
      <c r="P440" s="82"/>
      <c r="Q440" s="1"/>
      <c r="R440" s="1"/>
      <c r="S440" s="83"/>
      <c r="T440" s="1"/>
      <c r="U440" s="1"/>
      <c r="V440" s="1"/>
      <c r="W440" s="1"/>
      <c r="X440" s="1"/>
      <c r="Y440" s="1"/>
    </row>
    <row r="441">
      <c r="A441" s="52"/>
      <c r="B441" s="78" t="str">
        <f>IFERROR(VLOOKUP(C441, 'Tổng hợp thông tin sinh viên'!A:E, 2, 0), "")</f>
        <v>Ngô Minh Quân</v>
      </c>
      <c r="C441" s="27" t="s">
        <v>515</v>
      </c>
      <c r="D441" s="27" t="str">
        <f>IFERROR(VLOOKUP(C441, 'Tổng hợp thông tin sinh viên'!A:E, 3, 0), "")</f>
        <v>quan.nm225383@sis.hust.edu.vn</v>
      </c>
      <c r="E441" s="27" t="str">
        <f>IFERROR(VLOOKUP(C441, 'Tổng hợp thông tin sinh viên'!A:E, 5, 0), "")</f>
        <v>Kỹ thuật máy tính 04-K67</v>
      </c>
      <c r="F441" s="52"/>
      <c r="G441" s="1"/>
      <c r="H441" s="1"/>
      <c r="I441" s="1"/>
      <c r="J441" s="1"/>
      <c r="K441" s="1"/>
      <c r="L441" s="1"/>
      <c r="M441" s="1"/>
      <c r="N441" s="1"/>
      <c r="O441" s="1"/>
      <c r="P441" s="82"/>
      <c r="Q441" s="1"/>
      <c r="R441" s="1"/>
      <c r="S441" s="83"/>
      <c r="T441" s="1"/>
      <c r="U441" s="1"/>
      <c r="V441" s="1"/>
      <c r="W441" s="1"/>
      <c r="X441" s="1"/>
      <c r="Y441" s="1"/>
    </row>
    <row r="442">
      <c r="A442" s="69">
        <v>53.0</v>
      </c>
      <c r="B442" s="70" t="str">
        <f>IFERROR(VLOOKUP(C442, 'Tổng hợp thông tin sinh viên'!A:E, 2, 0), "")</f>
        <v>Phan Hà Quyên</v>
      </c>
      <c r="C442" s="31" t="s">
        <v>516</v>
      </c>
      <c r="D442" s="31" t="str">
        <f>IFERROR(VLOOKUP(C442, 'Tổng hợp thông tin sinh viên'!A:E, 3, 0), "")</f>
        <v>quyen.ph225224@sis.hust.edu.vn</v>
      </c>
      <c r="E442" s="31" t="str">
        <f>IFERROR(VLOOKUP(C442, 'Tổng hợp thông tin sinh viên'!A:E, 5, 0), "")</f>
        <v>Kỹ thuật máy tính 01-K67</v>
      </c>
      <c r="F442" s="71" t="str">
        <f>IF(COUNTBLANK(C442:C451) = 0, "Đủ", "Thiếu: " &amp; COUNTBLANK(C442:C451))</f>
        <v>Đủ</v>
      </c>
      <c r="G442" s="1"/>
      <c r="H442" s="1"/>
      <c r="I442" s="1"/>
      <c r="J442" s="1"/>
      <c r="K442" s="1"/>
      <c r="L442" s="1"/>
      <c r="M442" s="1"/>
      <c r="N442" s="1"/>
      <c r="O442" s="1"/>
      <c r="P442" s="82"/>
      <c r="Q442" s="1"/>
      <c r="R442" s="1"/>
      <c r="S442" s="83"/>
      <c r="T442" s="1"/>
      <c r="U442" s="1"/>
      <c r="V442" s="1"/>
      <c r="W442" s="1"/>
      <c r="X442" s="1"/>
      <c r="Y442" s="1"/>
    </row>
    <row r="443">
      <c r="A443" s="49"/>
      <c r="B443" s="70" t="str">
        <f>IFERROR(VLOOKUP(C443, 'Tổng hợp thông tin sinh viên'!A:E, 2, 0), "")</f>
        <v>Nguyễn Minh Ngọc</v>
      </c>
      <c r="C443" s="31" t="s">
        <v>517</v>
      </c>
      <c r="D443" s="31" t="str">
        <f>IFERROR(VLOOKUP(C443, 'Tổng hợp thông tin sinh viên'!A:E, 3, 0), "")</f>
        <v>ngoc.nm225057@sis.hust.edu.vn</v>
      </c>
      <c r="E443" s="31" t="str">
        <f>IFERROR(VLOOKUP(C443, 'Tổng hợp thông tin sinh viên'!A:E, 5, 0), "")</f>
        <v>Khoa học máy tính 07-K67</v>
      </c>
      <c r="F443" s="49"/>
      <c r="G443" s="1"/>
      <c r="H443" s="1"/>
      <c r="I443" s="1"/>
      <c r="J443" s="1"/>
      <c r="K443" s="1"/>
      <c r="L443" s="1"/>
      <c r="M443" s="1"/>
      <c r="N443" s="1"/>
      <c r="O443" s="1"/>
      <c r="P443" s="82"/>
      <c r="Q443" s="1"/>
      <c r="R443" s="1"/>
      <c r="S443" s="83"/>
      <c r="T443" s="1"/>
      <c r="U443" s="1"/>
      <c r="V443" s="1"/>
      <c r="W443" s="1"/>
      <c r="X443" s="1"/>
      <c r="Y443" s="1"/>
    </row>
    <row r="444">
      <c r="A444" s="49"/>
      <c r="B444" s="70" t="str">
        <f>IFERROR(VLOOKUP(C444, 'Tổng hợp thông tin sinh viên'!A:E, 2, 0), "")</f>
        <v>Nguyễn Huy Mạnh</v>
      </c>
      <c r="C444" s="31" t="s">
        <v>518</v>
      </c>
      <c r="D444" s="31" t="str">
        <f>IFERROR(VLOOKUP(C444, 'Tổng hợp thông tin sinh viên'!A:E, 3, 0), "")</f>
        <v>manh.nh225143@sis.hust.edu.vn</v>
      </c>
      <c r="E444" s="31" t="str">
        <f>IFERROR(VLOOKUP(C444, 'Tổng hợp thông tin sinh viên'!A:E, 5, 0), "")</f>
        <v>Kỹ thuật máy tính 04-K67</v>
      </c>
      <c r="F444" s="49"/>
      <c r="G444" s="1"/>
      <c r="H444" s="1"/>
      <c r="I444" s="1"/>
      <c r="J444" s="1"/>
      <c r="K444" s="1"/>
      <c r="L444" s="1"/>
      <c r="M444" s="1"/>
      <c r="N444" s="1"/>
      <c r="O444" s="1"/>
      <c r="P444" s="82"/>
      <c r="Q444" s="1"/>
      <c r="R444" s="1"/>
      <c r="S444" s="83"/>
      <c r="T444" s="1"/>
      <c r="U444" s="1"/>
      <c r="V444" s="1"/>
      <c r="W444" s="1"/>
      <c r="X444" s="1"/>
      <c r="Y444" s="1"/>
    </row>
    <row r="445">
      <c r="A445" s="49"/>
      <c r="B445" s="70" t="str">
        <f>IFERROR(VLOOKUP(C445, 'Tổng hợp thông tin sinh viên'!A:E, 2, 0), "")</f>
        <v>Phan Thế Toàn</v>
      </c>
      <c r="C445" s="31" t="s">
        <v>519</v>
      </c>
      <c r="D445" s="31" t="str">
        <f>IFERROR(VLOOKUP(C445, 'Tổng hợp thông tin sinh viên'!A:E, 3, 0), "")</f>
        <v>toan.pt225415@sis.hust.edu.vn</v>
      </c>
      <c r="E445" s="31" t="str">
        <f>IFERROR(VLOOKUP(C445, 'Tổng hợp thông tin sinh viên'!A:E, 5, 0), "")</f>
        <v>Kỹ thuật máy tính 02-K67</v>
      </c>
      <c r="F445" s="49"/>
      <c r="G445" s="1"/>
      <c r="H445" s="1"/>
      <c r="I445" s="1"/>
      <c r="J445" s="1"/>
      <c r="K445" s="1"/>
      <c r="L445" s="1"/>
      <c r="M445" s="1"/>
      <c r="N445" s="1"/>
      <c r="O445" s="1"/>
      <c r="P445" s="82"/>
      <c r="Q445" s="1"/>
      <c r="R445" s="1"/>
      <c r="S445" s="83"/>
      <c r="T445" s="1"/>
      <c r="U445" s="1"/>
      <c r="V445" s="1"/>
      <c r="W445" s="1"/>
      <c r="X445" s="1"/>
      <c r="Y445" s="1"/>
    </row>
    <row r="446">
      <c r="A446" s="49"/>
      <c r="B446" s="70" t="str">
        <f>IFERROR(VLOOKUP(C446, 'Tổng hợp thông tin sinh viên'!A:E, 2, 0), "")</f>
        <v>Phạm Việt Hòa</v>
      </c>
      <c r="C446" s="31" t="s">
        <v>520</v>
      </c>
      <c r="D446" s="31" t="str">
        <f>IFERROR(VLOOKUP(C446, 'Tổng hợp thông tin sinh viên'!A:E, 3, 0), "")</f>
        <v>hoa.pv225128@sis.hust.edu.vn</v>
      </c>
      <c r="E446" s="31" t="str">
        <f>IFERROR(VLOOKUP(C446, 'Tổng hợp thông tin sinh viên'!A:E, 5, 0), "")</f>
        <v>Kỹ thuật máy tính 04-K67</v>
      </c>
      <c r="F446" s="49"/>
      <c r="G446" s="1"/>
      <c r="H446" s="1"/>
      <c r="I446" s="1"/>
      <c r="J446" s="1"/>
      <c r="K446" s="1"/>
      <c r="L446" s="1"/>
      <c r="M446" s="1"/>
      <c r="N446" s="1"/>
      <c r="O446" s="1"/>
      <c r="P446" s="82"/>
      <c r="Q446" s="1"/>
      <c r="R446" s="1"/>
      <c r="S446" s="83"/>
      <c r="T446" s="1"/>
      <c r="U446" s="1"/>
      <c r="V446" s="1"/>
      <c r="W446" s="1"/>
      <c r="X446" s="1"/>
      <c r="Y446" s="1"/>
    </row>
    <row r="447">
      <c r="A447" s="49"/>
      <c r="B447" s="70" t="str">
        <f>IFERROR(VLOOKUP(C447, 'Tổng hợp thông tin sinh viên'!A:E, 2, 0), "")</f>
        <v>Trần Đình Phúc</v>
      </c>
      <c r="C447" s="31" t="s">
        <v>521</v>
      </c>
      <c r="D447" s="31" t="str">
        <f>IFERROR(VLOOKUP(C447, 'Tổng hợp thông tin sinh viên'!A:E, 3, 0), "")</f>
        <v>phuc.td224891@sis.hust.edu.vn</v>
      </c>
      <c r="E447" s="31" t="str">
        <f>IFERROR(VLOOKUP(C447, 'Tổng hợp thông tin sinh viên'!A:E, 5, 0), "")</f>
        <v>Khoa học máy tính 07-K67</v>
      </c>
      <c r="F447" s="49"/>
      <c r="G447" s="1"/>
      <c r="H447" s="1"/>
      <c r="I447" s="1"/>
      <c r="J447" s="1"/>
      <c r="K447" s="1"/>
      <c r="L447" s="1"/>
      <c r="M447" s="1"/>
      <c r="N447" s="1"/>
      <c r="O447" s="1"/>
      <c r="P447" s="82"/>
      <c r="Q447" s="1"/>
      <c r="R447" s="1"/>
      <c r="S447" s="83"/>
      <c r="T447" s="1"/>
      <c r="U447" s="1"/>
      <c r="V447" s="1"/>
      <c r="W447" s="1"/>
      <c r="X447" s="1"/>
      <c r="Y447" s="1"/>
    </row>
    <row r="448">
      <c r="A448" s="49"/>
      <c r="B448" s="70" t="str">
        <f>IFERROR(VLOOKUP(C448, 'Tổng hợp thông tin sinh viên'!A:E, 2, 0), "")</f>
        <v>Vũ Ngọc Hà</v>
      </c>
      <c r="C448" s="31" t="s">
        <v>522</v>
      </c>
      <c r="D448" s="31" t="str">
        <f>IFERROR(VLOOKUP(C448, 'Tổng hợp thông tin sinh viên'!A:E, 3, 0), "")</f>
        <v>ha.vn225490@sis.hust.edu.vn</v>
      </c>
      <c r="E448" s="31" t="str">
        <f>IFERROR(VLOOKUP(C448, 'Tổng hợp thông tin sinh viên'!A:E, 5, 0), "")</f>
        <v>CTTT Data Science &amp; AI 02-K67</v>
      </c>
      <c r="F448" s="49"/>
      <c r="G448" s="1"/>
      <c r="H448" s="1"/>
      <c r="I448" s="1"/>
      <c r="J448" s="1"/>
      <c r="K448" s="1"/>
      <c r="L448" s="1"/>
      <c r="M448" s="1"/>
      <c r="N448" s="1"/>
      <c r="O448" s="1"/>
      <c r="P448" s="82"/>
      <c r="Q448" s="1"/>
      <c r="R448" s="1"/>
      <c r="S448" s="83"/>
      <c r="T448" s="1"/>
      <c r="U448" s="1"/>
      <c r="V448" s="1"/>
      <c r="W448" s="1"/>
      <c r="X448" s="1"/>
      <c r="Y448" s="1"/>
    </row>
    <row r="449">
      <c r="A449" s="49"/>
      <c r="B449" s="70" t="str">
        <f>IFERROR(VLOOKUP(C449, 'Tổng hợp thông tin sinh viên'!A:E, 2, 0), "")</f>
        <v>Bùi Ánh Dương</v>
      </c>
      <c r="C449" s="31" t="s">
        <v>523</v>
      </c>
      <c r="D449" s="31" t="str">
        <f>IFERROR(VLOOKUP(C449, 'Tổng hợp thông tin sinh viên'!A:E, 3, 0), "")</f>
        <v>duong.ba225489@sis.hust.edu.vn</v>
      </c>
      <c r="E449" s="31" t="str">
        <f>IFERROR(VLOOKUP(C449, 'Tổng hợp thông tin sinh viên'!A:E, 5, 0), "")</f>
        <v>CTTT Data Science &amp; AI 01-K67</v>
      </c>
      <c r="F449" s="49"/>
      <c r="G449" s="1"/>
      <c r="H449" s="1"/>
      <c r="I449" s="1"/>
      <c r="J449" s="1"/>
      <c r="K449" s="1"/>
      <c r="L449" s="1"/>
      <c r="M449" s="1"/>
      <c r="N449" s="1"/>
      <c r="O449" s="1"/>
      <c r="P449" s="82"/>
      <c r="Q449" s="1"/>
      <c r="R449" s="1"/>
      <c r="S449" s="83"/>
      <c r="T449" s="1"/>
      <c r="U449" s="1"/>
      <c r="V449" s="1"/>
      <c r="W449" s="1"/>
      <c r="X449" s="1"/>
      <c r="Y449" s="1"/>
    </row>
    <row r="450">
      <c r="A450" s="49"/>
      <c r="B450" s="70" t="str">
        <f>IFERROR(VLOOKUP(C450, 'Tổng hợp thông tin sinh viên'!A:E, 2, 0), "")</f>
        <v>Trần Văn Tài</v>
      </c>
      <c r="C450" s="31" t="s">
        <v>524</v>
      </c>
      <c r="D450" s="31" t="str">
        <f>IFERROR(VLOOKUP(C450, 'Tổng hợp thông tin sinh viên'!A:E, 3, 0), "")</f>
        <v>tai.tv207700@sis.hust.edu.vn</v>
      </c>
      <c r="E450" s="31" t="str">
        <f>IFERROR(VLOOKUP(C450, 'Tổng hợp thông tin sinh viên'!A:E, 5, 0), "")</f>
        <v>IT-VUW 01-K65</v>
      </c>
      <c r="F450" s="49"/>
      <c r="G450" s="1"/>
      <c r="H450" s="1"/>
      <c r="I450" s="1"/>
      <c r="J450" s="1"/>
      <c r="K450" s="1"/>
      <c r="L450" s="1"/>
      <c r="M450" s="1"/>
      <c r="N450" s="1"/>
      <c r="O450" s="1"/>
      <c r="P450" s="82"/>
      <c r="Q450" s="1"/>
      <c r="R450" s="1"/>
      <c r="S450" s="83"/>
      <c r="T450" s="1"/>
      <c r="U450" s="1"/>
      <c r="V450" s="1"/>
      <c r="W450" s="1"/>
      <c r="X450" s="1"/>
      <c r="Y450" s="1"/>
    </row>
    <row r="451">
      <c r="A451" s="52"/>
      <c r="B451" s="70" t="str">
        <f>IFERROR(VLOOKUP(C451, 'Tổng hợp thông tin sinh viên'!A:E, 2, 0), "")</f>
        <v>Bùi Xuân Sơn</v>
      </c>
      <c r="C451" s="31" t="s">
        <v>525</v>
      </c>
      <c r="D451" s="31" t="str">
        <f>IFERROR(VLOOKUP(C451, 'Tổng hợp thông tin sinh viên'!A:E, 3, 0), "")</f>
        <v>son.bx226065@sis.hust.edu.vn</v>
      </c>
      <c r="E451" s="31" t="str">
        <f>IFERROR(VLOOKUP(C451, 'Tổng hợp thông tin sinh viên'!A:E, 5, 0), "")</f>
        <v>ICT 02-K67</v>
      </c>
      <c r="F451" s="52"/>
      <c r="G451" s="1"/>
      <c r="H451" s="1"/>
      <c r="I451" s="1"/>
      <c r="J451" s="1"/>
      <c r="K451" s="1"/>
      <c r="L451" s="1"/>
      <c r="M451" s="1"/>
      <c r="N451" s="1"/>
      <c r="O451" s="1"/>
      <c r="P451" s="82"/>
      <c r="Q451" s="1"/>
      <c r="R451" s="1"/>
      <c r="S451" s="83"/>
      <c r="T451" s="1"/>
      <c r="U451" s="1"/>
      <c r="V451" s="1"/>
      <c r="W451" s="1"/>
      <c r="X451" s="1"/>
      <c r="Y451" s="1"/>
    </row>
    <row r="452">
      <c r="A452" s="77">
        <v>54.0</v>
      </c>
      <c r="B452" s="78" t="str">
        <f>IFERROR(VLOOKUP(C452, 'Tổng hợp thông tin sinh viên'!A:E, 2, 0), "")</f>
        <v>Quản Tuấn Huy</v>
      </c>
      <c r="C452" s="79" t="s">
        <v>526</v>
      </c>
      <c r="D452" s="27" t="str">
        <f>IFERROR(VLOOKUP(C452, 'Tổng hợp thông tin sinh viên'!A:E, 3, 0), "")</f>
        <v>huy.qt225014@sis.hust.edu.vn</v>
      </c>
      <c r="E452" s="27" t="str">
        <f>IFERROR(VLOOKUP(C452, 'Tổng hợp thông tin sinh viên'!A:E, 5, 0), "")</f>
        <v>Khoa học máy tính 03-K67</v>
      </c>
      <c r="F452" s="71" t="str">
        <f>IF(COUNTBLANK(C452:C461) = 0, "Đủ", "Thiếu: " &amp; COUNTBLANK(C452:C461))</f>
        <v>Đủ</v>
      </c>
      <c r="G452" s="1"/>
      <c r="H452" s="1"/>
      <c r="I452" s="1"/>
      <c r="J452" s="1"/>
      <c r="K452" s="1"/>
      <c r="L452" s="1"/>
      <c r="M452" s="1"/>
      <c r="N452" s="1"/>
      <c r="O452" s="1"/>
      <c r="P452" s="82"/>
      <c r="Q452" s="1"/>
      <c r="R452" s="1"/>
      <c r="S452" s="83"/>
      <c r="T452" s="1"/>
      <c r="U452" s="1"/>
      <c r="V452" s="1"/>
      <c r="W452" s="1"/>
      <c r="X452" s="1"/>
      <c r="Y452" s="1"/>
    </row>
    <row r="453">
      <c r="A453" s="49"/>
      <c r="B453" s="78" t="str">
        <f>IFERROR(VLOOKUP(C453, 'Tổng hợp thông tin sinh viên'!A:E, 2, 0), "")</f>
        <v>Nguyễn Hải Nam</v>
      </c>
      <c r="C453" s="27" t="s">
        <v>527</v>
      </c>
      <c r="D453" s="27" t="str">
        <f>IFERROR(VLOOKUP(C453, 'Tổng hợp thông tin sinh viên'!A:E, 3, 0), "")</f>
        <v>nam.nh225051@sis.hust.edu.vn</v>
      </c>
      <c r="E453" s="27" t="str">
        <f>IFERROR(VLOOKUP(C453, 'Tổng hợp thông tin sinh viên'!A:E, 5, 0), "")</f>
        <v>Khoa học máy tính 03-K67</v>
      </c>
      <c r="F453" s="49"/>
      <c r="G453" s="1"/>
      <c r="H453" s="1"/>
      <c r="I453" s="1"/>
      <c r="J453" s="1"/>
      <c r="K453" s="1"/>
      <c r="L453" s="1"/>
      <c r="M453" s="1"/>
      <c r="N453" s="1"/>
      <c r="O453" s="1"/>
      <c r="P453" s="82"/>
      <c r="Q453" s="1"/>
      <c r="R453" s="1"/>
      <c r="S453" s="83"/>
      <c r="T453" s="1"/>
      <c r="U453" s="1"/>
      <c r="V453" s="1"/>
      <c r="W453" s="1"/>
      <c r="X453" s="1"/>
      <c r="Y453" s="1"/>
    </row>
    <row r="454">
      <c r="A454" s="49"/>
      <c r="B454" s="78" t="str">
        <f>IFERROR(VLOOKUP(C454, 'Tổng hợp thông tin sinh viên'!A:E, 2, 0), "")</f>
        <v>Trần Thế Anh</v>
      </c>
      <c r="C454" s="27" t="s">
        <v>528</v>
      </c>
      <c r="D454" s="27" t="str">
        <f>IFERROR(VLOOKUP(C454, 'Tổng hợp thông tin sinh viên'!A:E, 3, 0), "")</f>
        <v>anh.tt224927@sis.hust.edu.vn</v>
      </c>
      <c r="E454" s="27" t="str">
        <f>IFERROR(VLOOKUP(C454, 'Tổng hợp thông tin sinh viên'!A:E, 5, 0), "")</f>
        <v>Khoa học máy tính 03-K67</v>
      </c>
      <c r="F454" s="49"/>
      <c r="G454" s="1"/>
      <c r="H454" s="1"/>
      <c r="I454" s="1"/>
      <c r="J454" s="1"/>
      <c r="K454" s="1"/>
      <c r="L454" s="1"/>
      <c r="M454" s="1"/>
      <c r="N454" s="1"/>
      <c r="O454" s="1"/>
      <c r="P454" s="82"/>
      <c r="Q454" s="1"/>
      <c r="R454" s="1"/>
      <c r="S454" s="83"/>
      <c r="T454" s="1"/>
      <c r="U454" s="1"/>
      <c r="V454" s="1"/>
      <c r="W454" s="1"/>
      <c r="X454" s="1"/>
      <c r="Y454" s="1"/>
    </row>
    <row r="455">
      <c r="A455" s="49"/>
      <c r="B455" s="78" t="str">
        <f>IFERROR(VLOOKUP(C455, 'Tổng hợp thông tin sinh viên'!A:E, 2, 0), "")</f>
        <v>Dương Quang Anh</v>
      </c>
      <c r="C455" s="27" t="s">
        <v>529</v>
      </c>
      <c r="D455" s="27" t="str">
        <f>IFERROR(VLOOKUP(C455, 'Tổng hợp thông tin sinh viên'!A:E, 3, 0), "")</f>
        <v>anh.dq224916@sis.hust.edu.vn</v>
      </c>
      <c r="E455" s="27" t="str">
        <f>IFERROR(VLOOKUP(C455, 'Tổng hợp thông tin sinh viên'!A:E, 5, 0), "")</f>
        <v>Khoa học máy tính 03-K67</v>
      </c>
      <c r="F455" s="49"/>
      <c r="G455" s="1"/>
      <c r="H455" s="1"/>
      <c r="I455" s="1"/>
      <c r="J455" s="1"/>
      <c r="K455" s="1"/>
      <c r="L455" s="1"/>
      <c r="M455" s="1"/>
      <c r="N455" s="1"/>
      <c r="O455" s="1"/>
      <c r="P455" s="82"/>
      <c r="Q455" s="1"/>
      <c r="R455" s="1"/>
      <c r="S455" s="83"/>
      <c r="T455" s="1"/>
      <c r="U455" s="1"/>
      <c r="V455" s="1"/>
      <c r="W455" s="1"/>
      <c r="X455" s="1"/>
      <c r="Y455" s="1"/>
    </row>
    <row r="456">
      <c r="A456" s="49"/>
      <c r="B456" s="78" t="str">
        <f>IFERROR(VLOOKUP(C456, 'Tổng hợp thông tin sinh viên'!A:E, 2, 0), "")</f>
        <v>Phạm Trung Kiên</v>
      </c>
      <c r="C456" s="27" t="s">
        <v>530</v>
      </c>
      <c r="D456" s="27" t="str">
        <f>IFERROR(VLOOKUP(C456, 'Tổng hợp thông tin sinh viên'!A:E, 3, 0), "")</f>
        <v>kien.pt225026@sis.hust.edu.vn</v>
      </c>
      <c r="E456" s="27" t="str">
        <f>IFERROR(VLOOKUP(C456, 'Tổng hợp thông tin sinh viên'!A:E, 5, 0), "")</f>
        <v>Khoa học máy tính 03-K67</v>
      </c>
      <c r="F456" s="49"/>
      <c r="G456" s="1"/>
      <c r="H456" s="1"/>
      <c r="I456" s="1"/>
      <c r="J456" s="1"/>
      <c r="K456" s="1"/>
      <c r="L456" s="1"/>
      <c r="M456" s="1"/>
      <c r="N456" s="1"/>
      <c r="O456" s="1"/>
      <c r="P456" s="82"/>
      <c r="Q456" s="1"/>
      <c r="R456" s="1"/>
      <c r="S456" s="83"/>
      <c r="T456" s="1"/>
      <c r="U456" s="1"/>
      <c r="V456" s="1"/>
      <c r="W456" s="1"/>
      <c r="X456" s="1"/>
      <c r="Y456" s="1"/>
    </row>
    <row r="457">
      <c r="A457" s="49"/>
      <c r="B457" s="78" t="str">
        <f>IFERROR(VLOOKUP(C457, 'Tổng hợp thông tin sinh viên'!A:E, 2, 0), "")</f>
        <v>Nguyễn Thanh Hiếu</v>
      </c>
      <c r="C457" s="27" t="s">
        <v>531</v>
      </c>
      <c r="D457" s="27" t="str">
        <f>IFERROR(VLOOKUP(C457, 'Tổng hợp thông tin sinh viên'!A:E, 3, 0), "")</f>
        <v>hieu.nt225716@sis.hust.edu.vn</v>
      </c>
      <c r="E457" s="27" t="str">
        <f>IFERROR(VLOOKUP(C457, 'Tổng hợp thông tin sinh viên'!A:E, 5, 0), "")</f>
        <v>Việt Nhật 06-K67</v>
      </c>
      <c r="F457" s="49"/>
      <c r="G457" s="1"/>
      <c r="H457" s="1"/>
      <c r="I457" s="1"/>
      <c r="J457" s="1"/>
      <c r="K457" s="1"/>
      <c r="L457" s="1"/>
      <c r="M457" s="1"/>
      <c r="N457" s="1"/>
      <c r="O457" s="1"/>
      <c r="P457" s="82"/>
      <c r="Q457" s="1"/>
      <c r="R457" s="1"/>
      <c r="S457" s="83"/>
      <c r="T457" s="1"/>
      <c r="U457" s="1"/>
      <c r="V457" s="1"/>
      <c r="W457" s="1"/>
      <c r="X457" s="1"/>
      <c r="Y457" s="1"/>
    </row>
    <row r="458">
      <c r="A458" s="49"/>
      <c r="B458" s="78" t="str">
        <f>IFERROR(VLOOKUP(C458, 'Tổng hợp thông tin sinh viên'!A:E, 2, 0), "")</f>
        <v>Nguyễn Hoàng Xuân Sơn</v>
      </c>
      <c r="C458" s="27" t="s">
        <v>532</v>
      </c>
      <c r="D458" s="27" t="str">
        <f>IFERROR(VLOOKUP(C458, 'Tổng hợp thông tin sinh viên'!A:E, 3, 0), "")</f>
        <v>son.nhx224896@sis.hust.edu.vn</v>
      </c>
      <c r="E458" s="27" t="str">
        <f>IFERROR(VLOOKUP(C458, 'Tổng hợp thông tin sinh viên'!A:E, 5, 0), "")</f>
        <v>CTTN-Khoa học máy tính-K67</v>
      </c>
      <c r="F458" s="49"/>
      <c r="G458" s="1"/>
      <c r="H458" s="1"/>
      <c r="I458" s="1"/>
      <c r="J458" s="1"/>
      <c r="K458" s="1"/>
      <c r="L458" s="1"/>
      <c r="M458" s="1"/>
      <c r="N458" s="1"/>
      <c r="O458" s="1"/>
      <c r="P458" s="82"/>
      <c r="Q458" s="1"/>
      <c r="R458" s="1"/>
      <c r="S458" s="83"/>
      <c r="T458" s="1"/>
      <c r="U458" s="1"/>
      <c r="V458" s="1"/>
      <c r="W458" s="1"/>
      <c r="X458" s="1"/>
      <c r="Y458" s="1"/>
    </row>
    <row r="459">
      <c r="A459" s="49"/>
      <c r="B459" s="78" t="str">
        <f>IFERROR(VLOOKUP(C459, 'Tổng hợp thông tin sinh viên'!A:E, 2, 0), "")</f>
        <v>Bùi Mạnh Hưng</v>
      </c>
      <c r="C459" s="27" t="s">
        <v>533</v>
      </c>
      <c r="D459" s="27" t="str">
        <f>IFERROR(VLOOKUP(C459, 'Tổng hợp thông tin sinh viên'!A:E, 3, 0), "")</f>
        <v>hung.bm224860@sis.hust.edu.vn</v>
      </c>
      <c r="E459" s="27" t="str">
        <f>IFERROR(VLOOKUP(C459, 'Tổng hợp thông tin sinh viên'!A:E, 5, 0), "")</f>
        <v>CTTN-Khoa học máy tính-K67</v>
      </c>
      <c r="F459" s="49"/>
      <c r="G459" s="1"/>
      <c r="H459" s="1"/>
      <c r="I459" s="1"/>
      <c r="J459" s="1"/>
      <c r="K459" s="1"/>
      <c r="L459" s="1"/>
      <c r="M459" s="1"/>
      <c r="N459" s="1"/>
      <c r="O459" s="1"/>
      <c r="P459" s="82"/>
      <c r="Q459" s="1"/>
      <c r="R459" s="1"/>
      <c r="S459" s="83"/>
      <c r="T459" s="1"/>
      <c r="U459" s="1"/>
      <c r="V459" s="1"/>
      <c r="W459" s="1"/>
      <c r="X459" s="1"/>
      <c r="Y459" s="1"/>
    </row>
    <row r="460">
      <c r="A460" s="49"/>
      <c r="B460" s="78" t="str">
        <f>IFERROR(VLOOKUP(C460, 'Tổng hợp thông tin sinh viên'!A:E, 2, 0), "")</f>
        <v>Dương Quang Khải</v>
      </c>
      <c r="C460" s="27" t="s">
        <v>534</v>
      </c>
      <c r="D460" s="27" t="str">
        <f>IFERROR(VLOOKUP(C460, 'Tổng hợp thông tin sinh viên'!A:E, 3, 0), "")</f>
        <v>khai.dq225340@sis.hust.edu.vn</v>
      </c>
      <c r="E460" s="27" t="str">
        <f>IFERROR(VLOOKUP(C460, 'Tổng hợp thông tin sinh viên'!A:E, 5, 0), "")</f>
        <v>Kỹ thuật máy tính 03-K67</v>
      </c>
      <c r="F460" s="49"/>
      <c r="G460" s="1"/>
      <c r="H460" s="1"/>
      <c r="I460" s="1"/>
      <c r="J460" s="1"/>
      <c r="K460" s="1"/>
      <c r="L460" s="1"/>
      <c r="M460" s="1"/>
      <c r="N460" s="1"/>
      <c r="O460" s="1"/>
      <c r="P460" s="82"/>
      <c r="Q460" s="1"/>
      <c r="R460" s="1"/>
      <c r="S460" s="83"/>
      <c r="T460" s="1"/>
      <c r="U460" s="1"/>
      <c r="V460" s="1"/>
      <c r="W460" s="1"/>
      <c r="X460" s="1"/>
      <c r="Y460" s="1"/>
    </row>
    <row r="461">
      <c r="A461" s="52"/>
      <c r="B461" s="78" t="str">
        <f>IFERROR(VLOOKUP(C461, 'Tổng hợp thông tin sinh viên'!A:E, 2, 0), "")</f>
        <v>Lê Việt Anh</v>
      </c>
      <c r="C461" s="27" t="s">
        <v>535</v>
      </c>
      <c r="D461" s="27" t="str">
        <f>IFERROR(VLOOKUP(C461, 'Tổng hợp thông tin sinh viên'!A:E, 3, 0), "")</f>
        <v>anh.lv225250@sis.hust.edu.vn</v>
      </c>
      <c r="E461" s="27" t="str">
        <f>IFERROR(VLOOKUP(C461, 'Tổng hợp thông tin sinh viên'!A:E, 5, 0), "")</f>
        <v>Kỹ thuật máy tính 03-K67</v>
      </c>
      <c r="F461" s="52"/>
      <c r="G461" s="1"/>
      <c r="H461" s="1"/>
      <c r="I461" s="1"/>
      <c r="J461" s="1"/>
      <c r="K461" s="1"/>
      <c r="L461" s="1"/>
      <c r="M461" s="1"/>
      <c r="N461" s="1"/>
      <c r="O461" s="1"/>
      <c r="P461" s="82"/>
      <c r="Q461" s="1"/>
      <c r="R461" s="1"/>
      <c r="S461" s="83"/>
      <c r="T461" s="1"/>
      <c r="U461" s="1"/>
      <c r="V461" s="1"/>
      <c r="W461" s="1"/>
      <c r="X461" s="1"/>
      <c r="Y461" s="1"/>
    </row>
    <row r="462">
      <c r="A462" s="69">
        <v>55.0</v>
      </c>
      <c r="B462" s="70" t="str">
        <f>IFERROR(VLOOKUP(C462, 'Tổng hợp thông tin sinh viên'!A:E, 2, 0), "")</f>
        <v>Liễu Bảo Bảo</v>
      </c>
      <c r="C462" s="31" t="s">
        <v>536</v>
      </c>
      <c r="D462" s="31" t="str">
        <f>IFERROR(VLOOKUP(C462, 'Tổng hợp thông tin sinh viên'!A:E, 3, 0), "")</f>
        <v>bao.lb224929@sis.hust.edu.vn</v>
      </c>
      <c r="E462" s="31" t="str">
        <f>IFERROR(VLOOKUP(C462, 'Tổng hợp thông tin sinh viên'!A:E, 5, 0), "")</f>
        <v>Khoa học máy tính 06-K67</v>
      </c>
      <c r="F462" s="71" t="str">
        <f>IF(COUNTBLANK(C462:C471) = 0, "Đủ", "Thiếu: " &amp; COUNTBLANK(C462:C471))</f>
        <v>Đủ</v>
      </c>
      <c r="G462" s="1"/>
      <c r="H462" s="1"/>
      <c r="I462" s="1"/>
      <c r="J462" s="1"/>
      <c r="K462" s="1"/>
      <c r="L462" s="1"/>
      <c r="M462" s="1"/>
      <c r="N462" s="1"/>
      <c r="O462" s="1"/>
      <c r="P462" s="82"/>
      <c r="Q462" s="1"/>
      <c r="R462" s="1"/>
      <c r="S462" s="83"/>
      <c r="T462" s="1"/>
      <c r="U462" s="1"/>
      <c r="V462" s="1"/>
      <c r="W462" s="1"/>
      <c r="X462" s="1"/>
      <c r="Y462" s="1"/>
    </row>
    <row r="463">
      <c r="A463" s="49"/>
      <c r="B463" s="70" t="str">
        <f>IFERROR(VLOOKUP(C463, 'Tổng hợp thông tin sinh viên'!A:E, 2, 0), "")</f>
        <v>Trần Anh Đức</v>
      </c>
      <c r="C463" s="31" t="s">
        <v>537</v>
      </c>
      <c r="D463" s="31" t="str">
        <f>IFERROR(VLOOKUP(C463, 'Tổng hợp thông tin sinh viên'!A:E, 3, 0), "")</f>
        <v>duc.ta220120@sis.hust.edu.vn</v>
      </c>
      <c r="E463" s="31" t="str">
        <f>IFERROR(VLOOKUP(C463, 'Tổng hợp thông tin sinh viên'!A:E, 5, 0), "")</f>
        <v>Khoa học máy tính 05-K67</v>
      </c>
      <c r="F463" s="49"/>
      <c r="G463" s="1"/>
      <c r="H463" s="1"/>
      <c r="I463" s="1"/>
      <c r="J463" s="1"/>
      <c r="K463" s="1"/>
      <c r="L463" s="1"/>
      <c r="M463" s="1"/>
      <c r="N463" s="1"/>
      <c r="O463" s="1"/>
      <c r="P463" s="82"/>
      <c r="Q463" s="1"/>
      <c r="R463" s="1"/>
      <c r="S463" s="83"/>
      <c r="T463" s="1"/>
      <c r="U463" s="1"/>
      <c r="V463" s="1"/>
      <c r="W463" s="1"/>
      <c r="X463" s="1"/>
      <c r="Y463" s="1"/>
    </row>
    <row r="464">
      <c r="A464" s="49"/>
      <c r="B464" s="70" t="str">
        <f>IFERROR(VLOOKUP(C464, 'Tổng hợp thông tin sinh viên'!A:E, 2, 0), "")</f>
        <v>Nguyễn Công Hùng</v>
      </c>
      <c r="C464" s="31" t="s">
        <v>538</v>
      </c>
      <c r="D464" s="31" t="str">
        <f>IFERROR(VLOOKUP(C464, 'Tổng hợp thông tin sinh viên'!A:E, 3, 0), "")</f>
        <v>hung.nc224858@sis.hust.edu.vn</v>
      </c>
      <c r="E464" s="31" t="str">
        <f>IFERROR(VLOOKUP(C464, 'Tổng hợp thông tin sinh viên'!A:E, 5, 0), "")</f>
        <v>Khoa học máy tính 05-K67</v>
      </c>
      <c r="F464" s="49"/>
      <c r="G464" s="1"/>
      <c r="H464" s="1"/>
      <c r="I464" s="1"/>
      <c r="J464" s="1"/>
      <c r="K464" s="1"/>
      <c r="L464" s="1"/>
      <c r="M464" s="1"/>
      <c r="N464" s="1"/>
      <c r="O464" s="1"/>
      <c r="P464" s="82"/>
      <c r="Q464" s="1"/>
      <c r="R464" s="1"/>
      <c r="S464" s="83"/>
      <c r="T464" s="1"/>
      <c r="U464" s="1"/>
      <c r="V464" s="1"/>
      <c r="W464" s="1"/>
      <c r="X464" s="1"/>
      <c r="Y464" s="1"/>
    </row>
    <row r="465">
      <c r="A465" s="49"/>
      <c r="B465" s="70" t="str">
        <f>IFERROR(VLOOKUP(C465, 'Tổng hợp thông tin sinh viên'!A:E, 2, 0), "")</f>
        <v>Nguyễn Việt Long</v>
      </c>
      <c r="C465" s="31" t="s">
        <v>539</v>
      </c>
      <c r="D465" s="31" t="str">
        <f>IFERROR(VLOOKUP(C465, 'Tổng hợp thông tin sinh viên'!A:E, 3, 0), "")</f>
        <v>long.nv225037@sis.hust.edu.vn</v>
      </c>
      <c r="E465" s="31" t="str">
        <f>IFERROR(VLOOKUP(C465, 'Tổng hợp thông tin sinh viên'!A:E, 5, 0), "")</f>
        <v>Khoa học máy tính 01-K67</v>
      </c>
      <c r="F465" s="49"/>
      <c r="G465" s="1"/>
      <c r="H465" s="1"/>
      <c r="I465" s="1"/>
      <c r="J465" s="1"/>
      <c r="K465" s="1"/>
      <c r="L465" s="1"/>
      <c r="M465" s="1"/>
      <c r="N465" s="1"/>
      <c r="O465" s="1"/>
      <c r="P465" s="82"/>
      <c r="Q465" s="1"/>
      <c r="R465" s="1"/>
      <c r="S465" s="83"/>
      <c r="T465" s="1"/>
      <c r="U465" s="1"/>
      <c r="V465" s="1"/>
      <c r="W465" s="1"/>
      <c r="X465" s="1"/>
      <c r="Y465" s="1"/>
    </row>
    <row r="466">
      <c r="A466" s="49"/>
      <c r="B466" s="70" t="str">
        <f>IFERROR(VLOOKUP(C466, 'Tổng hợp thông tin sinh viên'!A:E, 2, 0), "")</f>
        <v>Chu Tuấn Nghĩa</v>
      </c>
      <c r="C466" s="31" t="s">
        <v>540</v>
      </c>
      <c r="D466" s="31" t="str">
        <f>IFERROR(VLOOKUP(C466, 'Tổng hợp thông tin sinh viên'!A:E, 3, 0), "")</f>
        <v>nghia.ct225056@sis.hust.edu.vn</v>
      </c>
      <c r="E466" s="31" t="str">
        <f>IFERROR(VLOOKUP(C466, 'Tổng hợp thông tin sinh viên'!A:E, 5, 0), "")</f>
        <v>Khoa học máy tính 04-K67</v>
      </c>
      <c r="F466" s="49"/>
      <c r="G466" s="1"/>
      <c r="H466" s="1"/>
      <c r="I466" s="1"/>
      <c r="J466" s="1"/>
      <c r="K466" s="1"/>
      <c r="L466" s="1"/>
      <c r="M466" s="1"/>
      <c r="N466" s="1"/>
      <c r="O466" s="1"/>
      <c r="P466" s="82"/>
      <c r="Q466" s="1"/>
      <c r="R466" s="1"/>
      <c r="S466" s="83"/>
      <c r="T466" s="1"/>
      <c r="U466" s="1"/>
      <c r="V466" s="1"/>
      <c r="W466" s="1"/>
      <c r="X466" s="1"/>
      <c r="Y466" s="1"/>
    </row>
    <row r="467">
      <c r="A467" s="49"/>
      <c r="B467" s="70" t="str">
        <f>IFERROR(VLOOKUP(C467, 'Tổng hợp thông tin sinh viên'!A:E, 2, 0), "")</f>
        <v>Nguyễn Thành Trung</v>
      </c>
      <c r="C467" s="31" t="s">
        <v>541</v>
      </c>
      <c r="D467" s="31" t="str">
        <f>IFERROR(VLOOKUP(C467, 'Tổng hợp thông tin sinh viên'!A:E, 3, 0), "")</f>
        <v>trung.nt225105@sis.hust.edu.vn</v>
      </c>
      <c r="E467" s="31" t="str">
        <f>IFERROR(VLOOKUP(C467, 'Tổng hợp thông tin sinh viên'!A:E, 5, 0), "")</f>
        <v>Khoa học máy tính 04-K67</v>
      </c>
      <c r="F467" s="49"/>
      <c r="G467" s="1"/>
      <c r="H467" s="1"/>
      <c r="I467" s="1"/>
      <c r="J467" s="1"/>
      <c r="K467" s="1"/>
      <c r="L467" s="1"/>
      <c r="M467" s="1"/>
      <c r="N467" s="1"/>
      <c r="O467" s="1"/>
      <c r="P467" s="82"/>
      <c r="Q467" s="1"/>
      <c r="R467" s="1"/>
      <c r="S467" s="83"/>
      <c r="T467" s="1"/>
      <c r="U467" s="1"/>
      <c r="V467" s="1"/>
      <c r="W467" s="1"/>
      <c r="X467" s="1"/>
      <c r="Y467" s="1"/>
    </row>
    <row r="468">
      <c r="A468" s="49"/>
      <c r="B468" s="70" t="str">
        <f>IFERROR(VLOOKUP(C468, 'Tổng hợp thông tin sinh viên'!A:E, 2, 0), "")</f>
        <v>Dương Vũ Hoàng</v>
      </c>
      <c r="C468" s="31" t="s">
        <v>542</v>
      </c>
      <c r="D468" s="31" t="str">
        <f>IFERROR(VLOOKUP(C468, 'Tổng hợp thông tin sinh viên'!A:E, 3, 0), "")</f>
        <v>hoang.dv224987@sis.hust.edu.vn</v>
      </c>
      <c r="E468" s="31" t="str">
        <f>IFERROR(VLOOKUP(C468, 'Tổng hợp thông tin sinh viên'!A:E, 5, 0), "")</f>
        <v>Khoa học máy tính 04-K67</v>
      </c>
      <c r="F468" s="49"/>
      <c r="G468" s="1"/>
      <c r="H468" s="1"/>
      <c r="I468" s="1"/>
      <c r="J468" s="1"/>
      <c r="K468" s="1"/>
      <c r="L468" s="1"/>
      <c r="M468" s="1"/>
      <c r="N468" s="1"/>
      <c r="O468" s="1"/>
      <c r="P468" s="82"/>
      <c r="Q468" s="1"/>
      <c r="R468" s="1"/>
      <c r="S468" s="83"/>
      <c r="T468" s="1"/>
      <c r="U468" s="1"/>
      <c r="V468" s="1"/>
      <c r="W468" s="1"/>
      <c r="X468" s="1"/>
      <c r="Y468" s="1"/>
    </row>
    <row r="469">
      <c r="A469" s="49"/>
      <c r="B469" s="70" t="str">
        <f>IFERROR(VLOOKUP(C469, 'Tổng hợp thông tin sinh viên'!A:E, 2, 0), "")</f>
        <v>Trịnh Mạnh Quỳnh</v>
      </c>
      <c r="C469" s="31" t="s">
        <v>543</v>
      </c>
      <c r="D469" s="31" t="str">
        <f>IFERROR(VLOOKUP(C469, 'Tổng hợp thông tin sinh viên'!A:E, 3, 0), "")</f>
        <v>quynh.tm226064@sis.hust.edu.vn</v>
      </c>
      <c r="E469" s="31" t="str">
        <f>IFERROR(VLOOKUP(C469, 'Tổng hợp thông tin sinh viên'!A:E, 5, 0), "")</f>
        <v>ICT 02-K67</v>
      </c>
      <c r="F469" s="49"/>
      <c r="G469" s="1"/>
      <c r="H469" s="1"/>
      <c r="I469" s="1"/>
      <c r="J469" s="1"/>
      <c r="K469" s="1"/>
      <c r="L469" s="1"/>
      <c r="M469" s="1"/>
      <c r="N469" s="1"/>
      <c r="O469" s="1"/>
      <c r="P469" s="82"/>
      <c r="Q469" s="1"/>
      <c r="R469" s="1"/>
      <c r="S469" s="83"/>
      <c r="T469" s="1"/>
      <c r="U469" s="1"/>
      <c r="V469" s="1"/>
      <c r="W469" s="1"/>
      <c r="X469" s="1"/>
      <c r="Y469" s="1"/>
    </row>
    <row r="470">
      <c r="A470" s="49"/>
      <c r="B470" s="70" t="str">
        <f>IFERROR(VLOOKUP(C470, 'Tổng hợp thông tin sinh viên'!A:E, 2, 0), "")</f>
        <v>Hà Huy Hoàng</v>
      </c>
      <c r="C470" s="31" t="s">
        <v>544</v>
      </c>
      <c r="D470" s="31" t="str">
        <f>IFERROR(VLOOKUP(C470, 'Tổng hợp thông tin sinh viên'!A:E, 3, 0), "")</f>
        <v>hoang.hh224988@sis.hust.edu.vn</v>
      </c>
      <c r="E470" s="31" t="str">
        <f>IFERROR(VLOOKUP(C470, 'Tổng hợp thông tin sinh viên'!A:E, 5, 0), "")</f>
        <v>Khoa học máy tính 05-K67</v>
      </c>
      <c r="F470" s="49"/>
      <c r="G470" s="1"/>
      <c r="H470" s="1"/>
      <c r="I470" s="1"/>
      <c r="J470" s="1"/>
      <c r="K470" s="1"/>
      <c r="L470" s="1"/>
      <c r="M470" s="1"/>
      <c r="N470" s="1"/>
      <c r="O470" s="1"/>
      <c r="P470" s="82"/>
      <c r="Q470" s="1"/>
      <c r="R470" s="1"/>
      <c r="S470" s="83"/>
      <c r="T470" s="1"/>
      <c r="U470" s="1"/>
      <c r="V470" s="1"/>
      <c r="W470" s="1"/>
      <c r="X470" s="1"/>
      <c r="Y470" s="1"/>
    </row>
    <row r="471">
      <c r="A471" s="52"/>
      <c r="B471" s="70" t="str">
        <f>IFERROR(VLOOKUP(C471, 'Tổng hợp thông tin sinh viên'!A:E, 2, 0), "")</f>
        <v>Vũ Văn Tú</v>
      </c>
      <c r="C471" s="31" t="s">
        <v>545</v>
      </c>
      <c r="D471" s="31" t="str">
        <f>IFERROR(VLOOKUP(C471, 'Tổng hợp thông tin sinh viên'!A:E, 3, 0), "")</f>
        <v>tu.vv215504@sis.hust.edu.vn</v>
      </c>
      <c r="E471" s="31" t="str">
        <f>IFERROR(VLOOKUP(C471, 'Tổng hợp thông tin sinh viên'!A:E, 5, 0), "")</f>
        <v>Khoa học máy tính 04-K66</v>
      </c>
      <c r="F471" s="52"/>
      <c r="G471" s="1"/>
      <c r="H471" s="1"/>
      <c r="I471" s="1"/>
      <c r="J471" s="1"/>
      <c r="K471" s="1"/>
      <c r="L471" s="1"/>
      <c r="M471" s="1"/>
      <c r="N471" s="1"/>
      <c r="O471" s="1"/>
      <c r="P471" s="82"/>
      <c r="Q471" s="1"/>
      <c r="R471" s="1"/>
      <c r="S471" s="83"/>
      <c r="T471" s="1"/>
      <c r="U471" s="1"/>
      <c r="V471" s="1"/>
      <c r="W471" s="1"/>
      <c r="X471" s="1"/>
      <c r="Y471" s="1"/>
    </row>
    <row r="472">
      <c r="A472" s="77">
        <v>56.0</v>
      </c>
      <c r="B472" s="78" t="str">
        <f>IFERROR(VLOOKUP(C472, 'Tổng hợp thông tin sinh viên'!A:E, 2, 0), "")</f>
        <v>Phùng Công Hiếu</v>
      </c>
      <c r="C472" s="79" t="s">
        <v>546</v>
      </c>
      <c r="D472" s="27" t="str">
        <f>IFERROR(VLOOKUP(C472, 'Tổng hợp thông tin sinh viên'!A:E, 3, 0), "")</f>
        <v>hieu.pc224848@sis.hust.edu.vn</v>
      </c>
      <c r="E472" s="27" t="str">
        <f>IFERROR(VLOOKUP(C472, 'Tổng hợp thông tin sinh viên'!A:E, 5, 0), "")</f>
        <v>CTTN-Khoa học máy tính-K67</v>
      </c>
      <c r="F472" s="71" t="str">
        <f>IF(COUNTBLANK(C472:C481) = 0, "Đủ", "Thiếu: " &amp; COUNTBLANK(C472:C481))</f>
        <v>Đủ</v>
      </c>
      <c r="G472" s="1"/>
      <c r="H472" s="1"/>
      <c r="I472" s="1"/>
      <c r="J472" s="1"/>
      <c r="K472" s="1"/>
      <c r="L472" s="1"/>
      <c r="M472" s="1"/>
      <c r="N472" s="1"/>
      <c r="O472" s="1"/>
      <c r="P472" s="82"/>
      <c r="Q472" s="1"/>
      <c r="R472" s="1"/>
      <c r="S472" s="83"/>
      <c r="T472" s="1"/>
      <c r="U472" s="1"/>
      <c r="V472" s="1"/>
      <c r="W472" s="1"/>
      <c r="X472" s="1"/>
      <c r="Y472" s="1"/>
    </row>
    <row r="473">
      <c r="A473" s="49"/>
      <c r="B473" s="78" t="str">
        <f>IFERROR(VLOOKUP(C473, 'Tổng hợp thông tin sinh viên'!A:E, 2, 0), "")</f>
        <v>Lê Danh Vinh</v>
      </c>
      <c r="C473" s="27" t="s">
        <v>547</v>
      </c>
      <c r="D473" s="27" t="str">
        <f>IFERROR(VLOOKUP(C473, 'Tổng hợp thông tin sinh viên'!A:E, 3, 0), "")</f>
        <v>vinh.ld220051@sis.hust.edu.vn</v>
      </c>
      <c r="E473" s="27" t="str">
        <f>IFERROR(VLOOKUP(C473, 'Tổng hợp thông tin sinh viên'!A:E, 5, 0), "")</f>
        <v>CTTN-Khoa học máy tính-K67</v>
      </c>
      <c r="F473" s="49"/>
      <c r="G473" s="1"/>
      <c r="H473" s="1"/>
      <c r="I473" s="1"/>
      <c r="J473" s="1"/>
      <c r="K473" s="1"/>
      <c r="L473" s="1"/>
      <c r="M473" s="1"/>
      <c r="N473" s="1"/>
      <c r="O473" s="1"/>
      <c r="P473" s="82"/>
      <c r="Q473" s="1"/>
      <c r="R473" s="1"/>
      <c r="S473" s="83"/>
      <c r="T473" s="1"/>
      <c r="U473" s="1"/>
      <c r="V473" s="1"/>
      <c r="W473" s="1"/>
      <c r="X473" s="1"/>
      <c r="Y473" s="1"/>
    </row>
    <row r="474">
      <c r="A474" s="49"/>
      <c r="B474" s="78" t="str">
        <f>IFERROR(VLOOKUP(C474, 'Tổng hợp thông tin sinh viên'!A:E, 2, 0), "")</f>
        <v>Vũ Trường An</v>
      </c>
      <c r="C474" s="27" t="s">
        <v>548</v>
      </c>
      <c r="D474" s="27" t="str">
        <f>IFERROR(VLOOKUP(C474, 'Tổng hợp thông tin sinh viên'!A:E, 3, 0), "")</f>
        <v>an.vt220058@sis.hust.edu.vn</v>
      </c>
      <c r="E474" s="27" t="str">
        <f>IFERROR(VLOOKUP(C474, 'Tổng hợp thông tin sinh viên'!A:E, 5, 0), "")</f>
        <v>CTTN-Khoa học máy tính-K67</v>
      </c>
      <c r="F474" s="49"/>
      <c r="G474" s="1"/>
      <c r="H474" s="1"/>
      <c r="I474" s="1"/>
      <c r="J474" s="1"/>
      <c r="K474" s="1"/>
      <c r="L474" s="1"/>
      <c r="M474" s="1"/>
      <c r="N474" s="1"/>
      <c r="O474" s="1"/>
      <c r="P474" s="82"/>
      <c r="Q474" s="1"/>
      <c r="R474" s="1"/>
      <c r="S474" s="83"/>
      <c r="T474" s="1"/>
      <c r="U474" s="1"/>
      <c r="V474" s="1"/>
      <c r="W474" s="1"/>
      <c r="X474" s="1"/>
      <c r="Y474" s="1"/>
    </row>
    <row r="475">
      <c r="A475" s="49"/>
      <c r="B475" s="78" t="str">
        <f>IFERROR(VLOOKUP(C475, 'Tổng hợp thông tin sinh viên'!A:E, 2, 0), "")</f>
        <v>Trần Sơn Tùng</v>
      </c>
      <c r="C475" s="27" t="s">
        <v>549</v>
      </c>
      <c r="D475" s="27" t="str">
        <f>IFERROR(VLOOKUP(C475, 'Tổng hợp thông tin sinh viên'!A:E, 3, 0), "")</f>
        <v>tung.ts220048@sis.hust.edu.vn</v>
      </c>
      <c r="E475" s="27" t="str">
        <f>IFERROR(VLOOKUP(C475, 'Tổng hợp thông tin sinh viên'!A:E, 5, 0), "")</f>
        <v>CTTN-Khoa học máy tính-K67</v>
      </c>
      <c r="F475" s="49"/>
      <c r="G475" s="1"/>
      <c r="H475" s="1"/>
      <c r="I475" s="1"/>
      <c r="J475" s="1"/>
      <c r="K475" s="1"/>
      <c r="L475" s="1"/>
      <c r="M475" s="1"/>
      <c r="N475" s="1"/>
      <c r="O475" s="1"/>
      <c r="P475" s="82"/>
      <c r="Q475" s="1"/>
      <c r="R475" s="1"/>
      <c r="S475" s="83"/>
      <c r="T475" s="1"/>
      <c r="U475" s="1"/>
      <c r="V475" s="1"/>
      <c r="W475" s="1"/>
      <c r="X475" s="1"/>
      <c r="Y475" s="1"/>
    </row>
    <row r="476">
      <c r="A476" s="49"/>
      <c r="B476" s="78" t="str">
        <f>IFERROR(VLOOKUP(C476, 'Tổng hợp thông tin sinh viên'!A:E, 2, 0), "")</f>
        <v>Nguyễn Hoàng Việt</v>
      </c>
      <c r="C476" s="27" t="s">
        <v>550</v>
      </c>
      <c r="D476" s="27" t="str">
        <f>IFERROR(VLOOKUP(C476, 'Tổng hợp thông tin sinh viên'!A:E, 3, 0), "")</f>
        <v>viet.nh220050@sis.hust.edu.vn</v>
      </c>
      <c r="E476" s="27" t="str">
        <f>IFERROR(VLOOKUP(C476, 'Tổng hợp thông tin sinh viên'!A:E, 5, 0), "")</f>
        <v>CTTN-Khoa học máy tính-K67</v>
      </c>
      <c r="F476" s="49"/>
      <c r="G476" s="1"/>
      <c r="H476" s="1"/>
      <c r="I476" s="1"/>
      <c r="J476" s="1"/>
      <c r="K476" s="1"/>
      <c r="L476" s="1"/>
      <c r="M476" s="1"/>
      <c r="N476" s="1"/>
      <c r="O476" s="1"/>
      <c r="P476" s="82"/>
      <c r="Q476" s="1"/>
      <c r="R476" s="1"/>
      <c r="S476" s="83"/>
      <c r="T476" s="1"/>
      <c r="U476" s="1"/>
      <c r="V476" s="1"/>
      <c r="W476" s="1"/>
      <c r="X476" s="1"/>
      <c r="Y476" s="1"/>
    </row>
    <row r="477">
      <c r="A477" s="49"/>
      <c r="B477" s="78" t="str">
        <f>IFERROR(VLOOKUP(C477, 'Tổng hợp thông tin sinh viên'!A:E, 2, 0), "")</f>
        <v>Nguyễn Đức Triệu</v>
      </c>
      <c r="C477" s="27" t="s">
        <v>551</v>
      </c>
      <c r="D477" s="27" t="str">
        <f>IFERROR(VLOOKUP(C477, 'Tổng hợp thông tin sinh viên'!A:E, 3, 0), "")</f>
        <v>trieu.nd224903@sis.hust.edu.vn</v>
      </c>
      <c r="E477" s="27" t="str">
        <f>IFERROR(VLOOKUP(C477, 'Tổng hợp thông tin sinh viên'!A:E, 5, 0), "")</f>
        <v>CTTN-Khoa học máy tính-K67</v>
      </c>
      <c r="F477" s="49"/>
      <c r="G477" s="1"/>
      <c r="H477" s="1"/>
      <c r="I477" s="1"/>
      <c r="J477" s="1"/>
      <c r="K477" s="1"/>
      <c r="L477" s="1"/>
      <c r="M477" s="1"/>
      <c r="N477" s="1"/>
      <c r="O477" s="1"/>
      <c r="P477" s="82"/>
      <c r="Q477" s="1"/>
      <c r="R477" s="1"/>
      <c r="S477" s="83"/>
      <c r="T477" s="1"/>
      <c r="U477" s="1"/>
      <c r="V477" s="1"/>
      <c r="W477" s="1"/>
      <c r="X477" s="1"/>
      <c r="Y477" s="1"/>
    </row>
    <row r="478">
      <c r="A478" s="49"/>
      <c r="B478" s="78" t="str">
        <f>IFERROR(VLOOKUP(C478, 'Tổng hợp thông tin sinh viên'!A:E, 2, 0), "")</f>
        <v>Trần Vương Hoàng</v>
      </c>
      <c r="C478" s="27" t="s">
        <v>552</v>
      </c>
      <c r="D478" s="27" t="str">
        <f>IFERROR(VLOOKUP(C478, 'Tổng hợp thông tin sinh viên'!A:E, 3, 0), "")</f>
        <v>hoang.tv224855@sis.hust.edu.vn</v>
      </c>
      <c r="E478" s="27" t="str">
        <f>IFERROR(VLOOKUP(C478, 'Tổng hợp thông tin sinh viên'!A:E, 5, 0), "")</f>
        <v>CTTN-Khoa học máy tính-K67</v>
      </c>
      <c r="F478" s="49"/>
      <c r="G478" s="1"/>
      <c r="H478" s="1"/>
      <c r="I478" s="1"/>
      <c r="J478" s="1"/>
      <c r="K478" s="1"/>
      <c r="L478" s="1"/>
      <c r="M478" s="1"/>
      <c r="N478" s="1"/>
      <c r="O478" s="1"/>
      <c r="P478" s="82"/>
      <c r="Q478" s="1"/>
      <c r="R478" s="1"/>
      <c r="S478" s="83"/>
      <c r="T478" s="1"/>
      <c r="U478" s="1"/>
      <c r="V478" s="1"/>
      <c r="W478" s="1"/>
      <c r="X478" s="1"/>
      <c r="Y478" s="1"/>
    </row>
    <row r="479">
      <c r="A479" s="49"/>
      <c r="B479" s="78" t="str">
        <f>IFERROR(VLOOKUP(C479, 'Tổng hợp thông tin sinh viên'!A:E, 2, 0), "")</f>
        <v>Phạm Quang Hưng</v>
      </c>
      <c r="C479" s="27" t="s">
        <v>553</v>
      </c>
      <c r="D479" s="27" t="str">
        <f>IFERROR(VLOOKUP(C479, 'Tổng hợp thông tin sinh viên'!A:E, 3, 0), "")</f>
        <v>hung.pq220030@sis.hust.edu.vn</v>
      </c>
      <c r="E479" s="27" t="str">
        <f>IFERROR(VLOOKUP(C479, 'Tổng hợp thông tin sinh viên'!A:E, 5, 0), "")</f>
        <v>CTTN-Khoa học máy tính-K67</v>
      </c>
      <c r="F479" s="49"/>
      <c r="G479" s="1"/>
      <c r="H479" s="1"/>
      <c r="I479" s="1"/>
      <c r="J479" s="1"/>
      <c r="K479" s="1"/>
      <c r="L479" s="1"/>
      <c r="M479" s="1"/>
      <c r="N479" s="1"/>
      <c r="O479" s="1"/>
      <c r="P479" s="82"/>
      <c r="Q479" s="1"/>
      <c r="R479" s="1"/>
      <c r="S479" s="83"/>
      <c r="T479" s="1"/>
      <c r="U479" s="1"/>
      <c r="V479" s="1"/>
      <c r="W479" s="1"/>
      <c r="X479" s="1"/>
      <c r="Y479" s="1"/>
    </row>
    <row r="480">
      <c r="A480" s="49"/>
      <c r="B480" s="78" t="str">
        <f>IFERROR(VLOOKUP(C480, 'Tổng hợp thông tin sinh viên'!A:E, 2, 0), "")</f>
        <v>Nguyễn Đăng Phúc</v>
      </c>
      <c r="C480" s="27" t="s">
        <v>554</v>
      </c>
      <c r="D480" s="27" t="str">
        <f>IFERROR(VLOOKUP(C480, 'Tổng hợp thông tin sinh viên'!A:E, 3, 0), "")</f>
        <v>phuc.nd220040@sis.hust.edu.vn</v>
      </c>
      <c r="E480" s="27" t="str">
        <f>IFERROR(VLOOKUP(C480, 'Tổng hợp thông tin sinh viên'!A:E, 5, 0), "")</f>
        <v>CTTN-Khoa học máy tính-K67</v>
      </c>
      <c r="F480" s="49"/>
      <c r="G480" s="1"/>
      <c r="H480" s="1"/>
      <c r="I480" s="1"/>
      <c r="J480" s="1"/>
      <c r="K480" s="1"/>
      <c r="L480" s="1"/>
      <c r="M480" s="1"/>
      <c r="N480" s="1"/>
      <c r="O480" s="1"/>
      <c r="P480" s="82"/>
      <c r="Q480" s="1"/>
      <c r="R480" s="1"/>
      <c r="S480" s="83"/>
      <c r="T480" s="1"/>
      <c r="U480" s="1"/>
      <c r="V480" s="1"/>
      <c r="W480" s="1"/>
      <c r="X480" s="1"/>
      <c r="Y480" s="1"/>
    </row>
    <row r="481">
      <c r="A481" s="52"/>
      <c r="B481" s="78" t="str">
        <f>IFERROR(VLOOKUP(C481, 'Tổng hợp thông tin sinh viên'!A:E, 2, 0), "")</f>
        <v>Hoàng Quốc Hùng</v>
      </c>
      <c r="C481" s="27" t="s">
        <v>555</v>
      </c>
      <c r="D481" s="27" t="str">
        <f>IFERROR(VLOOKUP(C481, 'Tổng hợp thông tin sinh viên'!A:E, 3, 0), "")</f>
        <v>hung.hq224857@sis.hust.edu.vn</v>
      </c>
      <c r="E481" s="27" t="str">
        <f>IFERROR(VLOOKUP(C481, 'Tổng hợp thông tin sinh viên'!A:E, 5, 0), "")</f>
        <v>CTTN-Khoa học máy tính-K67</v>
      </c>
      <c r="F481" s="52"/>
      <c r="G481" s="1"/>
      <c r="H481" s="1"/>
      <c r="I481" s="1"/>
      <c r="J481" s="1"/>
      <c r="K481" s="1"/>
      <c r="L481" s="1"/>
      <c r="M481" s="1"/>
      <c r="N481" s="1"/>
      <c r="O481" s="1"/>
      <c r="P481" s="82"/>
      <c r="Q481" s="1"/>
      <c r="R481" s="1"/>
      <c r="S481" s="83"/>
      <c r="T481" s="1"/>
      <c r="U481" s="1"/>
      <c r="V481" s="1"/>
      <c r="W481" s="1"/>
      <c r="X481" s="1"/>
      <c r="Y481" s="1"/>
    </row>
    <row r="482">
      <c r="A482" s="69">
        <v>57.0</v>
      </c>
      <c r="B482" s="87" t="str">
        <f>IFERROR(VLOOKUP(C482, 'Tổng hợp thông tin sinh viên'!A:E, 2, 0), "")</f>
        <v>Lê Thị Hà Giang</v>
      </c>
      <c r="C482" s="88" t="s">
        <v>556</v>
      </c>
      <c r="D482" s="88" t="str">
        <f>IFERROR(VLOOKUP(C482, 'Tổng hợp thông tin sinh viên'!A:E, 3, 0), "")</f>
        <v>giang.lth224973@sis.hust.edu.vn</v>
      </c>
      <c r="E482" s="88" t="str">
        <f>IFERROR(VLOOKUP(C482, 'Tổng hợp thông tin sinh viên'!A:E, 5, 0), "")</f>
        <v>Khoa học máy tính 07-K67</v>
      </c>
      <c r="F482" s="71" t="str">
        <f>IF(COUNTBLANK(C482:C491) = 0, "Đủ", "Thiếu: " &amp; COUNTBLANK(C482:C491))</f>
        <v>Đủ</v>
      </c>
      <c r="G482" s="1"/>
      <c r="H482" s="1"/>
      <c r="I482" s="1"/>
      <c r="J482" s="1"/>
      <c r="K482" s="1"/>
      <c r="L482" s="1"/>
      <c r="M482" s="1"/>
      <c r="N482" s="1"/>
      <c r="O482" s="1"/>
      <c r="P482" s="82"/>
      <c r="Q482" s="1"/>
      <c r="R482" s="1"/>
      <c r="S482" s="83"/>
      <c r="T482" s="1"/>
      <c r="U482" s="1"/>
      <c r="V482" s="1"/>
      <c r="W482" s="1"/>
      <c r="X482" s="1"/>
      <c r="Y482" s="1"/>
    </row>
    <row r="483">
      <c r="A483" s="49"/>
      <c r="B483" s="87" t="str">
        <f>IFERROR(VLOOKUP(C483, 'Tổng hợp thông tin sinh viên'!A:E, 2, 0), "")</f>
        <v>Trần Thị Minh Thu</v>
      </c>
      <c r="C483" s="88" t="s">
        <v>557</v>
      </c>
      <c r="D483" s="88" t="str">
        <f>IFERROR(VLOOKUP(C483, 'Tổng hợp thông tin sinh viên'!A:E, 3, 0), "")</f>
        <v>thu.ttm224901@sis.hust.edu.vn</v>
      </c>
      <c r="E483" s="88" t="str">
        <f>IFERROR(VLOOKUP(C483, 'Tổng hợp thông tin sinh viên'!A:E, 5, 0), "")</f>
        <v>Khoa học máy tính 06-K67</v>
      </c>
      <c r="F483" s="49"/>
      <c r="G483" s="1"/>
      <c r="H483" s="1"/>
      <c r="I483" s="1"/>
      <c r="J483" s="1"/>
      <c r="K483" s="1"/>
      <c r="L483" s="1"/>
      <c r="M483" s="1"/>
      <c r="N483" s="1"/>
      <c r="O483" s="1"/>
      <c r="P483" s="82"/>
      <c r="Q483" s="1"/>
      <c r="R483" s="1"/>
      <c r="S483" s="83"/>
      <c r="T483" s="1"/>
      <c r="U483" s="1"/>
      <c r="V483" s="1"/>
      <c r="W483" s="1"/>
      <c r="X483" s="1"/>
      <c r="Y483" s="1"/>
    </row>
    <row r="484">
      <c r="A484" s="49"/>
      <c r="B484" s="87" t="str">
        <f>IFERROR(VLOOKUP(C484, 'Tổng hợp thông tin sinh viên'!A:E, 2, 0), "")</f>
        <v>Nguyễn Quang Huy</v>
      </c>
      <c r="C484" s="88" t="s">
        <v>558</v>
      </c>
      <c r="D484" s="88" t="str">
        <f>IFERROR(VLOOKUP(C484, 'Tổng hợp thông tin sinh viên'!A:E, 3, 0), "")</f>
        <v>huy.nq225010@sis.hust.edu.vn</v>
      </c>
      <c r="E484" s="88" t="str">
        <f>IFERROR(VLOOKUP(C484, 'Tổng hợp thông tin sinh viên'!A:E, 5, 0), "")</f>
        <v>Khoa học máy tính 06-K67</v>
      </c>
      <c r="F484" s="49"/>
      <c r="G484" s="1"/>
      <c r="H484" s="1"/>
      <c r="I484" s="1"/>
      <c r="J484" s="1"/>
      <c r="K484" s="1"/>
      <c r="L484" s="1"/>
      <c r="M484" s="1"/>
      <c r="N484" s="1"/>
      <c r="O484" s="1"/>
      <c r="P484" s="82"/>
      <c r="Q484" s="1"/>
      <c r="R484" s="1"/>
      <c r="S484" s="83"/>
      <c r="T484" s="1"/>
      <c r="U484" s="1"/>
      <c r="V484" s="1"/>
      <c r="W484" s="1"/>
      <c r="X484" s="1"/>
      <c r="Y484" s="1"/>
    </row>
    <row r="485">
      <c r="A485" s="49"/>
      <c r="B485" s="87" t="str">
        <f>IFERROR(VLOOKUP(C485, 'Tổng hợp thông tin sinh viên'!A:E, 2, 0), "")</f>
        <v>Đặng Ngọc Quý</v>
      </c>
      <c r="C485" s="88" t="s">
        <v>559</v>
      </c>
      <c r="D485" s="88" t="str">
        <f>IFERROR(VLOOKUP(C485, 'Tổng hợp thông tin sinh viên'!A:E, 3, 0), "")</f>
        <v>quy.dn225074@sis.hust.edu.vn</v>
      </c>
      <c r="E485" s="88" t="str">
        <f>IFERROR(VLOOKUP(C485, 'Tổng hợp thông tin sinh viên'!A:E, 5, 0), "")</f>
        <v>Khoa học máy tính 07-K67</v>
      </c>
      <c r="F485" s="49"/>
      <c r="G485" s="1"/>
      <c r="H485" s="1"/>
      <c r="I485" s="1"/>
      <c r="J485" s="1"/>
      <c r="K485" s="1"/>
      <c r="L485" s="1"/>
      <c r="M485" s="1"/>
      <c r="N485" s="1"/>
      <c r="O485" s="1"/>
      <c r="P485" s="82"/>
      <c r="Q485" s="1"/>
      <c r="R485" s="1"/>
      <c r="S485" s="83"/>
      <c r="T485" s="1"/>
      <c r="U485" s="1"/>
      <c r="V485" s="1"/>
      <c r="W485" s="1"/>
      <c r="X485" s="1"/>
      <c r="Y485" s="1"/>
    </row>
    <row r="486">
      <c r="A486" s="49"/>
      <c r="B486" s="87" t="str">
        <f>IFERROR(VLOOKUP(C486, 'Tổng hợp thông tin sinh viên'!A:E, 2, 0), "")</f>
        <v>Lê Trung Kiên</v>
      </c>
      <c r="C486" s="88" t="s">
        <v>560</v>
      </c>
      <c r="D486" s="88" t="str">
        <f>IFERROR(VLOOKUP(C486, 'Tổng hợp thông tin sinh viên'!A:E, 3, 0), "")</f>
        <v>kien.lt225023@sis.hust.edu.vn</v>
      </c>
      <c r="E486" s="88" t="str">
        <f>IFERROR(VLOOKUP(C486, 'Tổng hợp thông tin sinh viên'!A:E, 5, 0), "")</f>
        <v>Khoa học máy tính 07-K67</v>
      </c>
      <c r="F486" s="49"/>
      <c r="G486" s="1"/>
      <c r="H486" s="1"/>
      <c r="I486" s="1"/>
      <c r="J486" s="1"/>
      <c r="K486" s="1"/>
      <c r="L486" s="1"/>
      <c r="M486" s="1"/>
      <c r="N486" s="1"/>
      <c r="O486" s="1"/>
      <c r="P486" s="82"/>
      <c r="Q486" s="1"/>
      <c r="R486" s="1"/>
      <c r="S486" s="83"/>
      <c r="T486" s="1"/>
      <c r="U486" s="1"/>
      <c r="V486" s="1"/>
      <c r="W486" s="1"/>
      <c r="X486" s="1"/>
      <c r="Y486" s="1"/>
    </row>
    <row r="487">
      <c r="A487" s="49"/>
      <c r="B487" s="87" t="str">
        <f>IFERROR(VLOOKUP(C487, 'Tổng hợp thông tin sinh viên'!A:E, 2, 0), "")</f>
        <v>Hoàng Hà Sơn</v>
      </c>
      <c r="C487" s="88" t="s">
        <v>561</v>
      </c>
      <c r="D487" s="88" t="str">
        <f>IFERROR(VLOOKUP(C487, 'Tổng hợp thông tin sinh viên'!A:E, 3, 0), "")</f>
        <v>son.hh220122@sis.hust.edu.vn</v>
      </c>
      <c r="E487" s="88" t="str">
        <f>IFERROR(VLOOKUP(C487, 'Tổng hợp thông tin sinh viên'!A:E, 5, 0), "")</f>
        <v>Khoa học máy tính 07-K67</v>
      </c>
      <c r="F487" s="49"/>
      <c r="G487" s="1"/>
      <c r="H487" s="1"/>
      <c r="I487" s="1"/>
      <c r="J487" s="1"/>
      <c r="K487" s="1"/>
      <c r="L487" s="1"/>
      <c r="M487" s="1"/>
      <c r="N487" s="1"/>
      <c r="O487" s="1"/>
      <c r="P487" s="82"/>
      <c r="Q487" s="1"/>
      <c r="R487" s="1"/>
      <c r="S487" s="83"/>
      <c r="T487" s="1"/>
      <c r="U487" s="1"/>
      <c r="V487" s="1"/>
      <c r="W487" s="1"/>
      <c r="X487" s="1"/>
      <c r="Y487" s="1"/>
    </row>
    <row r="488">
      <c r="A488" s="49"/>
      <c r="B488" s="87" t="str">
        <f>IFERROR(VLOOKUP(C488, 'Tổng hợp thông tin sinh viên'!A:E, 2, 0), "")</f>
        <v>Nguyễn Mạnh Hùng</v>
      </c>
      <c r="C488" s="88" t="s">
        <v>562</v>
      </c>
      <c r="D488" s="88" t="str">
        <f>IFERROR(VLOOKUP(C488, 'Tổng hợp thông tin sinh viên'!A:E, 3, 0), "")</f>
        <v>hung.nm224859@sis.hust.edu.vn</v>
      </c>
      <c r="E488" s="88" t="str">
        <f>IFERROR(VLOOKUP(C488, 'Tổng hợp thông tin sinh viên'!A:E, 5, 0), "")</f>
        <v>Khoa học máy tính 07-K67</v>
      </c>
      <c r="F488" s="49"/>
      <c r="G488" s="1"/>
      <c r="H488" s="1"/>
      <c r="I488" s="1"/>
      <c r="J488" s="1"/>
      <c r="K488" s="1"/>
      <c r="L488" s="1"/>
      <c r="M488" s="1"/>
      <c r="N488" s="1"/>
      <c r="O488" s="1"/>
      <c r="P488" s="82"/>
      <c r="Q488" s="1"/>
      <c r="R488" s="1"/>
      <c r="S488" s="83"/>
      <c r="T488" s="1"/>
      <c r="U488" s="1"/>
      <c r="V488" s="1"/>
      <c r="W488" s="1"/>
      <c r="X488" s="1"/>
      <c r="Y488" s="1"/>
    </row>
    <row r="489">
      <c r="A489" s="49"/>
      <c r="B489" s="87" t="str">
        <f>IFERROR(VLOOKUP(C489, 'Tổng hợp thông tin sinh viên'!A:E, 2, 0), "")</f>
        <v>Nguyễn Quốc Huy</v>
      </c>
      <c r="C489" s="88" t="s">
        <v>563</v>
      </c>
      <c r="D489" s="88" t="str">
        <f>IFERROR(VLOOKUP(C489, 'Tổng hợp thông tin sinh viên'!A:E, 3, 0), "")</f>
        <v>huy.nq225012@sis.hust.edu.vn</v>
      </c>
      <c r="E489" s="88" t="str">
        <f>IFERROR(VLOOKUP(C489, 'Tổng hợp thông tin sinh viên'!A:E, 5, 0), "")</f>
        <v>Khoa học máy tính 01-K67</v>
      </c>
      <c r="F489" s="49"/>
      <c r="G489" s="1"/>
      <c r="H489" s="1"/>
      <c r="I489" s="1"/>
      <c r="J489" s="1"/>
      <c r="K489" s="1"/>
      <c r="L489" s="1"/>
      <c r="M489" s="1"/>
      <c r="N489" s="1"/>
      <c r="O489" s="1"/>
      <c r="P489" s="82"/>
      <c r="Q489" s="1"/>
      <c r="R489" s="1"/>
      <c r="S489" s="83"/>
      <c r="T489" s="1"/>
      <c r="U489" s="1"/>
      <c r="V489" s="1"/>
      <c r="W489" s="1"/>
      <c r="X489" s="1"/>
      <c r="Y489" s="1"/>
    </row>
    <row r="490">
      <c r="A490" s="49"/>
      <c r="B490" s="70" t="str">
        <f>IFERROR(VLOOKUP(C490, 'Tổng hợp thông tin sinh viên'!A:E, 2, 0), "")</f>
        <v>Phạm Việt Hoàng</v>
      </c>
      <c r="C490" s="31" t="s">
        <v>564</v>
      </c>
      <c r="D490" s="31" t="str">
        <f>IFERROR(VLOOKUP(C490, 'Tổng hợp thông tin sinh viên'!A:E, 3, 0), "")</f>
        <v>hoang.pv224854@sis.hust.edu.vn</v>
      </c>
      <c r="E490" s="31" t="str">
        <f>IFERROR(VLOOKUP(C490, 'Tổng hợp thông tin sinh viên'!A:E, 5, 0), "")</f>
        <v>Khoa học máy tính 04-K67</v>
      </c>
      <c r="F490" s="49"/>
      <c r="G490" s="1"/>
      <c r="H490" s="1"/>
      <c r="I490" s="1"/>
      <c r="J490" s="1"/>
      <c r="K490" s="1"/>
      <c r="L490" s="1"/>
      <c r="M490" s="1"/>
      <c r="N490" s="1"/>
      <c r="O490" s="1"/>
      <c r="P490" s="82"/>
      <c r="Q490" s="1"/>
      <c r="R490" s="1"/>
      <c r="S490" s="83"/>
      <c r="T490" s="1"/>
      <c r="U490" s="1"/>
      <c r="V490" s="1"/>
      <c r="W490" s="1"/>
      <c r="X490" s="1"/>
      <c r="Y490" s="1"/>
    </row>
    <row r="491">
      <c r="A491" s="52"/>
      <c r="B491" s="70" t="str">
        <f>IFERROR(VLOOKUP(C491, 'Tổng hợp thông tin sinh viên'!A:E, 2, 0), "")</f>
        <v>Đoàn Mạnh Hùng</v>
      </c>
      <c r="C491" s="31" t="s">
        <v>565</v>
      </c>
      <c r="D491" s="31" t="str">
        <f>IFERROR(VLOOKUP(C491, 'Tổng hợp thông tin sinh viên'!A:E, 3, 0), "")</f>
        <v>hung.dm224995@sis.hust.edu.vn</v>
      </c>
      <c r="E491" s="31" t="str">
        <f>IFERROR(VLOOKUP(C491, 'Tổng hợp thông tin sinh viên'!A:E, 5, 0), "")</f>
        <v>Khoa học máy tính 03-K67</v>
      </c>
      <c r="F491" s="52"/>
      <c r="G491" s="1"/>
      <c r="H491" s="1"/>
      <c r="I491" s="1"/>
      <c r="J491" s="1"/>
      <c r="K491" s="1"/>
      <c r="L491" s="1"/>
      <c r="M491" s="1"/>
      <c r="N491" s="1"/>
      <c r="O491" s="1"/>
      <c r="P491" s="82"/>
      <c r="Q491" s="1"/>
      <c r="R491" s="1"/>
      <c r="S491" s="83"/>
      <c r="T491" s="1"/>
      <c r="U491" s="1"/>
      <c r="V491" s="1"/>
      <c r="W491" s="1"/>
      <c r="X491" s="1"/>
      <c r="Y491" s="1"/>
    </row>
    <row r="492">
      <c r="A492" s="77">
        <v>58.0</v>
      </c>
      <c r="B492" s="78" t="str">
        <f>IFERROR(VLOOKUP(C492, 'Tổng hợp thông tin sinh viên'!A:E, 2, 0), "")</f>
        <v>Dương Trường Giang</v>
      </c>
      <c r="C492" s="79" t="s">
        <v>566</v>
      </c>
      <c r="D492" s="27" t="str">
        <f>IFERROR(VLOOKUP(C492, 'Tổng hợp thông tin sinh viên'!A:E, 3, 0), "")</f>
        <v>giang.dt224972@sis.hust.edu.vn</v>
      </c>
      <c r="E492" s="27" t="str">
        <f>IFERROR(VLOOKUP(C492, 'Tổng hợp thông tin sinh viên'!A:E, 5, 0), "")</f>
        <v>Khoa học máy tính 06-K67</v>
      </c>
      <c r="F492" s="71" t="str">
        <f>IF(COUNTBLANK(C492:C501) = 0, "Đủ", "Thiếu: " &amp; COUNTBLANK(C492:C501))</f>
        <v>Thiếu: 1</v>
      </c>
      <c r="G492" s="1"/>
      <c r="H492" s="1"/>
      <c r="I492" s="1"/>
      <c r="J492" s="1"/>
      <c r="K492" s="1"/>
      <c r="L492" s="1"/>
      <c r="M492" s="1"/>
      <c r="N492" s="1"/>
      <c r="O492" s="1"/>
      <c r="P492" s="82"/>
      <c r="Q492" s="1"/>
      <c r="R492" s="1"/>
      <c r="S492" s="83"/>
      <c r="T492" s="1"/>
      <c r="U492" s="1"/>
      <c r="V492" s="1"/>
      <c r="W492" s="1"/>
      <c r="X492" s="1"/>
      <c r="Y492" s="1"/>
    </row>
    <row r="493">
      <c r="A493" s="49"/>
      <c r="B493" s="78" t="str">
        <f>IFERROR(VLOOKUP(C493, 'Tổng hợp thông tin sinh viên'!A:E, 2, 0), "")</f>
        <v>Lò Hải Long</v>
      </c>
      <c r="C493" s="27" t="s">
        <v>567</v>
      </c>
      <c r="D493" s="27" t="str">
        <f>IFERROR(VLOOKUP(C493, 'Tổng hợp thông tin sinh viên'!A:E, 3, 0), "")</f>
        <v>long.lh224873@sis.hust.edu.vn</v>
      </c>
      <c r="E493" s="27" t="str">
        <f>IFERROR(VLOOKUP(C493, 'Tổng hợp thông tin sinh viên'!A:E, 5, 0), "")</f>
        <v>CTTN-Khoa học máy tính-K67</v>
      </c>
      <c r="F493" s="49"/>
      <c r="G493" s="1"/>
      <c r="H493" s="1"/>
      <c r="I493" s="1"/>
      <c r="J493" s="1"/>
      <c r="K493" s="1"/>
      <c r="L493" s="1"/>
      <c r="M493" s="1"/>
      <c r="N493" s="1"/>
      <c r="O493" s="1"/>
      <c r="P493" s="82"/>
      <c r="Q493" s="1"/>
      <c r="R493" s="1"/>
      <c r="S493" s="83"/>
      <c r="T493" s="1"/>
      <c r="U493" s="1"/>
      <c r="V493" s="1"/>
      <c r="W493" s="1"/>
      <c r="X493" s="1"/>
      <c r="Y493" s="1"/>
    </row>
    <row r="494">
      <c r="A494" s="49"/>
      <c r="B494" s="78" t="str">
        <f>IFERROR(VLOOKUP(C494, 'Tổng hợp thông tin sinh viên'!A:E, 2, 0), "")</f>
        <v>Trần Quang Huân</v>
      </c>
      <c r="C494" s="27" t="s">
        <v>568</v>
      </c>
      <c r="D494" s="27" t="str">
        <f>IFERROR(VLOOKUP(C494, 'Tổng hợp thông tin sinh viên'!A:E, 3, 0), "")</f>
        <v>huan.tq215387@sis.hust.edu.vn</v>
      </c>
      <c r="E494" s="27" t="str">
        <f>IFERROR(VLOOKUP(C494, 'Tổng hợp thông tin sinh viên'!A:E, 5, 0), "")</f>
        <v>Khoa học máy tính 05-K66</v>
      </c>
      <c r="F494" s="49"/>
      <c r="G494" s="1"/>
      <c r="H494" s="1"/>
      <c r="I494" s="1"/>
      <c r="J494" s="1"/>
      <c r="K494" s="1"/>
      <c r="L494" s="1"/>
      <c r="M494" s="1"/>
      <c r="N494" s="1"/>
      <c r="O494" s="1"/>
      <c r="P494" s="82"/>
      <c r="Q494" s="1"/>
      <c r="R494" s="1"/>
      <c r="S494" s="83"/>
      <c r="T494" s="1"/>
      <c r="U494" s="1"/>
      <c r="V494" s="1"/>
      <c r="W494" s="1"/>
      <c r="X494" s="1"/>
      <c r="Y494" s="1"/>
    </row>
    <row r="495">
      <c r="A495" s="49"/>
      <c r="B495" s="78" t="str">
        <f>IFERROR(VLOOKUP(C495, 'Tổng hợp thông tin sinh viên'!A:E, 2, 0), "")</f>
        <v>Nguyễn Ngọc Tùng</v>
      </c>
      <c r="C495" s="27" t="s">
        <v>569</v>
      </c>
      <c r="D495" s="27" t="str">
        <f>IFERROR(VLOOKUP(C495, 'Tổng hợp thông tin sinh viên'!A:E, 3, 0), "")</f>
        <v>tung.nn220047@sis.hust.edu.vn</v>
      </c>
      <c r="E495" s="27" t="str">
        <f>IFERROR(VLOOKUP(C495, 'Tổng hợp thông tin sinh viên'!A:E, 5, 0), "")</f>
        <v>Khoa học máy tính 01-K67</v>
      </c>
      <c r="F495" s="49"/>
      <c r="G495" s="1"/>
      <c r="H495" s="1"/>
      <c r="I495" s="1"/>
      <c r="J495" s="1"/>
      <c r="K495" s="1"/>
      <c r="L495" s="1"/>
      <c r="M495" s="1"/>
      <c r="N495" s="1"/>
      <c r="O495" s="1"/>
      <c r="P495" s="82"/>
      <c r="Q495" s="1"/>
      <c r="R495" s="1"/>
      <c r="S495" s="83"/>
      <c r="T495" s="1"/>
      <c r="U495" s="1"/>
      <c r="V495" s="1"/>
      <c r="W495" s="1"/>
      <c r="X495" s="1"/>
      <c r="Y495" s="1"/>
    </row>
    <row r="496">
      <c r="A496" s="49"/>
      <c r="B496" s="78" t="str">
        <f>IFERROR(VLOOKUP(C496, 'Tổng hợp thông tin sinh viên'!A:E, 2, 0), "")</f>
        <v>Nguyễn Trịnh Hoàng Nguyên</v>
      </c>
      <c r="C496" s="27" t="s">
        <v>570</v>
      </c>
      <c r="D496" s="27" t="str">
        <f>IFERROR(VLOOKUP(C496, 'Tổng hợp thông tin sinh viên'!A:E, 3, 0), "")</f>
        <v>nguyen.nth225656@sis.hust.edu.vn</v>
      </c>
      <c r="E496" s="27" t="str">
        <f>IFERROR(VLOOKUP(C496, 'Tổng hợp thông tin sinh viên'!A:E, 5, 0), "")</f>
        <v>Việt Nhật 06-K67</v>
      </c>
      <c r="F496" s="49"/>
      <c r="G496" s="1"/>
      <c r="H496" s="1"/>
      <c r="I496" s="1"/>
      <c r="J496" s="1"/>
      <c r="K496" s="1"/>
      <c r="L496" s="1"/>
      <c r="M496" s="1"/>
      <c r="N496" s="1"/>
      <c r="O496" s="1"/>
      <c r="P496" s="82"/>
      <c r="Q496" s="1"/>
      <c r="R496" s="1"/>
      <c r="S496" s="83"/>
      <c r="T496" s="1"/>
      <c r="U496" s="1"/>
      <c r="V496" s="1"/>
      <c r="W496" s="1"/>
      <c r="X496" s="1"/>
      <c r="Y496" s="1"/>
    </row>
    <row r="497">
      <c r="A497" s="49"/>
      <c r="B497" s="78" t="str">
        <f>IFERROR(VLOOKUP(C497, 'Tổng hợp thông tin sinh viên'!A:E, 2, 0), "")</f>
        <v>Trần Đức Thu</v>
      </c>
      <c r="C497" s="27" t="s">
        <v>571</v>
      </c>
      <c r="D497" s="27" t="str">
        <f>IFERROR(VLOOKUP(C497, 'Tổng hợp thông tin sinh viên'!A:E, 3, 0), "")</f>
        <v>thu.td225412@sis.hust.edu.vn</v>
      </c>
      <c r="E497" s="27" t="str">
        <f>IFERROR(VLOOKUP(C497, 'Tổng hợp thông tin sinh viên'!A:E, 5, 0), "")</f>
        <v>Kỹ thuật máy tính 02-K67</v>
      </c>
      <c r="F497" s="49"/>
      <c r="G497" s="1"/>
      <c r="H497" s="1"/>
      <c r="I497" s="1"/>
      <c r="J497" s="1"/>
      <c r="K497" s="1"/>
      <c r="L497" s="1"/>
      <c r="M497" s="1"/>
      <c r="N497" s="1"/>
      <c r="O497" s="1"/>
      <c r="P497" s="82"/>
      <c r="Q497" s="1"/>
      <c r="R497" s="1"/>
      <c r="S497" s="83"/>
      <c r="T497" s="1"/>
      <c r="U497" s="1"/>
      <c r="V497" s="1"/>
      <c r="W497" s="1"/>
      <c r="X497" s="1"/>
      <c r="Y497" s="1"/>
    </row>
    <row r="498">
      <c r="A498" s="49"/>
      <c r="B498" s="78" t="str">
        <f>IFERROR(VLOOKUP(C498, 'Tổng hợp thông tin sinh viên'!A:E, 2, 0), "")</f>
        <v>Nguyễn Ngọc Dũng</v>
      </c>
      <c r="C498" s="27" t="s">
        <v>572</v>
      </c>
      <c r="D498" s="27" t="str">
        <f>IFERROR(VLOOKUP(C498, 'Tổng hợp thông tin sinh viên'!A:E, 3, 0), "")</f>
        <v>Dung.nn224962@sis.hust.edu.vn</v>
      </c>
      <c r="E498" s="27" t="str">
        <f>IFERROR(VLOOKUP(C498, 'Tổng hợp thông tin sinh viên'!A:E, 5, 0), "")</f>
        <v/>
      </c>
      <c r="F498" s="49"/>
      <c r="G498" s="1"/>
      <c r="H498" s="1"/>
      <c r="I498" s="1"/>
      <c r="J498" s="1"/>
      <c r="K498" s="1"/>
      <c r="L498" s="1"/>
      <c r="M498" s="1"/>
      <c r="N498" s="1"/>
      <c r="O498" s="1"/>
      <c r="P498" s="82"/>
      <c r="Q498" s="1"/>
      <c r="R498" s="1"/>
      <c r="S498" s="83"/>
      <c r="T498" s="1"/>
      <c r="U498" s="1"/>
      <c r="V498" s="1"/>
      <c r="W498" s="1"/>
      <c r="X498" s="1"/>
      <c r="Y498" s="1"/>
    </row>
    <row r="499">
      <c r="A499" s="49"/>
      <c r="B499" s="78" t="str">
        <f>IFERROR(VLOOKUP(C499, 'Tổng hợp thông tin sinh viên'!A:E, 2, 0), "")</f>
        <v>Phạm Hoàng Hải</v>
      </c>
      <c r="C499" s="27" t="s">
        <v>573</v>
      </c>
      <c r="D499" s="27" t="str">
        <f>IFERROR(VLOOKUP(C499, 'Tổng hợp thông tin sinh viên'!A:E, 3, 0), "")</f>
        <v>hai.ph194269@sis.hust.edu.vn</v>
      </c>
      <c r="E499" s="27" t="str">
        <f>IFERROR(VLOOKUP(C499, 'Tổng hợp thông tin sinh viên'!A:E, 5, 0), "")</f>
        <v>Kỹ thuật máy tính 04-K64</v>
      </c>
      <c r="F499" s="49"/>
      <c r="G499" s="1"/>
      <c r="H499" s="1"/>
      <c r="I499" s="1"/>
      <c r="J499" s="1"/>
      <c r="K499" s="1"/>
      <c r="L499" s="1"/>
      <c r="M499" s="1"/>
      <c r="N499" s="1"/>
      <c r="O499" s="1"/>
      <c r="P499" s="82"/>
      <c r="Q499" s="1"/>
      <c r="R499" s="1"/>
      <c r="S499" s="83"/>
      <c r="T499" s="1"/>
      <c r="U499" s="1"/>
      <c r="V499" s="1"/>
      <c r="W499" s="1"/>
      <c r="X499" s="1"/>
      <c r="Y499" s="1"/>
    </row>
    <row r="500">
      <c r="A500" s="49"/>
      <c r="B500" s="78"/>
      <c r="C500" s="27"/>
      <c r="D500" s="27"/>
      <c r="E500" s="27"/>
      <c r="F500" s="49"/>
      <c r="G500" s="1"/>
      <c r="H500" s="1"/>
      <c r="I500" s="1"/>
      <c r="J500" s="1"/>
      <c r="K500" s="1"/>
      <c r="L500" s="1"/>
      <c r="M500" s="1"/>
      <c r="N500" s="1"/>
      <c r="O500" s="1"/>
      <c r="P500" s="82"/>
      <c r="Q500" s="1"/>
      <c r="R500" s="1"/>
      <c r="S500" s="83"/>
      <c r="T500" s="1"/>
      <c r="U500" s="1"/>
      <c r="V500" s="1"/>
      <c r="W500" s="1"/>
      <c r="X500" s="1"/>
      <c r="Y500" s="1"/>
    </row>
    <row r="501">
      <c r="A501" s="52"/>
      <c r="B501" s="78" t="str">
        <f>IFERROR(VLOOKUP(C501, 'Tổng hợp thông tin sinh viên'!A:E, 2, 0), "")</f>
        <v>Phạm Công Chiến</v>
      </c>
      <c r="C501" s="27" t="s">
        <v>574</v>
      </c>
      <c r="D501" s="27" t="str">
        <f>IFERROR(VLOOKUP(C501, 'Tổng hợp thông tin sinh viên'!A:E, 3, 0), "")</f>
        <v>chien.pc224934@sis.hust.edu.vn</v>
      </c>
      <c r="E501" s="27" t="str">
        <f>IFERROR(VLOOKUP(C501, 'Tổng hợp thông tin sinh viên'!A:E, 5, 0), "")</f>
        <v>Khoa học máy tính 01-K67</v>
      </c>
      <c r="F501" s="52"/>
      <c r="G501" s="1"/>
      <c r="H501" s="1"/>
      <c r="I501" s="1"/>
      <c r="J501" s="1"/>
      <c r="K501" s="1"/>
      <c r="L501" s="1"/>
      <c r="M501" s="1"/>
      <c r="N501" s="1"/>
      <c r="O501" s="1"/>
      <c r="P501" s="82"/>
      <c r="Q501" s="1"/>
      <c r="R501" s="1"/>
      <c r="S501" s="83"/>
      <c r="T501" s="1"/>
      <c r="U501" s="1"/>
      <c r="V501" s="1"/>
      <c r="W501" s="1"/>
      <c r="X501" s="1"/>
      <c r="Y501" s="1"/>
    </row>
    <row r="502">
      <c r="A502" s="69">
        <v>59.0</v>
      </c>
      <c r="B502" s="70" t="str">
        <f>IFERROR(VLOOKUP(C502, 'Tổng hợp thông tin sinh viên'!A:E, 2, 0), "")</f>
        <v>Đoàn Tiến Dũng</v>
      </c>
      <c r="C502" s="86" t="s">
        <v>575</v>
      </c>
      <c r="D502" s="31" t="str">
        <f>IFERROR(VLOOKUP(C502, 'Tổng hợp thông tin sinh viên'!A:E, 3, 0), "")</f>
        <v>dung.dt220072@sis.hust.edu.vn</v>
      </c>
      <c r="E502" s="31" t="str">
        <f>IFERROR(VLOOKUP(C502, 'Tổng hợp thông tin sinh viên'!A:E, 5, 0), "")</f>
        <v>ICT 01-K67</v>
      </c>
      <c r="F502" s="71" t="str">
        <f>IF(COUNTBLANK(C502:C511) = 0, "Đủ", "Thiếu: " &amp; COUNTBLANK(C502:C511))</f>
        <v>Thiếu: 1</v>
      </c>
      <c r="G502" s="1"/>
      <c r="H502" s="1"/>
      <c r="I502" s="1"/>
      <c r="J502" s="1"/>
      <c r="K502" s="1"/>
      <c r="L502" s="1"/>
      <c r="M502" s="1"/>
      <c r="N502" s="1"/>
      <c r="O502" s="1"/>
      <c r="P502" s="82"/>
      <c r="Q502" s="1"/>
      <c r="R502" s="1"/>
      <c r="S502" s="83"/>
      <c r="T502" s="1"/>
      <c r="U502" s="1"/>
      <c r="V502" s="1"/>
      <c r="W502" s="1"/>
      <c r="X502" s="1"/>
      <c r="Y502" s="1"/>
    </row>
    <row r="503">
      <c r="A503" s="49"/>
      <c r="B503" s="70" t="str">
        <f>IFERROR(VLOOKUP(C503, 'Tổng hợp thông tin sinh viên'!A:E, 2, 0), "")</f>
        <v>Đỗ Đình Hoàng</v>
      </c>
      <c r="C503" s="86" t="s">
        <v>576</v>
      </c>
      <c r="D503" s="31" t="str">
        <f>IFERROR(VLOOKUP(C503, 'Tổng hợp thông tin sinh viên'!A:E, 3, 0), "")</f>
        <v>hoang.dd225445@sis.hust.edu.vn</v>
      </c>
      <c r="E503" s="31" t="str">
        <f>IFERROR(VLOOKUP(C503, 'Tổng hợp thông tin sinh viên'!A:E, 5, 0), "")</f>
        <v>CTTT Data Science &amp; AI 03-K67</v>
      </c>
      <c r="F503" s="49"/>
      <c r="G503" s="1"/>
      <c r="H503" s="1"/>
      <c r="I503" s="1"/>
      <c r="J503" s="1"/>
      <c r="K503" s="1"/>
      <c r="L503" s="1"/>
      <c r="M503" s="1"/>
      <c r="N503" s="1"/>
      <c r="O503" s="1"/>
      <c r="P503" s="82"/>
      <c r="Q503" s="1"/>
      <c r="R503" s="1"/>
      <c r="S503" s="83"/>
      <c r="T503" s="1"/>
      <c r="U503" s="1"/>
      <c r="V503" s="1"/>
      <c r="W503" s="1"/>
      <c r="X503" s="1"/>
      <c r="Y503" s="1"/>
    </row>
    <row r="504">
      <c r="A504" s="49"/>
      <c r="B504" s="70" t="str">
        <f>IFERROR(VLOOKUP(C504, 'Tổng hợp thông tin sinh viên'!A:E, 2, 0), "")</f>
        <v>Phạm Công Hiếu</v>
      </c>
      <c r="C504" s="86" t="s">
        <v>577</v>
      </c>
      <c r="D504" s="31" t="str">
        <f>IFERROR(VLOOKUP(C504, 'Tổng hợp thông tin sinh viên'!A:E, 3, 0), "")</f>
        <v>hieu.pc225493@sis.hust.edu.vn</v>
      </c>
      <c r="E504" s="31" t="str">
        <f>IFERROR(VLOOKUP(C504, 'Tổng hợp thông tin sinh viên'!A:E, 5, 0), "")</f>
        <v>CTTT Data Science &amp; AI 02-K67</v>
      </c>
      <c r="F504" s="49"/>
      <c r="G504" s="1"/>
      <c r="H504" s="1"/>
      <c r="I504" s="1"/>
      <c r="J504" s="1"/>
      <c r="K504" s="1"/>
      <c r="L504" s="1"/>
      <c r="M504" s="1"/>
      <c r="N504" s="1"/>
      <c r="O504" s="1"/>
      <c r="P504" s="82"/>
      <c r="Q504" s="1"/>
      <c r="R504" s="1"/>
      <c r="S504" s="83"/>
      <c r="T504" s="1"/>
      <c r="U504" s="1"/>
      <c r="V504" s="1"/>
      <c r="W504" s="1"/>
      <c r="X504" s="1"/>
      <c r="Y504" s="1"/>
    </row>
    <row r="505">
      <c r="A505" s="49"/>
      <c r="B505" s="70" t="str">
        <f>IFERROR(VLOOKUP(C505, 'Tổng hợp thông tin sinh viên'!A:E, 2, 0), "")</f>
        <v>Vũ Minh Hiển</v>
      </c>
      <c r="C505" s="86" t="s">
        <v>578</v>
      </c>
      <c r="D505" s="31" t="str">
        <f>IFERROR(VLOOKUP(C505, 'Tổng hợp thông tin sinh viên'!A:E, 3, 0), "")</f>
        <v>hien.vm210324@sis.hust.edu.vn</v>
      </c>
      <c r="E505" s="31" t="str">
        <f>IFERROR(VLOOKUP(C505, 'Tổng hợp thông tin sinh viên'!A:E, 5, 0), "")</f>
        <v>Kỹ thuật máy tính 02-K66</v>
      </c>
      <c r="F505" s="49"/>
      <c r="G505" s="1"/>
      <c r="H505" s="1"/>
      <c r="I505" s="1"/>
      <c r="J505" s="1"/>
      <c r="K505" s="1"/>
      <c r="L505" s="1"/>
      <c r="M505" s="1"/>
      <c r="N505" s="1"/>
      <c r="O505" s="1"/>
      <c r="P505" s="82"/>
      <c r="Q505" s="1"/>
      <c r="R505" s="1"/>
      <c r="S505" s="83"/>
      <c r="T505" s="1"/>
      <c r="U505" s="1"/>
      <c r="V505" s="1"/>
      <c r="W505" s="1"/>
      <c r="X505" s="1"/>
      <c r="Y505" s="1"/>
    </row>
    <row r="506">
      <c r="A506" s="49"/>
      <c r="B506" s="70" t="str">
        <f>IFERROR(VLOOKUP(C506, 'Tổng hợp thông tin sinh viên'!A:E, 2, 0), "")</f>
        <v>Nguyễn Tuấn Đạt</v>
      </c>
      <c r="C506" s="86" t="s">
        <v>579</v>
      </c>
      <c r="D506" s="31" t="str">
        <f>IFERROR(VLOOKUP(C506, 'Tổng hợp thông tin sinh viên'!A:E, 3, 0), "")</f>
        <v>dat.nt225605@sis.hust.edu.vn</v>
      </c>
      <c r="E506" s="31" t="str">
        <f>IFERROR(VLOOKUP(C506, 'Tổng hợp thông tin sinh viên'!A:E, 5, 0), "")</f>
        <v>Việt Nhật 04-K67</v>
      </c>
      <c r="F506" s="49"/>
      <c r="G506" s="1"/>
      <c r="H506" s="1"/>
      <c r="I506" s="1"/>
      <c r="J506" s="1"/>
      <c r="K506" s="1"/>
      <c r="L506" s="1"/>
      <c r="M506" s="1"/>
      <c r="N506" s="1"/>
      <c r="O506" s="1"/>
      <c r="P506" s="82"/>
      <c r="Q506" s="1"/>
      <c r="R506" s="1"/>
      <c r="S506" s="83"/>
      <c r="T506" s="1"/>
      <c r="U506" s="1"/>
      <c r="V506" s="1"/>
      <c r="W506" s="1"/>
      <c r="X506" s="1"/>
      <c r="Y506" s="1"/>
    </row>
    <row r="507">
      <c r="A507" s="49"/>
      <c r="B507" s="72" t="s">
        <v>580</v>
      </c>
      <c r="C507" s="73">
        <v>2.0224922E7</v>
      </c>
      <c r="D507" s="73" t="s">
        <v>581</v>
      </c>
      <c r="E507" s="73" t="s">
        <v>582</v>
      </c>
      <c r="F507" s="49"/>
      <c r="G507" s="1"/>
      <c r="H507" s="1"/>
      <c r="I507" s="1"/>
      <c r="J507" s="1"/>
      <c r="K507" s="1"/>
      <c r="L507" s="1"/>
      <c r="M507" s="1"/>
      <c r="N507" s="1"/>
      <c r="O507" s="1"/>
      <c r="P507" s="82"/>
      <c r="Q507" s="1"/>
      <c r="R507" s="1"/>
      <c r="S507" s="83"/>
      <c r="T507" s="1"/>
      <c r="U507" s="1"/>
      <c r="V507" s="1"/>
      <c r="W507" s="1"/>
      <c r="X507" s="1"/>
      <c r="Y507" s="1"/>
    </row>
    <row r="508">
      <c r="A508" s="49"/>
      <c r="B508" s="70" t="s">
        <v>583</v>
      </c>
      <c r="C508" s="31" t="s">
        <v>584</v>
      </c>
      <c r="D508" s="31" t="s">
        <v>585</v>
      </c>
      <c r="E508" s="31" t="s">
        <v>586</v>
      </c>
      <c r="F508" s="49"/>
      <c r="G508" s="1"/>
      <c r="H508" s="1"/>
      <c r="I508" s="1"/>
      <c r="J508" s="1"/>
      <c r="K508" s="1"/>
      <c r="L508" s="1"/>
      <c r="M508" s="1"/>
      <c r="N508" s="1"/>
      <c r="O508" s="1"/>
      <c r="P508" s="82"/>
      <c r="Q508" s="1"/>
      <c r="R508" s="1"/>
      <c r="S508" s="83"/>
      <c r="T508" s="1"/>
      <c r="U508" s="1"/>
      <c r="V508" s="1"/>
      <c r="W508" s="1"/>
      <c r="X508" s="1"/>
      <c r="Y508" s="1"/>
    </row>
    <row r="509">
      <c r="A509" s="49"/>
      <c r="B509" s="70" t="s">
        <v>587</v>
      </c>
      <c r="C509" s="31" t="s">
        <v>588</v>
      </c>
      <c r="D509" s="31" t="s">
        <v>589</v>
      </c>
      <c r="E509" s="31" t="s">
        <v>590</v>
      </c>
      <c r="F509" s="49"/>
      <c r="G509" s="1"/>
      <c r="H509" s="1"/>
      <c r="I509" s="1"/>
      <c r="J509" s="1"/>
      <c r="K509" s="1"/>
      <c r="L509" s="1"/>
      <c r="M509" s="1"/>
      <c r="N509" s="1"/>
      <c r="O509" s="1"/>
      <c r="P509" s="82"/>
      <c r="Q509" s="1"/>
      <c r="R509" s="1"/>
      <c r="S509" s="83"/>
      <c r="T509" s="1"/>
      <c r="U509" s="1"/>
      <c r="V509" s="1"/>
      <c r="W509" s="1"/>
      <c r="X509" s="1"/>
      <c r="Y509" s="1"/>
    </row>
    <row r="510">
      <c r="A510" s="49"/>
      <c r="B510" s="70" t="s">
        <v>591</v>
      </c>
      <c r="C510" s="89" t="s">
        <v>592</v>
      </c>
      <c r="D510" s="31" t="s">
        <v>593</v>
      </c>
      <c r="E510" s="31" t="s">
        <v>586</v>
      </c>
      <c r="F510" s="49"/>
      <c r="G510" s="1"/>
      <c r="H510" s="1"/>
      <c r="I510" s="1"/>
      <c r="J510" s="1"/>
      <c r="K510" s="1"/>
      <c r="L510" s="1"/>
      <c r="M510" s="1"/>
      <c r="N510" s="1"/>
      <c r="O510" s="1"/>
      <c r="P510" s="82"/>
      <c r="Q510" s="1"/>
      <c r="R510" s="1"/>
      <c r="S510" s="83"/>
      <c r="T510" s="1"/>
      <c r="U510" s="1"/>
      <c r="V510" s="1"/>
      <c r="W510" s="1"/>
      <c r="X510" s="1"/>
      <c r="Y510" s="1"/>
    </row>
    <row r="511">
      <c r="A511" s="52"/>
      <c r="B511" s="70"/>
      <c r="C511" s="31"/>
      <c r="D511" s="31"/>
      <c r="E511" s="31"/>
      <c r="F511" s="52"/>
      <c r="G511" s="1"/>
      <c r="H511" s="1"/>
      <c r="I511" s="1"/>
      <c r="J511" s="1"/>
      <c r="K511" s="1"/>
      <c r="L511" s="1"/>
      <c r="M511" s="1"/>
      <c r="N511" s="1"/>
      <c r="O511" s="1"/>
      <c r="P511" s="82"/>
      <c r="Q511" s="1"/>
      <c r="R511" s="1"/>
      <c r="S511" s="83"/>
      <c r="T511" s="1"/>
      <c r="U511" s="1"/>
      <c r="V511" s="1"/>
      <c r="W511" s="1"/>
      <c r="X511" s="1"/>
      <c r="Y511" s="1"/>
    </row>
    <row r="512">
      <c r="A512" s="77">
        <v>60.0</v>
      </c>
      <c r="B512" s="78"/>
      <c r="C512" s="90"/>
      <c r="D512" s="27"/>
      <c r="E512" s="27"/>
      <c r="F512" s="71" t="str">
        <f>IF(COUNTBLANK(C512:C521) = 0, "Đủ", "Thiếu: " &amp; COUNTBLANK(C512:C521))</f>
        <v>Thiếu: 10</v>
      </c>
      <c r="G512" s="1"/>
      <c r="H512" s="1"/>
      <c r="I512" s="1"/>
      <c r="J512" s="1"/>
      <c r="K512" s="1"/>
      <c r="L512" s="1"/>
      <c r="M512" s="1"/>
      <c r="N512" s="1"/>
      <c r="O512" s="1"/>
      <c r="P512" s="82"/>
      <c r="Q512" s="1"/>
      <c r="R512" s="1"/>
      <c r="S512" s="83"/>
      <c r="T512" s="1"/>
      <c r="U512" s="1"/>
      <c r="V512" s="1"/>
      <c r="W512" s="1"/>
      <c r="X512" s="1"/>
      <c r="Y512" s="1"/>
    </row>
    <row r="513">
      <c r="A513" s="49"/>
      <c r="B513" s="78" t="str">
        <f>IFERROR(VLOOKUP(C513, 'Tổng hợp thông tin sinh viên'!A:E, 2, 0), "")</f>
        <v/>
      </c>
      <c r="C513" s="27"/>
      <c r="D513" s="27" t="str">
        <f>IFERROR(VLOOKUP(C513, 'Tổng hợp thông tin sinh viên'!A:E, 3, 0), "")</f>
        <v/>
      </c>
      <c r="E513" s="27" t="str">
        <f>IFERROR(VLOOKUP(C513, 'Tổng hợp thông tin sinh viên'!A:E, 5, 0), "")</f>
        <v/>
      </c>
      <c r="F513" s="49"/>
      <c r="G513" s="1"/>
      <c r="H513" s="1"/>
      <c r="I513" s="1"/>
      <c r="J513" s="1"/>
      <c r="K513" s="1"/>
      <c r="L513" s="1"/>
      <c r="M513" s="1"/>
      <c r="N513" s="1"/>
      <c r="O513" s="1"/>
      <c r="P513" s="82"/>
      <c r="Q513" s="1"/>
      <c r="R513" s="1"/>
      <c r="S513" s="83"/>
      <c r="T513" s="1"/>
      <c r="U513" s="1"/>
      <c r="V513" s="1"/>
      <c r="W513" s="1"/>
      <c r="X513" s="1"/>
      <c r="Y513" s="1"/>
    </row>
    <row r="514">
      <c r="A514" s="49"/>
      <c r="B514" s="78" t="str">
        <f>IFERROR(VLOOKUP(C514, 'Tổng hợp thông tin sinh viên'!A:E, 2, 0), "")</f>
        <v/>
      </c>
      <c r="C514" s="27"/>
      <c r="D514" s="27" t="str">
        <f>IFERROR(VLOOKUP(C514, 'Tổng hợp thông tin sinh viên'!A:E, 3, 0), "")</f>
        <v/>
      </c>
      <c r="E514" s="27" t="str">
        <f>IFERROR(VLOOKUP(C514, 'Tổng hợp thông tin sinh viên'!A:E, 5, 0), "")</f>
        <v/>
      </c>
      <c r="F514" s="49"/>
      <c r="G514" s="1"/>
      <c r="H514" s="1"/>
      <c r="I514" s="1"/>
      <c r="J514" s="1"/>
      <c r="K514" s="1"/>
      <c r="L514" s="1"/>
      <c r="M514" s="1"/>
      <c r="N514" s="1"/>
      <c r="O514" s="1"/>
      <c r="P514" s="82"/>
      <c r="Q514" s="1"/>
      <c r="R514" s="1"/>
      <c r="S514" s="83"/>
      <c r="T514" s="1"/>
      <c r="U514" s="1"/>
      <c r="V514" s="1"/>
      <c r="W514" s="1"/>
      <c r="X514" s="1"/>
      <c r="Y514" s="1"/>
    </row>
    <row r="515">
      <c r="A515" s="49"/>
      <c r="B515" s="78" t="str">
        <f>IFERROR(VLOOKUP(C515, 'Tổng hợp thông tin sinh viên'!A:E, 2, 0), "")</f>
        <v/>
      </c>
      <c r="C515" s="27"/>
      <c r="D515" s="27" t="str">
        <f>IFERROR(VLOOKUP(C515, 'Tổng hợp thông tin sinh viên'!A:E, 3, 0), "")</f>
        <v/>
      </c>
      <c r="E515" s="27" t="str">
        <f>IFERROR(VLOOKUP(C515, 'Tổng hợp thông tin sinh viên'!A:E, 5, 0), "")</f>
        <v/>
      </c>
      <c r="F515" s="49"/>
      <c r="G515" s="1"/>
      <c r="H515" s="1"/>
      <c r="I515" s="1"/>
      <c r="J515" s="1"/>
      <c r="K515" s="1"/>
      <c r="L515" s="1"/>
      <c r="M515" s="1"/>
      <c r="N515" s="1"/>
      <c r="O515" s="1"/>
      <c r="P515" s="82"/>
      <c r="Q515" s="1"/>
      <c r="R515" s="1"/>
      <c r="S515" s="83"/>
      <c r="T515" s="1"/>
      <c r="U515" s="1"/>
      <c r="V515" s="1"/>
      <c r="W515" s="1"/>
      <c r="X515" s="1"/>
      <c r="Y515" s="1"/>
    </row>
    <row r="516">
      <c r="A516" s="49"/>
      <c r="B516" s="78" t="str">
        <f>IFERROR(VLOOKUP(C516, 'Tổng hợp thông tin sinh viên'!A:E, 2, 0), "")</f>
        <v/>
      </c>
      <c r="C516" s="27"/>
      <c r="D516" s="27" t="str">
        <f>IFERROR(VLOOKUP(C516, 'Tổng hợp thông tin sinh viên'!A:E, 3, 0), "")</f>
        <v/>
      </c>
      <c r="E516" s="27" t="str">
        <f>IFERROR(VLOOKUP(C516, 'Tổng hợp thông tin sinh viên'!A:E, 5, 0), "")</f>
        <v/>
      </c>
      <c r="F516" s="49"/>
      <c r="G516" s="1"/>
      <c r="H516" s="1"/>
      <c r="I516" s="1"/>
      <c r="J516" s="1"/>
      <c r="K516" s="1"/>
      <c r="L516" s="1"/>
      <c r="M516" s="1"/>
      <c r="N516" s="1"/>
      <c r="O516" s="1"/>
      <c r="P516" s="82"/>
      <c r="Q516" s="1"/>
      <c r="R516" s="1"/>
      <c r="S516" s="83"/>
      <c r="T516" s="1"/>
      <c r="U516" s="1"/>
      <c r="V516" s="1"/>
      <c r="W516" s="1"/>
      <c r="X516" s="1"/>
      <c r="Y516" s="1"/>
    </row>
    <row r="517">
      <c r="A517" s="49"/>
      <c r="B517" s="78" t="str">
        <f>IFERROR(VLOOKUP(C517, 'Tổng hợp thông tin sinh viên'!A:E, 2, 0), "")</f>
        <v/>
      </c>
      <c r="C517" s="27"/>
      <c r="D517" s="27" t="str">
        <f>IFERROR(VLOOKUP(C517, 'Tổng hợp thông tin sinh viên'!A:E, 3, 0), "")</f>
        <v/>
      </c>
      <c r="E517" s="27" t="str">
        <f>IFERROR(VLOOKUP(C517, 'Tổng hợp thông tin sinh viên'!A:E, 5, 0), "")</f>
        <v/>
      </c>
      <c r="F517" s="49"/>
      <c r="G517" s="1"/>
      <c r="H517" s="1"/>
      <c r="I517" s="1"/>
      <c r="J517" s="1"/>
      <c r="K517" s="1"/>
      <c r="L517" s="1"/>
      <c r="M517" s="1"/>
      <c r="N517" s="1"/>
      <c r="O517" s="1"/>
      <c r="P517" s="82"/>
      <c r="Q517" s="1"/>
      <c r="R517" s="1"/>
      <c r="S517" s="83"/>
      <c r="T517" s="1"/>
      <c r="U517" s="1"/>
      <c r="V517" s="1"/>
      <c r="W517" s="1"/>
      <c r="X517" s="1"/>
      <c r="Y517" s="1"/>
    </row>
    <row r="518">
      <c r="A518" s="49"/>
      <c r="B518" s="78" t="str">
        <f>IFERROR(VLOOKUP(C518, 'Tổng hợp thông tin sinh viên'!A:E, 2, 0), "")</f>
        <v/>
      </c>
      <c r="C518" s="27"/>
      <c r="D518" s="27" t="str">
        <f>IFERROR(VLOOKUP(C518, 'Tổng hợp thông tin sinh viên'!A:E, 3, 0), "")</f>
        <v/>
      </c>
      <c r="E518" s="27" t="str">
        <f>IFERROR(VLOOKUP(C518, 'Tổng hợp thông tin sinh viên'!A:E, 5, 0), "")</f>
        <v/>
      </c>
      <c r="F518" s="49"/>
      <c r="G518" s="1"/>
      <c r="H518" s="1"/>
      <c r="I518" s="1"/>
      <c r="J518" s="1"/>
      <c r="K518" s="1"/>
      <c r="L518" s="1"/>
      <c r="M518" s="1"/>
      <c r="N518" s="1"/>
      <c r="O518" s="1"/>
      <c r="P518" s="82"/>
      <c r="Q518" s="1"/>
      <c r="R518" s="1"/>
      <c r="S518" s="83"/>
      <c r="T518" s="1"/>
      <c r="U518" s="1"/>
      <c r="V518" s="1"/>
      <c r="W518" s="1"/>
      <c r="X518" s="1"/>
      <c r="Y518" s="1"/>
    </row>
    <row r="519">
      <c r="A519" s="49"/>
      <c r="B519" s="78" t="str">
        <f>IFERROR(VLOOKUP(C519, 'Tổng hợp thông tin sinh viên'!A:E, 2, 0), "")</f>
        <v/>
      </c>
      <c r="C519" s="27"/>
      <c r="D519" s="27" t="str">
        <f>IFERROR(VLOOKUP(C519, 'Tổng hợp thông tin sinh viên'!A:E, 3, 0), "")</f>
        <v/>
      </c>
      <c r="E519" s="27" t="str">
        <f>IFERROR(VLOOKUP(C519, 'Tổng hợp thông tin sinh viên'!A:E, 5, 0), "")</f>
        <v/>
      </c>
      <c r="F519" s="49"/>
      <c r="G519" s="1"/>
      <c r="H519" s="1"/>
      <c r="I519" s="1"/>
      <c r="J519" s="1"/>
      <c r="K519" s="1"/>
      <c r="L519" s="1"/>
      <c r="M519" s="1"/>
      <c r="N519" s="1"/>
      <c r="O519" s="1"/>
      <c r="P519" s="82"/>
      <c r="Q519" s="1"/>
      <c r="R519" s="1"/>
      <c r="S519" s="83"/>
      <c r="T519" s="1"/>
      <c r="U519" s="1"/>
      <c r="V519" s="1"/>
      <c r="W519" s="1"/>
      <c r="X519" s="1"/>
      <c r="Y519" s="1"/>
    </row>
    <row r="520">
      <c r="A520" s="49"/>
      <c r="B520" s="78" t="str">
        <f>IFERROR(VLOOKUP(C520, 'Tổng hợp thông tin sinh viên'!A:E, 2, 0), "")</f>
        <v/>
      </c>
      <c r="C520" s="27"/>
      <c r="D520" s="27" t="str">
        <f>IFERROR(VLOOKUP(C520, 'Tổng hợp thông tin sinh viên'!A:E, 3, 0), "")</f>
        <v/>
      </c>
      <c r="E520" s="27" t="str">
        <f>IFERROR(VLOOKUP(C520, 'Tổng hợp thông tin sinh viên'!A:E, 5, 0), "")</f>
        <v/>
      </c>
      <c r="F520" s="49"/>
      <c r="G520" s="1"/>
      <c r="H520" s="1"/>
      <c r="I520" s="1"/>
      <c r="J520" s="1"/>
      <c r="K520" s="1"/>
      <c r="L520" s="1"/>
      <c r="M520" s="1"/>
      <c r="N520" s="1"/>
      <c r="O520" s="1"/>
      <c r="P520" s="82"/>
      <c r="Q520" s="1"/>
      <c r="R520" s="1"/>
      <c r="S520" s="83"/>
      <c r="T520" s="1"/>
      <c r="U520" s="1"/>
      <c r="V520" s="1"/>
      <c r="W520" s="1"/>
      <c r="X520" s="1"/>
      <c r="Y520" s="1"/>
    </row>
    <row r="521">
      <c r="A521" s="52"/>
      <c r="B521" s="78" t="str">
        <f>IFERROR(VLOOKUP(C521, 'Tổng hợp thông tin sinh viên'!A:E, 2, 0), "")</f>
        <v/>
      </c>
      <c r="C521" s="27"/>
      <c r="D521" s="27" t="str">
        <f>IFERROR(VLOOKUP(C521, 'Tổng hợp thông tin sinh viên'!A:E, 3, 0), "")</f>
        <v/>
      </c>
      <c r="E521" s="27" t="str">
        <f>IFERROR(VLOOKUP(C521, 'Tổng hợp thông tin sinh viên'!A:E, 5, 0), "")</f>
        <v/>
      </c>
      <c r="F521" s="52"/>
      <c r="G521" s="1"/>
      <c r="H521" s="1"/>
      <c r="I521" s="1"/>
      <c r="J521" s="1"/>
      <c r="K521" s="1"/>
      <c r="L521" s="1"/>
      <c r="M521" s="1"/>
      <c r="N521" s="1"/>
      <c r="O521" s="1"/>
      <c r="P521" s="82"/>
      <c r="Q521" s="1"/>
      <c r="R521" s="1"/>
      <c r="S521" s="83"/>
      <c r="T521" s="1"/>
      <c r="U521" s="1"/>
      <c r="V521" s="1"/>
      <c r="W521" s="1"/>
      <c r="X521" s="1"/>
      <c r="Y521" s="1"/>
    </row>
    <row r="522">
      <c r="A522" s="1"/>
      <c r="B522" s="83"/>
      <c r="C522" s="91"/>
      <c r="D522" s="1"/>
      <c r="E522" s="1"/>
      <c r="F522" s="1">
        <f>countif(F2:F521, "Đủ")</f>
        <v>46</v>
      </c>
      <c r="G522" s="1"/>
      <c r="H522" s="1"/>
      <c r="I522" s="1"/>
      <c r="J522" s="1"/>
      <c r="K522" s="1"/>
      <c r="L522" s="1"/>
      <c r="M522" s="1"/>
      <c r="N522" s="1"/>
      <c r="O522" s="1"/>
      <c r="P522" s="82"/>
      <c r="Q522" s="1"/>
      <c r="R522" s="1"/>
      <c r="S522" s="83"/>
      <c r="T522" s="1"/>
      <c r="U522" s="1"/>
      <c r="V522" s="1"/>
      <c r="W522" s="1"/>
      <c r="X522" s="1"/>
      <c r="Y522" s="1"/>
    </row>
    <row r="523">
      <c r="A523" s="1"/>
      <c r="B523" s="83"/>
      <c r="C523" s="91"/>
      <c r="D523" s="1"/>
      <c r="E523" s="1"/>
      <c r="F523" s="1"/>
      <c r="G523" s="1"/>
      <c r="H523" s="1"/>
      <c r="I523" s="1"/>
      <c r="J523" s="1"/>
      <c r="K523" s="1"/>
      <c r="L523" s="1"/>
      <c r="M523" s="1"/>
      <c r="N523" s="1"/>
      <c r="O523" s="1"/>
      <c r="P523" s="82"/>
      <c r="Q523" s="1"/>
      <c r="R523" s="1"/>
      <c r="S523" s="83"/>
      <c r="T523" s="1"/>
      <c r="U523" s="1"/>
      <c r="V523" s="1"/>
      <c r="W523" s="1"/>
      <c r="X523" s="1"/>
      <c r="Y523" s="1"/>
    </row>
    <row r="524">
      <c r="A524" s="1"/>
      <c r="B524" s="83"/>
      <c r="C524" s="91"/>
      <c r="D524" s="1"/>
      <c r="E524" s="1"/>
      <c r="F524" s="1"/>
      <c r="G524" s="1"/>
      <c r="H524" s="1"/>
      <c r="I524" s="1"/>
      <c r="J524" s="1"/>
      <c r="K524" s="1"/>
      <c r="L524" s="1"/>
      <c r="M524" s="1"/>
      <c r="N524" s="1"/>
      <c r="O524" s="1"/>
      <c r="P524" s="82"/>
      <c r="Q524" s="1"/>
      <c r="R524" s="1"/>
      <c r="S524" s="83"/>
      <c r="T524" s="1"/>
      <c r="U524" s="1"/>
      <c r="V524" s="1"/>
      <c r="W524" s="1"/>
      <c r="X524" s="1"/>
      <c r="Y524" s="1"/>
    </row>
    <row r="525">
      <c r="A525" s="1"/>
      <c r="B525" s="83"/>
      <c r="C525" s="91"/>
      <c r="D525" s="1"/>
      <c r="E525" s="1"/>
      <c r="F525" s="1"/>
      <c r="G525" s="1"/>
      <c r="H525" s="1"/>
      <c r="I525" s="1"/>
      <c r="J525" s="1"/>
      <c r="K525" s="1"/>
      <c r="L525" s="1"/>
      <c r="M525" s="1"/>
      <c r="N525" s="1"/>
      <c r="O525" s="1"/>
      <c r="P525" s="82"/>
      <c r="Q525" s="1"/>
      <c r="R525" s="1"/>
      <c r="S525" s="83"/>
      <c r="T525" s="1"/>
      <c r="U525" s="1"/>
      <c r="V525" s="1"/>
      <c r="W525" s="1"/>
      <c r="X525" s="1"/>
      <c r="Y525" s="1"/>
    </row>
    <row r="526">
      <c r="A526" s="1"/>
      <c r="B526" s="83"/>
      <c r="C526" s="91"/>
      <c r="D526" s="1"/>
      <c r="E526" s="1"/>
      <c r="F526" s="1"/>
      <c r="G526" s="1"/>
      <c r="H526" s="1"/>
      <c r="I526" s="1"/>
      <c r="J526" s="1"/>
      <c r="K526" s="1"/>
      <c r="L526" s="1"/>
      <c r="M526" s="1"/>
      <c r="N526" s="1"/>
      <c r="O526" s="1"/>
      <c r="P526" s="82"/>
      <c r="Q526" s="1"/>
      <c r="R526" s="1"/>
      <c r="S526" s="83"/>
      <c r="T526" s="1"/>
      <c r="U526" s="1"/>
      <c r="V526" s="1"/>
      <c r="W526" s="1"/>
      <c r="X526" s="1"/>
      <c r="Y526" s="1"/>
    </row>
    <row r="527">
      <c r="A527" s="1"/>
      <c r="B527" s="83"/>
      <c r="C527" s="91"/>
      <c r="D527" s="1"/>
      <c r="E527" s="1"/>
      <c r="F527" s="1"/>
      <c r="G527" s="1"/>
      <c r="H527" s="1"/>
      <c r="I527" s="1"/>
      <c r="J527" s="1"/>
      <c r="K527" s="1"/>
      <c r="L527" s="1"/>
      <c r="M527" s="1"/>
      <c r="N527" s="1"/>
      <c r="O527" s="1"/>
      <c r="P527" s="82"/>
      <c r="Q527" s="1"/>
      <c r="R527" s="1"/>
      <c r="S527" s="83"/>
      <c r="T527" s="1"/>
      <c r="U527" s="1"/>
      <c r="V527" s="1"/>
      <c r="W527" s="1"/>
      <c r="X527" s="1"/>
      <c r="Y527" s="1"/>
    </row>
    <row r="528">
      <c r="A528" s="1"/>
      <c r="B528" s="83"/>
      <c r="C528" s="91"/>
      <c r="D528" s="1"/>
      <c r="E528" s="1"/>
      <c r="F528" s="1"/>
      <c r="G528" s="1"/>
      <c r="H528" s="1"/>
      <c r="I528" s="1"/>
      <c r="J528" s="1"/>
      <c r="K528" s="1"/>
      <c r="L528" s="1"/>
      <c r="M528" s="1"/>
      <c r="N528" s="1"/>
      <c r="O528" s="1"/>
      <c r="P528" s="82"/>
      <c r="Q528" s="1"/>
      <c r="R528" s="1"/>
      <c r="S528" s="83"/>
      <c r="T528" s="1"/>
      <c r="U528" s="1"/>
      <c r="V528" s="1"/>
      <c r="W528" s="1"/>
      <c r="X528" s="1"/>
      <c r="Y528" s="1"/>
    </row>
    <row r="529">
      <c r="A529" s="1"/>
      <c r="B529" s="83"/>
      <c r="C529" s="91"/>
      <c r="D529" s="1"/>
      <c r="E529" s="1"/>
      <c r="F529" s="1"/>
      <c r="G529" s="1"/>
      <c r="H529" s="1"/>
      <c r="I529" s="1"/>
      <c r="J529" s="1"/>
      <c r="K529" s="1"/>
      <c r="L529" s="1"/>
      <c r="M529" s="1"/>
      <c r="N529" s="1"/>
      <c r="O529" s="1"/>
      <c r="P529" s="82"/>
      <c r="Q529" s="1"/>
      <c r="R529" s="1"/>
      <c r="S529" s="83"/>
      <c r="T529" s="1"/>
      <c r="U529" s="1"/>
      <c r="V529" s="1"/>
      <c r="W529" s="1"/>
      <c r="X529" s="1"/>
      <c r="Y529" s="1"/>
    </row>
    <row r="530">
      <c r="A530" s="1"/>
      <c r="B530" s="83"/>
      <c r="C530" s="91"/>
      <c r="D530" s="1"/>
      <c r="E530" s="1"/>
      <c r="F530" s="1"/>
      <c r="G530" s="1"/>
      <c r="H530" s="1"/>
      <c r="I530" s="1"/>
      <c r="J530" s="1"/>
      <c r="K530" s="1"/>
      <c r="L530" s="1"/>
      <c r="M530" s="1"/>
      <c r="N530" s="1"/>
      <c r="O530" s="1"/>
      <c r="P530" s="82"/>
      <c r="Q530" s="1"/>
      <c r="R530" s="1"/>
      <c r="S530" s="83"/>
      <c r="T530" s="1"/>
      <c r="U530" s="1"/>
      <c r="V530" s="1"/>
      <c r="W530" s="1"/>
      <c r="X530" s="1"/>
      <c r="Y530" s="1"/>
    </row>
    <row r="531">
      <c r="A531" s="1"/>
      <c r="B531" s="83"/>
      <c r="C531" s="91"/>
      <c r="D531" s="1"/>
      <c r="E531" s="1"/>
      <c r="F531" s="1"/>
      <c r="G531" s="1"/>
      <c r="H531" s="1"/>
      <c r="I531" s="1"/>
      <c r="J531" s="1"/>
      <c r="K531" s="1"/>
      <c r="L531" s="1"/>
      <c r="M531" s="1"/>
      <c r="N531" s="1"/>
      <c r="O531" s="1"/>
      <c r="P531" s="82"/>
      <c r="Q531" s="1"/>
      <c r="R531" s="1"/>
      <c r="S531" s="83"/>
      <c r="T531" s="1"/>
      <c r="U531" s="1"/>
      <c r="V531" s="1"/>
      <c r="W531" s="1"/>
      <c r="X531" s="1"/>
      <c r="Y531" s="1"/>
    </row>
    <row r="532">
      <c r="A532" s="1"/>
      <c r="B532" s="83"/>
      <c r="C532" s="91"/>
      <c r="D532" s="1"/>
      <c r="E532" s="1"/>
      <c r="F532" s="1"/>
      <c r="G532" s="1"/>
      <c r="H532" s="1"/>
      <c r="I532" s="1"/>
      <c r="J532" s="1"/>
      <c r="K532" s="1"/>
      <c r="L532" s="1"/>
      <c r="M532" s="1"/>
      <c r="N532" s="1"/>
      <c r="O532" s="1"/>
      <c r="P532" s="82"/>
      <c r="Q532" s="1"/>
      <c r="R532" s="1"/>
      <c r="S532" s="83"/>
      <c r="T532" s="1"/>
      <c r="U532" s="1"/>
      <c r="V532" s="1"/>
      <c r="W532" s="1"/>
      <c r="X532" s="1"/>
      <c r="Y532" s="1"/>
    </row>
    <row r="533">
      <c r="A533" s="1"/>
      <c r="B533" s="83"/>
      <c r="C533" s="91"/>
      <c r="D533" s="1"/>
      <c r="E533" s="1"/>
      <c r="F533" s="1"/>
      <c r="G533" s="1"/>
      <c r="H533" s="1"/>
      <c r="I533" s="1"/>
      <c r="J533" s="1"/>
      <c r="K533" s="1"/>
      <c r="L533" s="1"/>
      <c r="M533" s="1"/>
      <c r="N533" s="1"/>
      <c r="O533" s="1"/>
      <c r="P533" s="82"/>
      <c r="Q533" s="1"/>
      <c r="R533" s="1"/>
      <c r="S533" s="83"/>
      <c r="T533" s="1"/>
      <c r="U533" s="1"/>
      <c r="V533" s="1"/>
      <c r="W533" s="1"/>
      <c r="X533" s="1"/>
      <c r="Y533" s="1"/>
    </row>
    <row r="534">
      <c r="A534" s="1"/>
      <c r="B534" s="83"/>
      <c r="C534" s="91"/>
      <c r="D534" s="1"/>
      <c r="E534" s="1"/>
      <c r="F534" s="1"/>
      <c r="G534" s="1"/>
      <c r="H534" s="1"/>
      <c r="I534" s="1"/>
      <c r="J534" s="1"/>
      <c r="K534" s="1"/>
      <c r="L534" s="1"/>
      <c r="M534" s="1"/>
      <c r="N534" s="1"/>
      <c r="O534" s="1"/>
      <c r="P534" s="82"/>
      <c r="Q534" s="1"/>
      <c r="R534" s="1"/>
      <c r="S534" s="83"/>
      <c r="T534" s="1"/>
      <c r="U534" s="1"/>
      <c r="V534" s="1"/>
      <c r="W534" s="1"/>
      <c r="X534" s="1"/>
      <c r="Y534" s="1"/>
    </row>
    <row r="535">
      <c r="A535" s="1"/>
      <c r="B535" s="83"/>
      <c r="C535" s="91"/>
      <c r="D535" s="1"/>
      <c r="E535" s="1"/>
      <c r="F535" s="1"/>
      <c r="G535" s="1"/>
      <c r="H535" s="1"/>
      <c r="I535" s="1"/>
      <c r="J535" s="1"/>
      <c r="K535" s="1"/>
      <c r="L535" s="1"/>
      <c r="M535" s="1"/>
      <c r="N535" s="1"/>
      <c r="O535" s="1"/>
      <c r="P535" s="82"/>
      <c r="Q535" s="1"/>
      <c r="R535" s="1"/>
      <c r="S535" s="83"/>
      <c r="T535" s="1"/>
      <c r="U535" s="1"/>
      <c r="V535" s="1"/>
      <c r="W535" s="1"/>
      <c r="X535" s="1"/>
      <c r="Y535" s="1"/>
    </row>
    <row r="536">
      <c r="A536" s="1"/>
      <c r="B536" s="83"/>
      <c r="C536" s="91"/>
      <c r="D536" s="1"/>
      <c r="E536" s="1"/>
      <c r="F536" s="1"/>
      <c r="G536" s="1"/>
      <c r="H536" s="1"/>
      <c r="I536" s="1"/>
      <c r="J536" s="1"/>
      <c r="K536" s="1"/>
      <c r="L536" s="1"/>
      <c r="M536" s="1"/>
      <c r="N536" s="1"/>
      <c r="O536" s="1"/>
      <c r="P536" s="82"/>
      <c r="Q536" s="1"/>
      <c r="R536" s="1"/>
      <c r="S536" s="83"/>
      <c r="T536" s="1"/>
      <c r="U536" s="1"/>
      <c r="V536" s="1"/>
      <c r="W536" s="1"/>
      <c r="X536" s="1"/>
      <c r="Y536" s="1"/>
    </row>
    <row r="537">
      <c r="A537" s="1"/>
      <c r="B537" s="83"/>
      <c r="C537" s="91"/>
      <c r="D537" s="1"/>
      <c r="E537" s="1"/>
      <c r="F537" s="1"/>
      <c r="G537" s="1"/>
      <c r="H537" s="1"/>
      <c r="I537" s="1"/>
      <c r="J537" s="1"/>
      <c r="K537" s="1"/>
      <c r="L537" s="1"/>
      <c r="M537" s="1"/>
      <c r="N537" s="1"/>
      <c r="O537" s="1"/>
      <c r="P537" s="82"/>
      <c r="Q537" s="1"/>
      <c r="R537" s="1"/>
      <c r="S537" s="83"/>
      <c r="T537" s="1"/>
      <c r="U537" s="1"/>
      <c r="V537" s="1"/>
      <c r="W537" s="1"/>
      <c r="X537" s="1"/>
      <c r="Y537" s="1"/>
    </row>
    <row r="538">
      <c r="A538" s="1"/>
      <c r="B538" s="83"/>
      <c r="C538" s="91"/>
      <c r="D538" s="1"/>
      <c r="E538" s="1"/>
      <c r="F538" s="1"/>
      <c r="G538" s="1"/>
      <c r="H538" s="1"/>
      <c r="I538" s="1"/>
      <c r="J538" s="1"/>
      <c r="K538" s="1"/>
      <c r="L538" s="1"/>
      <c r="M538" s="1"/>
      <c r="N538" s="1"/>
      <c r="O538" s="1"/>
      <c r="P538" s="82"/>
      <c r="Q538" s="1"/>
      <c r="R538" s="1"/>
      <c r="S538" s="83"/>
      <c r="T538" s="1"/>
      <c r="U538" s="1"/>
      <c r="V538" s="1"/>
      <c r="W538" s="1"/>
      <c r="X538" s="1"/>
      <c r="Y538" s="1"/>
    </row>
    <row r="539">
      <c r="A539" s="1"/>
      <c r="B539" s="83"/>
      <c r="C539" s="91"/>
      <c r="D539" s="1"/>
      <c r="E539" s="1"/>
      <c r="F539" s="1"/>
      <c r="G539" s="1"/>
      <c r="H539" s="1"/>
      <c r="I539" s="1"/>
      <c r="J539" s="1"/>
      <c r="K539" s="1"/>
      <c r="L539" s="1"/>
      <c r="M539" s="1"/>
      <c r="N539" s="1"/>
      <c r="O539" s="1"/>
      <c r="P539" s="82"/>
      <c r="Q539" s="1"/>
      <c r="R539" s="1"/>
      <c r="S539" s="83"/>
      <c r="T539" s="1"/>
      <c r="U539" s="1"/>
      <c r="V539" s="1"/>
      <c r="W539" s="1"/>
      <c r="X539" s="1"/>
      <c r="Y539" s="1"/>
    </row>
    <row r="540">
      <c r="A540" s="1"/>
      <c r="B540" s="83"/>
      <c r="C540" s="91"/>
      <c r="D540" s="1"/>
      <c r="E540" s="1"/>
      <c r="F540" s="1"/>
      <c r="G540" s="1"/>
      <c r="H540" s="1"/>
      <c r="I540" s="1"/>
      <c r="J540" s="1"/>
      <c r="K540" s="1"/>
      <c r="L540" s="1"/>
      <c r="M540" s="1"/>
      <c r="N540" s="1"/>
      <c r="O540" s="1"/>
      <c r="P540" s="82"/>
      <c r="Q540" s="1"/>
      <c r="R540" s="1"/>
      <c r="S540" s="83"/>
      <c r="T540" s="1"/>
      <c r="U540" s="1"/>
      <c r="V540" s="1"/>
      <c r="W540" s="1"/>
      <c r="X540" s="1"/>
      <c r="Y540" s="1"/>
    </row>
    <row r="541">
      <c r="A541" s="1"/>
      <c r="B541" s="83"/>
      <c r="C541" s="91"/>
      <c r="D541" s="1"/>
      <c r="E541" s="1"/>
      <c r="F541" s="1"/>
      <c r="G541" s="1"/>
      <c r="H541" s="1"/>
      <c r="I541" s="1"/>
      <c r="J541" s="1"/>
      <c r="K541" s="1"/>
      <c r="L541" s="1"/>
      <c r="M541" s="1"/>
      <c r="N541" s="1"/>
      <c r="O541" s="1"/>
      <c r="P541" s="82"/>
      <c r="Q541" s="1"/>
      <c r="R541" s="1"/>
      <c r="S541" s="83"/>
      <c r="T541" s="1"/>
      <c r="U541" s="1"/>
      <c r="V541" s="1"/>
      <c r="W541" s="1"/>
      <c r="X541" s="1"/>
      <c r="Y541" s="1"/>
    </row>
    <row r="542">
      <c r="A542" s="1"/>
      <c r="B542" s="83"/>
      <c r="C542" s="91"/>
      <c r="D542" s="1"/>
      <c r="E542" s="1"/>
      <c r="F542" s="1"/>
      <c r="G542" s="1"/>
      <c r="H542" s="1"/>
      <c r="I542" s="1"/>
      <c r="J542" s="1"/>
      <c r="K542" s="1"/>
      <c r="L542" s="1"/>
      <c r="M542" s="1"/>
      <c r="N542" s="1"/>
      <c r="O542" s="1"/>
      <c r="P542" s="82"/>
      <c r="Q542" s="1"/>
      <c r="R542" s="1"/>
      <c r="S542" s="83"/>
      <c r="T542" s="1"/>
      <c r="U542" s="1"/>
      <c r="V542" s="1"/>
      <c r="W542" s="1"/>
      <c r="X542" s="1"/>
      <c r="Y542" s="1"/>
    </row>
    <row r="543">
      <c r="A543" s="1"/>
      <c r="B543" s="83"/>
      <c r="C543" s="91"/>
      <c r="D543" s="1"/>
      <c r="E543" s="1"/>
      <c r="F543" s="1"/>
      <c r="G543" s="1"/>
      <c r="H543" s="1"/>
      <c r="I543" s="1"/>
      <c r="J543" s="1"/>
      <c r="K543" s="1"/>
      <c r="L543" s="1"/>
      <c r="M543" s="1"/>
      <c r="N543" s="1"/>
      <c r="O543" s="1"/>
      <c r="P543" s="82"/>
      <c r="Q543" s="1"/>
      <c r="R543" s="1"/>
      <c r="S543" s="83"/>
      <c r="T543" s="1"/>
      <c r="U543" s="1"/>
      <c r="V543" s="1"/>
      <c r="W543" s="1"/>
      <c r="X543" s="1"/>
      <c r="Y543" s="1"/>
    </row>
    <row r="544">
      <c r="A544" s="1"/>
      <c r="B544" s="83"/>
      <c r="C544" s="91"/>
      <c r="D544" s="1"/>
      <c r="E544" s="1"/>
      <c r="F544" s="1"/>
      <c r="G544" s="1"/>
      <c r="H544" s="1"/>
      <c r="I544" s="1"/>
      <c r="J544" s="1"/>
      <c r="K544" s="1"/>
      <c r="L544" s="1"/>
      <c r="M544" s="1"/>
      <c r="N544" s="1"/>
      <c r="O544" s="1"/>
      <c r="P544" s="82"/>
      <c r="Q544" s="1"/>
      <c r="R544" s="1"/>
      <c r="S544" s="83"/>
      <c r="T544" s="1"/>
      <c r="U544" s="1"/>
      <c r="V544" s="1"/>
      <c r="W544" s="1"/>
      <c r="X544" s="1"/>
      <c r="Y544" s="1"/>
    </row>
    <row r="545">
      <c r="A545" s="1"/>
      <c r="B545" s="83"/>
      <c r="C545" s="91"/>
      <c r="D545" s="1"/>
      <c r="E545" s="1"/>
      <c r="F545" s="1"/>
      <c r="G545" s="1"/>
      <c r="H545" s="1"/>
      <c r="I545" s="1"/>
      <c r="J545" s="1"/>
      <c r="K545" s="1"/>
      <c r="L545" s="1"/>
      <c r="M545" s="1"/>
      <c r="N545" s="1"/>
      <c r="O545" s="1"/>
      <c r="P545" s="82"/>
      <c r="Q545" s="1"/>
      <c r="R545" s="1"/>
      <c r="S545" s="83"/>
      <c r="T545" s="1"/>
      <c r="U545" s="1"/>
      <c r="V545" s="1"/>
      <c r="W545" s="1"/>
      <c r="X545" s="1"/>
      <c r="Y545" s="1"/>
    </row>
    <row r="546">
      <c r="A546" s="1"/>
      <c r="B546" s="83"/>
      <c r="C546" s="91"/>
      <c r="D546" s="1"/>
      <c r="E546" s="1"/>
      <c r="F546" s="1"/>
      <c r="G546" s="1"/>
      <c r="H546" s="1"/>
      <c r="I546" s="1"/>
      <c r="J546" s="1"/>
      <c r="K546" s="1"/>
      <c r="L546" s="1"/>
      <c r="M546" s="1"/>
      <c r="N546" s="1"/>
      <c r="O546" s="1"/>
      <c r="P546" s="82"/>
      <c r="Q546" s="1"/>
      <c r="R546" s="1"/>
      <c r="S546" s="83"/>
      <c r="T546" s="1"/>
      <c r="U546" s="1"/>
      <c r="V546" s="1"/>
      <c r="W546" s="1"/>
      <c r="X546" s="1"/>
      <c r="Y546" s="1"/>
    </row>
    <row r="547">
      <c r="A547" s="1"/>
      <c r="B547" s="83"/>
      <c r="C547" s="91"/>
      <c r="D547" s="1"/>
      <c r="E547" s="1"/>
      <c r="F547" s="1"/>
      <c r="G547" s="1"/>
      <c r="H547" s="1"/>
      <c r="I547" s="1"/>
      <c r="J547" s="1"/>
      <c r="K547" s="1"/>
      <c r="L547" s="1"/>
      <c r="M547" s="1"/>
      <c r="N547" s="1"/>
      <c r="O547" s="1"/>
      <c r="P547" s="82"/>
      <c r="Q547" s="1"/>
      <c r="R547" s="1"/>
      <c r="S547" s="83"/>
      <c r="T547" s="1"/>
      <c r="U547" s="1"/>
      <c r="V547" s="1"/>
      <c r="W547" s="1"/>
      <c r="X547" s="1"/>
      <c r="Y547" s="1"/>
    </row>
    <row r="548">
      <c r="A548" s="1"/>
      <c r="B548" s="83"/>
      <c r="C548" s="91"/>
      <c r="D548" s="1"/>
      <c r="E548" s="1"/>
      <c r="F548" s="1"/>
      <c r="G548" s="1"/>
      <c r="H548" s="1"/>
      <c r="I548" s="1"/>
      <c r="J548" s="1"/>
      <c r="K548" s="1"/>
      <c r="L548" s="1"/>
      <c r="M548" s="1"/>
      <c r="N548" s="1"/>
      <c r="O548" s="1"/>
      <c r="P548" s="82"/>
      <c r="Q548" s="1"/>
      <c r="R548" s="1"/>
      <c r="S548" s="83"/>
      <c r="T548" s="1"/>
      <c r="U548" s="1"/>
      <c r="V548" s="1"/>
      <c r="W548" s="1"/>
      <c r="X548" s="1"/>
      <c r="Y548" s="1"/>
    </row>
    <row r="549">
      <c r="A549" s="1"/>
      <c r="B549" s="83"/>
      <c r="C549" s="91"/>
      <c r="D549" s="1"/>
      <c r="E549" s="1"/>
      <c r="F549" s="1"/>
      <c r="G549" s="1"/>
      <c r="H549" s="1"/>
      <c r="I549" s="1"/>
      <c r="J549" s="1"/>
      <c r="K549" s="1"/>
      <c r="L549" s="1"/>
      <c r="M549" s="1"/>
      <c r="N549" s="1"/>
      <c r="O549" s="1"/>
      <c r="P549" s="82"/>
      <c r="Q549" s="1"/>
      <c r="R549" s="1"/>
      <c r="S549" s="83"/>
      <c r="T549" s="1"/>
      <c r="U549" s="1"/>
      <c r="V549" s="1"/>
      <c r="W549" s="1"/>
      <c r="X549" s="1"/>
      <c r="Y549" s="1"/>
    </row>
    <row r="550">
      <c r="A550" s="1"/>
      <c r="B550" s="83"/>
      <c r="C550" s="91"/>
      <c r="D550" s="1"/>
      <c r="E550" s="1"/>
      <c r="F550" s="1"/>
      <c r="G550" s="1"/>
      <c r="H550" s="1"/>
      <c r="I550" s="1"/>
      <c r="J550" s="1"/>
      <c r="K550" s="1"/>
      <c r="L550" s="1"/>
      <c r="M550" s="1"/>
      <c r="N550" s="1"/>
      <c r="O550" s="1"/>
      <c r="P550" s="82"/>
      <c r="Q550" s="1"/>
      <c r="R550" s="1"/>
      <c r="S550" s="83"/>
      <c r="T550" s="1"/>
      <c r="U550" s="1"/>
      <c r="V550" s="1"/>
      <c r="W550" s="1"/>
      <c r="X550" s="1"/>
      <c r="Y550" s="1"/>
    </row>
    <row r="551">
      <c r="A551" s="1"/>
      <c r="B551" s="83"/>
      <c r="C551" s="91"/>
      <c r="D551" s="1"/>
      <c r="E551" s="1"/>
      <c r="F551" s="1"/>
      <c r="G551" s="1"/>
      <c r="H551" s="1"/>
      <c r="I551" s="1"/>
      <c r="J551" s="1"/>
      <c r="K551" s="1"/>
      <c r="L551" s="1"/>
      <c r="M551" s="1"/>
      <c r="N551" s="1"/>
      <c r="O551" s="1"/>
      <c r="P551" s="82"/>
      <c r="Q551" s="1"/>
      <c r="R551" s="1"/>
      <c r="S551" s="83"/>
      <c r="T551" s="1"/>
      <c r="U551" s="1"/>
      <c r="V551" s="1"/>
      <c r="W551" s="1"/>
      <c r="X551" s="1"/>
      <c r="Y551" s="1"/>
    </row>
    <row r="552">
      <c r="A552" s="1"/>
      <c r="B552" s="83"/>
      <c r="C552" s="91"/>
      <c r="D552" s="1"/>
      <c r="E552" s="1"/>
      <c r="F552" s="1"/>
      <c r="G552" s="1"/>
      <c r="H552" s="1"/>
      <c r="I552" s="1"/>
      <c r="J552" s="1"/>
      <c r="K552" s="1"/>
      <c r="L552" s="1"/>
      <c r="M552" s="1"/>
      <c r="N552" s="1"/>
      <c r="O552" s="1"/>
      <c r="P552" s="82"/>
      <c r="Q552" s="1"/>
      <c r="R552" s="1"/>
      <c r="S552" s="83"/>
      <c r="T552" s="1"/>
      <c r="U552" s="1"/>
      <c r="V552" s="1"/>
      <c r="W552" s="1"/>
      <c r="X552" s="1"/>
      <c r="Y552" s="1"/>
    </row>
    <row r="553">
      <c r="A553" s="1"/>
      <c r="B553" s="83"/>
      <c r="C553" s="91"/>
      <c r="D553" s="1"/>
      <c r="E553" s="1"/>
      <c r="F553" s="1"/>
      <c r="G553" s="1"/>
      <c r="H553" s="1"/>
      <c r="I553" s="1"/>
      <c r="J553" s="1"/>
      <c r="K553" s="1"/>
      <c r="L553" s="1"/>
      <c r="M553" s="1"/>
      <c r="N553" s="1"/>
      <c r="O553" s="1"/>
      <c r="P553" s="82"/>
      <c r="Q553" s="1"/>
      <c r="R553" s="1"/>
      <c r="S553" s="83"/>
      <c r="T553" s="1"/>
      <c r="U553" s="1"/>
      <c r="V553" s="1"/>
      <c r="W553" s="1"/>
      <c r="X553" s="1"/>
      <c r="Y553" s="1"/>
    </row>
    <row r="554">
      <c r="A554" s="1"/>
      <c r="B554" s="83"/>
      <c r="C554" s="91"/>
      <c r="D554" s="1"/>
      <c r="E554" s="1"/>
      <c r="F554" s="1"/>
      <c r="G554" s="1"/>
      <c r="H554" s="1"/>
      <c r="I554" s="1"/>
      <c r="J554" s="1"/>
      <c r="K554" s="1"/>
      <c r="L554" s="1"/>
      <c r="M554" s="1"/>
      <c r="N554" s="1"/>
      <c r="O554" s="1"/>
      <c r="P554" s="82"/>
      <c r="Q554" s="1"/>
      <c r="R554" s="1"/>
      <c r="S554" s="83"/>
      <c r="T554" s="1"/>
      <c r="U554" s="1"/>
      <c r="V554" s="1"/>
      <c r="W554" s="1"/>
      <c r="X554" s="1"/>
      <c r="Y554" s="1"/>
    </row>
    <row r="555">
      <c r="A555" s="1"/>
      <c r="B555" s="83"/>
      <c r="C555" s="91"/>
      <c r="D555" s="1"/>
      <c r="E555" s="1"/>
      <c r="F555" s="1"/>
      <c r="G555" s="1"/>
      <c r="H555" s="1"/>
      <c r="I555" s="1"/>
      <c r="J555" s="1"/>
      <c r="K555" s="1"/>
      <c r="L555" s="1"/>
      <c r="M555" s="1"/>
      <c r="N555" s="1"/>
      <c r="O555" s="1"/>
      <c r="P555" s="82"/>
      <c r="Q555" s="1"/>
      <c r="R555" s="1"/>
      <c r="S555" s="83"/>
      <c r="T555" s="1"/>
      <c r="U555" s="1"/>
      <c r="V555" s="1"/>
      <c r="W555" s="1"/>
      <c r="X555" s="1"/>
      <c r="Y555" s="1"/>
    </row>
    <row r="556">
      <c r="A556" s="1"/>
      <c r="B556" s="83"/>
      <c r="C556" s="91"/>
      <c r="D556" s="1"/>
      <c r="E556" s="1"/>
      <c r="F556" s="1"/>
      <c r="G556" s="1"/>
      <c r="H556" s="1"/>
      <c r="I556" s="1"/>
      <c r="J556" s="1"/>
      <c r="K556" s="1"/>
      <c r="L556" s="1"/>
      <c r="M556" s="1"/>
      <c r="N556" s="1"/>
      <c r="O556" s="1"/>
      <c r="P556" s="82"/>
      <c r="Q556" s="1"/>
      <c r="R556" s="1"/>
      <c r="S556" s="83"/>
      <c r="T556" s="1"/>
      <c r="U556" s="1"/>
      <c r="V556" s="1"/>
      <c r="W556" s="1"/>
      <c r="X556" s="1"/>
      <c r="Y556" s="1"/>
    </row>
    <row r="557">
      <c r="A557" s="1"/>
      <c r="B557" s="83"/>
      <c r="C557" s="91"/>
      <c r="D557" s="1"/>
      <c r="E557" s="1"/>
      <c r="F557" s="1"/>
      <c r="G557" s="1"/>
      <c r="H557" s="1"/>
      <c r="I557" s="1"/>
      <c r="J557" s="1"/>
      <c r="K557" s="1"/>
      <c r="L557" s="1"/>
      <c r="M557" s="1"/>
      <c r="N557" s="1"/>
      <c r="O557" s="1"/>
      <c r="P557" s="82"/>
      <c r="Q557" s="1"/>
      <c r="R557" s="1"/>
      <c r="S557" s="83"/>
      <c r="T557" s="1"/>
      <c r="U557" s="1"/>
      <c r="V557" s="1"/>
      <c r="W557" s="1"/>
      <c r="X557" s="1"/>
      <c r="Y557" s="1"/>
    </row>
    <row r="558">
      <c r="A558" s="1"/>
      <c r="B558" s="83"/>
      <c r="C558" s="91"/>
      <c r="D558" s="1"/>
      <c r="E558" s="1"/>
      <c r="F558" s="1"/>
      <c r="G558" s="1"/>
      <c r="H558" s="1"/>
      <c r="I558" s="1"/>
      <c r="J558" s="1"/>
      <c r="K558" s="1"/>
      <c r="L558" s="1"/>
      <c r="M558" s="1"/>
      <c r="N558" s="1"/>
      <c r="O558" s="1"/>
      <c r="P558" s="82"/>
      <c r="Q558" s="1"/>
      <c r="R558" s="1"/>
      <c r="S558" s="83"/>
      <c r="T558" s="1"/>
      <c r="U558" s="1"/>
      <c r="V558" s="1"/>
      <c r="W558" s="1"/>
      <c r="X558" s="1"/>
      <c r="Y558" s="1"/>
    </row>
    <row r="559">
      <c r="A559" s="1"/>
      <c r="B559" s="83"/>
      <c r="C559" s="91"/>
      <c r="D559" s="1"/>
      <c r="E559" s="1"/>
      <c r="F559" s="1"/>
      <c r="G559" s="1"/>
      <c r="H559" s="1"/>
      <c r="I559" s="1"/>
      <c r="J559" s="1"/>
      <c r="K559" s="1"/>
      <c r="L559" s="1"/>
      <c r="M559" s="1"/>
      <c r="N559" s="1"/>
      <c r="O559" s="1"/>
      <c r="P559" s="82"/>
      <c r="Q559" s="1"/>
      <c r="R559" s="1"/>
      <c r="S559" s="83"/>
      <c r="T559" s="1"/>
      <c r="U559" s="1"/>
      <c r="V559" s="1"/>
      <c r="W559" s="1"/>
      <c r="X559" s="1"/>
      <c r="Y559" s="1"/>
    </row>
    <row r="560">
      <c r="A560" s="1"/>
      <c r="B560" s="83"/>
      <c r="C560" s="91"/>
      <c r="D560" s="1"/>
      <c r="E560" s="1"/>
      <c r="F560" s="1"/>
      <c r="G560" s="1"/>
      <c r="H560" s="1"/>
      <c r="I560" s="1"/>
      <c r="J560" s="1"/>
      <c r="K560" s="1"/>
      <c r="L560" s="1"/>
      <c r="M560" s="1"/>
      <c r="N560" s="1"/>
      <c r="O560" s="1"/>
      <c r="P560" s="82"/>
      <c r="Q560" s="1"/>
      <c r="R560" s="1"/>
      <c r="S560" s="83"/>
      <c r="T560" s="1"/>
      <c r="U560" s="1"/>
      <c r="V560" s="1"/>
      <c r="W560" s="1"/>
      <c r="X560" s="1"/>
      <c r="Y560" s="1"/>
    </row>
    <row r="561">
      <c r="A561" s="1"/>
      <c r="B561" s="83"/>
      <c r="C561" s="91"/>
      <c r="D561" s="1"/>
      <c r="E561" s="1"/>
      <c r="F561" s="1"/>
      <c r="G561" s="1"/>
      <c r="H561" s="1"/>
      <c r="I561" s="1"/>
      <c r="J561" s="1"/>
      <c r="K561" s="1"/>
      <c r="L561" s="1"/>
      <c r="M561" s="1"/>
      <c r="N561" s="1"/>
      <c r="O561" s="1"/>
      <c r="P561" s="82"/>
      <c r="Q561" s="1"/>
      <c r="R561" s="1"/>
      <c r="S561" s="83"/>
      <c r="T561" s="1"/>
      <c r="U561" s="1"/>
      <c r="V561" s="1"/>
      <c r="W561" s="1"/>
      <c r="X561" s="1"/>
      <c r="Y561" s="1"/>
    </row>
    <row r="562">
      <c r="A562" s="1"/>
      <c r="B562" s="83"/>
      <c r="C562" s="91"/>
      <c r="D562" s="1"/>
      <c r="E562" s="1"/>
      <c r="F562" s="1"/>
      <c r="G562" s="1"/>
      <c r="H562" s="1"/>
      <c r="I562" s="1"/>
      <c r="J562" s="1"/>
      <c r="K562" s="1"/>
      <c r="L562" s="1"/>
      <c r="M562" s="1"/>
      <c r="N562" s="1"/>
      <c r="O562" s="1"/>
      <c r="P562" s="82"/>
      <c r="Q562" s="1"/>
      <c r="R562" s="1"/>
      <c r="S562" s="83"/>
      <c r="T562" s="1"/>
      <c r="U562" s="1"/>
      <c r="V562" s="1"/>
      <c r="W562" s="1"/>
      <c r="X562" s="1"/>
      <c r="Y562" s="1"/>
    </row>
    <row r="563">
      <c r="A563" s="1"/>
      <c r="B563" s="83"/>
      <c r="C563" s="91"/>
      <c r="D563" s="1"/>
      <c r="E563" s="1"/>
      <c r="F563" s="1"/>
      <c r="G563" s="1"/>
      <c r="H563" s="1"/>
      <c r="I563" s="1"/>
      <c r="J563" s="1"/>
      <c r="K563" s="1"/>
      <c r="L563" s="1"/>
      <c r="M563" s="1"/>
      <c r="N563" s="1"/>
      <c r="O563" s="1"/>
      <c r="P563" s="82"/>
      <c r="Q563" s="1"/>
      <c r="R563" s="1"/>
      <c r="S563" s="83"/>
      <c r="T563" s="1"/>
      <c r="U563" s="1"/>
      <c r="V563" s="1"/>
      <c r="W563" s="1"/>
      <c r="X563" s="1"/>
      <c r="Y563" s="1"/>
    </row>
    <row r="564">
      <c r="A564" s="1"/>
      <c r="B564" s="83"/>
      <c r="C564" s="91"/>
      <c r="D564" s="1"/>
      <c r="E564" s="1"/>
      <c r="F564" s="1"/>
      <c r="G564" s="1"/>
      <c r="H564" s="1"/>
      <c r="I564" s="1"/>
      <c r="J564" s="1"/>
      <c r="K564" s="1"/>
      <c r="L564" s="1"/>
      <c r="M564" s="1"/>
      <c r="N564" s="1"/>
      <c r="O564" s="1"/>
      <c r="P564" s="82"/>
      <c r="Q564" s="1"/>
      <c r="R564" s="1"/>
      <c r="S564" s="83"/>
      <c r="T564" s="1"/>
      <c r="U564" s="1"/>
      <c r="V564" s="1"/>
      <c r="W564" s="1"/>
      <c r="X564" s="1"/>
      <c r="Y564" s="1"/>
    </row>
    <row r="565">
      <c r="A565" s="1"/>
      <c r="B565" s="83"/>
      <c r="C565" s="91"/>
      <c r="D565" s="1"/>
      <c r="E565" s="1"/>
      <c r="F565" s="1"/>
      <c r="G565" s="1"/>
      <c r="H565" s="1"/>
      <c r="I565" s="1"/>
      <c r="J565" s="1"/>
      <c r="K565" s="1"/>
      <c r="L565" s="1"/>
      <c r="M565" s="1"/>
      <c r="N565" s="1"/>
      <c r="O565" s="1"/>
      <c r="P565" s="82"/>
      <c r="Q565" s="1"/>
      <c r="R565" s="1"/>
      <c r="S565" s="83"/>
      <c r="T565" s="1"/>
      <c r="U565" s="1"/>
      <c r="V565" s="1"/>
      <c r="W565" s="1"/>
      <c r="X565" s="1"/>
      <c r="Y565" s="1"/>
    </row>
    <row r="566">
      <c r="A566" s="1"/>
      <c r="B566" s="83"/>
      <c r="C566" s="91"/>
      <c r="D566" s="1"/>
      <c r="E566" s="1"/>
      <c r="F566" s="1"/>
      <c r="G566" s="1"/>
      <c r="H566" s="1"/>
      <c r="I566" s="1"/>
      <c r="J566" s="1"/>
      <c r="K566" s="1"/>
      <c r="L566" s="1"/>
      <c r="M566" s="1"/>
      <c r="N566" s="1"/>
      <c r="O566" s="1"/>
      <c r="P566" s="82"/>
      <c r="Q566" s="1"/>
      <c r="R566" s="1"/>
      <c r="S566" s="83"/>
      <c r="T566" s="1"/>
      <c r="U566" s="1"/>
      <c r="V566" s="1"/>
      <c r="W566" s="1"/>
      <c r="X566" s="1"/>
      <c r="Y566" s="1"/>
    </row>
    <row r="567">
      <c r="A567" s="1"/>
      <c r="B567" s="83"/>
      <c r="C567" s="91"/>
      <c r="D567" s="1"/>
      <c r="E567" s="1"/>
      <c r="F567" s="1"/>
      <c r="G567" s="1"/>
      <c r="H567" s="1"/>
      <c r="I567" s="1"/>
      <c r="J567" s="1"/>
      <c r="K567" s="1"/>
      <c r="L567" s="1"/>
      <c r="M567" s="1"/>
      <c r="N567" s="1"/>
      <c r="O567" s="1"/>
      <c r="P567" s="82"/>
      <c r="Q567" s="1"/>
      <c r="R567" s="1"/>
      <c r="S567" s="83"/>
      <c r="T567" s="1"/>
      <c r="U567" s="1"/>
      <c r="V567" s="1"/>
      <c r="W567" s="1"/>
      <c r="X567" s="1"/>
      <c r="Y567" s="1"/>
    </row>
    <row r="568">
      <c r="A568" s="1"/>
      <c r="B568" s="83"/>
      <c r="C568" s="91"/>
      <c r="D568" s="1"/>
      <c r="E568" s="1"/>
      <c r="F568" s="1"/>
      <c r="G568" s="1"/>
      <c r="H568" s="1"/>
      <c r="I568" s="1"/>
      <c r="J568" s="1"/>
      <c r="K568" s="1"/>
      <c r="L568" s="1"/>
      <c r="M568" s="1"/>
      <c r="N568" s="1"/>
      <c r="O568" s="1"/>
      <c r="P568" s="82"/>
      <c r="Q568" s="1"/>
      <c r="R568" s="1"/>
      <c r="S568" s="83"/>
      <c r="T568" s="1"/>
      <c r="U568" s="1"/>
      <c r="V568" s="1"/>
      <c r="W568" s="1"/>
      <c r="X568" s="1"/>
      <c r="Y568" s="1"/>
    </row>
    <row r="569">
      <c r="A569" s="1"/>
      <c r="B569" s="83"/>
      <c r="C569" s="91"/>
      <c r="D569" s="1"/>
      <c r="E569" s="1"/>
      <c r="F569" s="1"/>
      <c r="G569" s="1"/>
      <c r="H569" s="1"/>
      <c r="I569" s="1"/>
      <c r="J569" s="1"/>
      <c r="K569" s="1"/>
      <c r="L569" s="1"/>
      <c r="M569" s="1"/>
      <c r="N569" s="1"/>
      <c r="O569" s="1"/>
      <c r="P569" s="82"/>
      <c r="Q569" s="1"/>
      <c r="R569" s="1"/>
      <c r="S569" s="83"/>
      <c r="T569" s="1"/>
      <c r="U569" s="1"/>
      <c r="V569" s="1"/>
      <c r="W569" s="1"/>
      <c r="X569" s="1"/>
      <c r="Y569" s="1"/>
    </row>
    <row r="570">
      <c r="A570" s="1"/>
      <c r="B570" s="83"/>
      <c r="C570" s="91"/>
      <c r="D570" s="1"/>
      <c r="E570" s="1"/>
      <c r="F570" s="1"/>
      <c r="G570" s="1"/>
      <c r="H570" s="1"/>
      <c r="I570" s="1"/>
      <c r="J570" s="1"/>
      <c r="K570" s="1"/>
      <c r="L570" s="1"/>
      <c r="M570" s="1"/>
      <c r="N570" s="1"/>
      <c r="O570" s="1"/>
      <c r="P570" s="82"/>
      <c r="Q570" s="1"/>
      <c r="R570" s="1"/>
      <c r="S570" s="83"/>
      <c r="T570" s="1"/>
      <c r="U570" s="1"/>
      <c r="V570" s="1"/>
      <c r="W570" s="1"/>
      <c r="X570" s="1"/>
      <c r="Y570" s="1"/>
    </row>
    <row r="571">
      <c r="A571" s="1"/>
      <c r="B571" s="83"/>
      <c r="C571" s="91"/>
      <c r="D571" s="1"/>
      <c r="E571" s="1"/>
      <c r="F571" s="1"/>
      <c r="G571" s="1"/>
      <c r="H571" s="1"/>
      <c r="I571" s="1"/>
      <c r="J571" s="1"/>
      <c r="K571" s="1"/>
      <c r="L571" s="1"/>
      <c r="M571" s="1"/>
      <c r="N571" s="1"/>
      <c r="O571" s="1"/>
      <c r="P571" s="82"/>
      <c r="Q571" s="1"/>
      <c r="R571" s="1"/>
      <c r="S571" s="83"/>
      <c r="T571" s="1"/>
      <c r="U571" s="1"/>
      <c r="V571" s="1"/>
      <c r="W571" s="1"/>
      <c r="X571" s="1"/>
      <c r="Y571" s="1"/>
    </row>
    <row r="572">
      <c r="A572" s="1"/>
      <c r="B572" s="83"/>
      <c r="C572" s="91"/>
      <c r="D572" s="1"/>
      <c r="E572" s="1"/>
      <c r="F572" s="1"/>
      <c r="G572" s="1"/>
      <c r="H572" s="1"/>
      <c r="I572" s="1"/>
      <c r="J572" s="1"/>
      <c r="K572" s="1"/>
      <c r="L572" s="1"/>
      <c r="M572" s="1"/>
      <c r="N572" s="1"/>
      <c r="O572" s="1"/>
      <c r="P572" s="82"/>
      <c r="Q572" s="1"/>
      <c r="R572" s="1"/>
      <c r="S572" s="83"/>
      <c r="T572" s="1"/>
      <c r="U572" s="1"/>
      <c r="V572" s="1"/>
      <c r="W572" s="1"/>
      <c r="X572" s="1"/>
      <c r="Y572" s="1"/>
    </row>
    <row r="573">
      <c r="A573" s="1"/>
      <c r="B573" s="83"/>
      <c r="C573" s="91"/>
      <c r="D573" s="1"/>
      <c r="E573" s="1"/>
      <c r="F573" s="1"/>
      <c r="G573" s="1"/>
      <c r="H573" s="1"/>
      <c r="I573" s="1"/>
      <c r="J573" s="1"/>
      <c r="K573" s="1"/>
      <c r="L573" s="1"/>
      <c r="M573" s="1"/>
      <c r="N573" s="1"/>
      <c r="O573" s="1"/>
      <c r="P573" s="82"/>
      <c r="Q573" s="1"/>
      <c r="R573" s="1"/>
      <c r="S573" s="83"/>
      <c r="T573" s="1"/>
      <c r="U573" s="1"/>
      <c r="V573" s="1"/>
      <c r="W573" s="1"/>
      <c r="X573" s="1"/>
      <c r="Y573" s="1"/>
    </row>
    <row r="574">
      <c r="A574" s="1"/>
      <c r="B574" s="83"/>
      <c r="C574" s="91"/>
      <c r="D574" s="1"/>
      <c r="E574" s="1"/>
      <c r="F574" s="1"/>
      <c r="G574" s="1"/>
      <c r="H574" s="1"/>
      <c r="I574" s="1"/>
      <c r="J574" s="1"/>
      <c r="K574" s="1"/>
      <c r="L574" s="1"/>
      <c r="M574" s="1"/>
      <c r="N574" s="1"/>
      <c r="O574" s="1"/>
      <c r="P574" s="82"/>
      <c r="Q574" s="1"/>
      <c r="R574" s="1"/>
      <c r="S574" s="83"/>
      <c r="T574" s="1"/>
      <c r="U574" s="1"/>
      <c r="V574" s="1"/>
      <c r="W574" s="1"/>
      <c r="X574" s="1"/>
      <c r="Y574" s="1"/>
    </row>
    <row r="575">
      <c r="A575" s="1"/>
      <c r="B575" s="83"/>
      <c r="C575" s="91"/>
      <c r="D575" s="1"/>
      <c r="E575" s="1"/>
      <c r="F575" s="1"/>
      <c r="G575" s="1"/>
      <c r="H575" s="1"/>
      <c r="I575" s="1"/>
      <c r="J575" s="1"/>
      <c r="K575" s="1"/>
      <c r="L575" s="1"/>
      <c r="M575" s="1"/>
      <c r="N575" s="1"/>
      <c r="O575" s="1"/>
      <c r="P575" s="82"/>
      <c r="Q575" s="1"/>
      <c r="R575" s="1"/>
      <c r="S575" s="83"/>
      <c r="T575" s="1"/>
      <c r="U575" s="1"/>
      <c r="V575" s="1"/>
      <c r="W575" s="1"/>
      <c r="X575" s="1"/>
      <c r="Y575" s="1"/>
    </row>
    <row r="576">
      <c r="A576" s="1"/>
      <c r="B576" s="83"/>
      <c r="C576" s="91"/>
      <c r="D576" s="1"/>
      <c r="E576" s="1"/>
      <c r="F576" s="1"/>
      <c r="G576" s="1"/>
      <c r="H576" s="1"/>
      <c r="I576" s="1"/>
      <c r="J576" s="1"/>
      <c r="K576" s="1"/>
      <c r="L576" s="1"/>
      <c r="M576" s="1"/>
      <c r="N576" s="1"/>
      <c r="O576" s="1"/>
      <c r="P576" s="82"/>
      <c r="Q576" s="1"/>
      <c r="R576" s="1"/>
      <c r="S576" s="83"/>
      <c r="T576" s="1"/>
      <c r="U576" s="1"/>
      <c r="V576" s="1"/>
      <c r="W576" s="1"/>
      <c r="X576" s="1"/>
      <c r="Y576" s="1"/>
    </row>
    <row r="577">
      <c r="A577" s="1"/>
      <c r="B577" s="83"/>
      <c r="C577" s="91"/>
      <c r="D577" s="1"/>
      <c r="E577" s="1"/>
      <c r="F577" s="1"/>
      <c r="G577" s="1"/>
      <c r="H577" s="1"/>
      <c r="I577" s="1"/>
      <c r="J577" s="1"/>
      <c r="K577" s="1"/>
      <c r="L577" s="1"/>
      <c r="M577" s="1"/>
      <c r="N577" s="1"/>
      <c r="O577" s="1"/>
      <c r="P577" s="82"/>
      <c r="Q577" s="1"/>
      <c r="R577" s="1"/>
      <c r="S577" s="83"/>
      <c r="T577" s="1"/>
      <c r="U577" s="1"/>
      <c r="V577" s="1"/>
      <c r="W577" s="1"/>
      <c r="X577" s="1"/>
      <c r="Y577" s="1"/>
    </row>
    <row r="578">
      <c r="A578" s="1"/>
      <c r="B578" s="83"/>
      <c r="C578" s="91"/>
      <c r="D578" s="1"/>
      <c r="E578" s="1"/>
      <c r="F578" s="1"/>
      <c r="G578" s="1"/>
      <c r="H578" s="1"/>
      <c r="I578" s="1"/>
      <c r="J578" s="1"/>
      <c r="K578" s="1"/>
      <c r="L578" s="1"/>
      <c r="M578" s="1"/>
      <c r="N578" s="1"/>
      <c r="O578" s="1"/>
      <c r="P578" s="82"/>
      <c r="Q578" s="1"/>
      <c r="R578" s="1"/>
      <c r="S578" s="83"/>
      <c r="T578" s="1"/>
      <c r="U578" s="1"/>
      <c r="V578" s="1"/>
      <c r="W578" s="1"/>
      <c r="X578" s="1"/>
      <c r="Y578" s="1"/>
    </row>
    <row r="579">
      <c r="A579" s="1"/>
      <c r="B579" s="83"/>
      <c r="C579" s="91"/>
      <c r="D579" s="1"/>
      <c r="E579" s="1"/>
      <c r="F579" s="1"/>
      <c r="G579" s="1"/>
      <c r="H579" s="1"/>
      <c r="I579" s="1"/>
      <c r="J579" s="1"/>
      <c r="K579" s="1"/>
      <c r="L579" s="1"/>
      <c r="M579" s="1"/>
      <c r="N579" s="1"/>
      <c r="O579" s="1"/>
      <c r="P579" s="82"/>
      <c r="Q579" s="1"/>
      <c r="R579" s="1"/>
      <c r="S579" s="83"/>
      <c r="T579" s="1"/>
      <c r="U579" s="1"/>
      <c r="V579" s="1"/>
      <c r="W579" s="1"/>
      <c r="X579" s="1"/>
      <c r="Y579" s="1"/>
    </row>
    <row r="580">
      <c r="A580" s="1"/>
      <c r="B580" s="83"/>
      <c r="C580" s="91"/>
      <c r="D580" s="1"/>
      <c r="E580" s="1"/>
      <c r="F580" s="1"/>
      <c r="G580" s="1"/>
      <c r="H580" s="1"/>
      <c r="I580" s="1"/>
      <c r="J580" s="1"/>
      <c r="K580" s="1"/>
      <c r="L580" s="1"/>
      <c r="M580" s="1"/>
      <c r="N580" s="1"/>
      <c r="O580" s="1"/>
      <c r="P580" s="82"/>
      <c r="Q580" s="1"/>
      <c r="R580" s="1"/>
      <c r="S580" s="83"/>
      <c r="T580" s="1"/>
      <c r="U580" s="1"/>
      <c r="V580" s="1"/>
      <c r="W580" s="1"/>
      <c r="X580" s="1"/>
      <c r="Y580" s="1"/>
    </row>
    <row r="581">
      <c r="A581" s="1"/>
      <c r="B581" s="83"/>
      <c r="C581" s="91"/>
      <c r="D581" s="1"/>
      <c r="E581" s="1"/>
      <c r="F581" s="1"/>
      <c r="G581" s="1"/>
      <c r="H581" s="1"/>
      <c r="I581" s="1"/>
      <c r="J581" s="1"/>
      <c r="K581" s="1"/>
      <c r="L581" s="1"/>
      <c r="M581" s="1"/>
      <c r="N581" s="1"/>
      <c r="O581" s="1"/>
      <c r="P581" s="82"/>
      <c r="Q581" s="1"/>
      <c r="R581" s="1"/>
      <c r="S581" s="83"/>
      <c r="T581" s="1"/>
      <c r="U581" s="1"/>
      <c r="V581" s="1"/>
      <c r="W581" s="1"/>
      <c r="X581" s="1"/>
      <c r="Y581" s="1"/>
    </row>
    <row r="582">
      <c r="A582" s="1"/>
      <c r="B582" s="83"/>
      <c r="C582" s="91"/>
      <c r="D582" s="1"/>
      <c r="E582" s="1"/>
      <c r="F582" s="1"/>
      <c r="G582" s="1"/>
      <c r="H582" s="1"/>
      <c r="I582" s="1"/>
      <c r="J582" s="1"/>
      <c r="K582" s="1"/>
      <c r="L582" s="1"/>
      <c r="M582" s="1"/>
      <c r="N582" s="1"/>
      <c r="O582" s="1"/>
      <c r="P582" s="82"/>
      <c r="Q582" s="1"/>
      <c r="R582" s="1"/>
      <c r="S582" s="83"/>
      <c r="T582" s="1"/>
      <c r="U582" s="1"/>
      <c r="V582" s="1"/>
      <c r="W582" s="1"/>
      <c r="X582" s="1"/>
      <c r="Y582" s="1"/>
    </row>
    <row r="583">
      <c r="A583" s="1"/>
      <c r="B583" s="83"/>
      <c r="C583" s="91"/>
      <c r="D583" s="1"/>
      <c r="E583" s="1"/>
      <c r="F583" s="1"/>
      <c r="G583" s="1"/>
      <c r="H583" s="1"/>
      <c r="I583" s="1"/>
      <c r="J583" s="1"/>
      <c r="K583" s="1"/>
      <c r="L583" s="1"/>
      <c r="M583" s="1"/>
      <c r="N583" s="1"/>
      <c r="O583" s="1"/>
      <c r="P583" s="82"/>
      <c r="Q583" s="1"/>
      <c r="R583" s="1"/>
      <c r="S583" s="83"/>
      <c r="T583" s="1"/>
      <c r="U583" s="1"/>
      <c r="V583" s="1"/>
      <c r="W583" s="1"/>
      <c r="X583" s="1"/>
      <c r="Y583" s="1"/>
    </row>
    <row r="584">
      <c r="A584" s="1"/>
      <c r="B584" s="83"/>
      <c r="C584" s="91"/>
      <c r="D584" s="1"/>
      <c r="E584" s="1"/>
      <c r="F584" s="1"/>
      <c r="G584" s="1"/>
      <c r="H584" s="1"/>
      <c r="I584" s="1"/>
      <c r="J584" s="1"/>
      <c r="K584" s="1"/>
      <c r="L584" s="1"/>
      <c r="M584" s="1"/>
      <c r="N584" s="1"/>
      <c r="O584" s="1"/>
      <c r="P584" s="82"/>
      <c r="Q584" s="1"/>
      <c r="R584" s="1"/>
      <c r="S584" s="83"/>
      <c r="T584" s="1"/>
      <c r="U584" s="1"/>
      <c r="V584" s="1"/>
      <c r="W584" s="1"/>
      <c r="X584" s="1"/>
      <c r="Y584" s="1"/>
    </row>
    <row r="585">
      <c r="A585" s="1"/>
      <c r="B585" s="83"/>
      <c r="C585" s="91"/>
      <c r="D585" s="1"/>
      <c r="E585" s="1"/>
      <c r="F585" s="1"/>
      <c r="G585" s="1"/>
      <c r="H585" s="1"/>
      <c r="I585" s="1"/>
      <c r="J585" s="1"/>
      <c r="K585" s="1"/>
      <c r="L585" s="1"/>
      <c r="M585" s="1"/>
      <c r="N585" s="1"/>
      <c r="O585" s="1"/>
      <c r="P585" s="82"/>
      <c r="Q585" s="1"/>
      <c r="R585" s="1"/>
      <c r="S585" s="83"/>
      <c r="T585" s="1"/>
      <c r="U585" s="1"/>
      <c r="V585" s="1"/>
      <c r="W585" s="1"/>
      <c r="X585" s="1"/>
      <c r="Y585" s="1"/>
    </row>
    <row r="586">
      <c r="A586" s="1"/>
      <c r="B586" s="83"/>
      <c r="C586" s="91"/>
      <c r="D586" s="1"/>
      <c r="E586" s="1"/>
      <c r="F586" s="1"/>
      <c r="G586" s="1"/>
      <c r="H586" s="1"/>
      <c r="I586" s="1"/>
      <c r="J586" s="1"/>
      <c r="K586" s="1"/>
      <c r="L586" s="1"/>
      <c r="M586" s="1"/>
      <c r="N586" s="1"/>
      <c r="O586" s="1"/>
      <c r="P586" s="82"/>
      <c r="Q586" s="1"/>
      <c r="R586" s="1"/>
      <c r="S586" s="83"/>
      <c r="T586" s="1"/>
      <c r="U586" s="1"/>
      <c r="V586" s="1"/>
      <c r="W586" s="1"/>
      <c r="X586" s="1"/>
      <c r="Y586" s="1"/>
    </row>
    <row r="587">
      <c r="A587" s="1"/>
      <c r="B587" s="83"/>
      <c r="C587" s="91"/>
      <c r="D587" s="1"/>
      <c r="E587" s="1"/>
      <c r="F587" s="1"/>
      <c r="G587" s="1"/>
      <c r="H587" s="1"/>
      <c r="I587" s="1"/>
      <c r="J587" s="1"/>
      <c r="K587" s="1"/>
      <c r="L587" s="1"/>
      <c r="M587" s="1"/>
      <c r="N587" s="1"/>
      <c r="O587" s="1"/>
      <c r="P587" s="82"/>
      <c r="Q587" s="1"/>
      <c r="R587" s="1"/>
      <c r="S587" s="83"/>
      <c r="T587" s="1"/>
      <c r="U587" s="1"/>
      <c r="V587" s="1"/>
      <c r="W587" s="1"/>
      <c r="X587" s="1"/>
      <c r="Y587" s="1"/>
    </row>
    <row r="588">
      <c r="A588" s="1"/>
      <c r="B588" s="83"/>
      <c r="C588" s="91"/>
      <c r="D588" s="1"/>
      <c r="E588" s="1"/>
      <c r="F588" s="1"/>
      <c r="G588" s="1"/>
      <c r="H588" s="1"/>
      <c r="I588" s="1"/>
      <c r="J588" s="1"/>
      <c r="K588" s="1"/>
      <c r="L588" s="1"/>
      <c r="M588" s="1"/>
      <c r="N588" s="1"/>
      <c r="O588" s="1"/>
      <c r="P588" s="82"/>
      <c r="Q588" s="1"/>
      <c r="R588" s="1"/>
      <c r="S588" s="83"/>
      <c r="T588" s="1"/>
      <c r="U588" s="1"/>
      <c r="V588" s="1"/>
      <c r="W588" s="1"/>
      <c r="X588" s="1"/>
      <c r="Y588" s="1"/>
    </row>
    <row r="589">
      <c r="A589" s="1"/>
      <c r="B589" s="83"/>
      <c r="C589" s="91"/>
      <c r="D589" s="1"/>
      <c r="E589" s="1"/>
      <c r="F589" s="1"/>
      <c r="G589" s="1"/>
      <c r="H589" s="1"/>
      <c r="I589" s="1"/>
      <c r="J589" s="1"/>
      <c r="K589" s="1"/>
      <c r="L589" s="1"/>
      <c r="M589" s="1"/>
      <c r="N589" s="1"/>
      <c r="O589" s="1"/>
      <c r="P589" s="82"/>
      <c r="Q589" s="1"/>
      <c r="R589" s="1"/>
      <c r="S589" s="83"/>
      <c r="T589" s="1"/>
      <c r="U589" s="1"/>
      <c r="V589" s="1"/>
      <c r="W589" s="1"/>
      <c r="X589" s="1"/>
      <c r="Y589" s="1"/>
    </row>
    <row r="590">
      <c r="A590" s="1"/>
      <c r="B590" s="83"/>
      <c r="C590" s="91"/>
      <c r="D590" s="1"/>
      <c r="E590" s="1"/>
      <c r="F590" s="1"/>
      <c r="G590" s="1"/>
      <c r="H590" s="1"/>
      <c r="I590" s="1"/>
      <c r="J590" s="1"/>
      <c r="K590" s="1"/>
      <c r="L590" s="1"/>
      <c r="M590" s="1"/>
      <c r="N590" s="1"/>
      <c r="O590" s="1"/>
      <c r="P590" s="82"/>
      <c r="Q590" s="1"/>
      <c r="R590" s="1"/>
      <c r="S590" s="83"/>
      <c r="T590" s="1"/>
      <c r="U590" s="1"/>
      <c r="V590" s="1"/>
      <c r="W590" s="1"/>
      <c r="X590" s="1"/>
      <c r="Y590" s="1"/>
    </row>
    <row r="591">
      <c r="A591" s="1"/>
      <c r="B591" s="83"/>
      <c r="C591" s="91"/>
      <c r="D591" s="1"/>
      <c r="E591" s="1"/>
      <c r="F591" s="1"/>
      <c r="G591" s="1"/>
      <c r="H591" s="1"/>
      <c r="I591" s="1"/>
      <c r="J591" s="1"/>
      <c r="K591" s="1"/>
      <c r="L591" s="1"/>
      <c r="M591" s="1"/>
      <c r="N591" s="1"/>
      <c r="O591" s="1"/>
      <c r="P591" s="82"/>
      <c r="Q591" s="1"/>
      <c r="R591" s="1"/>
      <c r="S591" s="83"/>
      <c r="T591" s="1"/>
      <c r="U591" s="1"/>
      <c r="V591" s="1"/>
      <c r="W591" s="1"/>
      <c r="X591" s="1"/>
      <c r="Y591" s="1"/>
    </row>
    <row r="592">
      <c r="A592" s="1"/>
      <c r="B592" s="83"/>
      <c r="C592" s="91"/>
      <c r="D592" s="1"/>
      <c r="E592" s="1"/>
      <c r="F592" s="1"/>
      <c r="G592" s="1"/>
      <c r="H592" s="1"/>
      <c r="I592" s="1"/>
      <c r="J592" s="1"/>
      <c r="K592" s="1"/>
      <c r="L592" s="1"/>
      <c r="M592" s="1"/>
      <c r="N592" s="1"/>
      <c r="O592" s="1"/>
      <c r="P592" s="82"/>
      <c r="Q592" s="1"/>
      <c r="R592" s="1"/>
      <c r="S592" s="83"/>
      <c r="T592" s="1"/>
      <c r="U592" s="1"/>
      <c r="V592" s="1"/>
      <c r="W592" s="1"/>
      <c r="X592" s="1"/>
      <c r="Y592" s="1"/>
    </row>
    <row r="593">
      <c r="A593" s="1"/>
      <c r="B593" s="83"/>
      <c r="C593" s="91"/>
      <c r="D593" s="1"/>
      <c r="E593" s="1"/>
      <c r="F593" s="1"/>
      <c r="G593" s="1"/>
      <c r="H593" s="1"/>
      <c r="I593" s="1"/>
      <c r="J593" s="1"/>
      <c r="K593" s="1"/>
      <c r="L593" s="1"/>
      <c r="M593" s="1"/>
      <c r="N593" s="1"/>
      <c r="O593" s="1"/>
      <c r="P593" s="82"/>
      <c r="Q593" s="1"/>
      <c r="R593" s="1"/>
      <c r="S593" s="83"/>
      <c r="T593" s="1"/>
      <c r="U593" s="1"/>
      <c r="V593" s="1"/>
      <c r="W593" s="1"/>
      <c r="X593" s="1"/>
      <c r="Y593" s="1"/>
    </row>
    <row r="594">
      <c r="A594" s="1"/>
      <c r="B594" s="83"/>
      <c r="C594" s="91"/>
      <c r="D594" s="1"/>
      <c r="E594" s="1"/>
      <c r="F594" s="1"/>
      <c r="G594" s="1"/>
      <c r="H594" s="1"/>
      <c r="I594" s="1"/>
      <c r="J594" s="1"/>
      <c r="K594" s="1"/>
      <c r="L594" s="1"/>
      <c r="M594" s="1"/>
      <c r="N594" s="1"/>
      <c r="O594" s="1"/>
      <c r="P594" s="82"/>
      <c r="Q594" s="1"/>
      <c r="R594" s="1"/>
      <c r="S594" s="83"/>
      <c r="T594" s="1"/>
      <c r="U594" s="1"/>
      <c r="V594" s="1"/>
      <c r="W594" s="1"/>
      <c r="X594" s="1"/>
      <c r="Y594" s="1"/>
    </row>
    <row r="595">
      <c r="A595" s="1"/>
      <c r="B595" s="83"/>
      <c r="C595" s="91"/>
      <c r="D595" s="1"/>
      <c r="E595" s="1"/>
      <c r="F595" s="1"/>
      <c r="G595" s="1"/>
      <c r="H595" s="1"/>
      <c r="I595" s="1"/>
      <c r="J595" s="1"/>
      <c r="K595" s="1"/>
      <c r="L595" s="1"/>
      <c r="M595" s="1"/>
      <c r="N595" s="1"/>
      <c r="O595" s="1"/>
      <c r="P595" s="82"/>
      <c r="Q595" s="1"/>
      <c r="R595" s="1"/>
      <c r="S595" s="83"/>
      <c r="T595" s="1"/>
      <c r="U595" s="1"/>
      <c r="V595" s="1"/>
      <c r="W595" s="1"/>
      <c r="X595" s="1"/>
      <c r="Y595" s="1"/>
    </row>
    <row r="596">
      <c r="A596" s="1"/>
      <c r="B596" s="83"/>
      <c r="C596" s="91"/>
      <c r="D596" s="1"/>
      <c r="E596" s="1"/>
      <c r="F596" s="1"/>
      <c r="G596" s="1"/>
      <c r="H596" s="1"/>
      <c r="I596" s="1"/>
      <c r="J596" s="1"/>
      <c r="K596" s="1"/>
      <c r="L596" s="1"/>
      <c r="M596" s="1"/>
      <c r="N596" s="1"/>
      <c r="O596" s="1"/>
      <c r="P596" s="82"/>
      <c r="Q596" s="1"/>
      <c r="R596" s="1"/>
      <c r="S596" s="83"/>
      <c r="T596" s="1"/>
      <c r="U596" s="1"/>
      <c r="V596" s="1"/>
      <c r="W596" s="1"/>
      <c r="X596" s="1"/>
      <c r="Y596" s="1"/>
    </row>
    <row r="597">
      <c r="A597" s="1"/>
      <c r="B597" s="83"/>
      <c r="C597" s="91"/>
      <c r="D597" s="1"/>
      <c r="E597" s="1"/>
      <c r="F597" s="1"/>
      <c r="G597" s="1"/>
      <c r="H597" s="1"/>
      <c r="I597" s="1"/>
      <c r="J597" s="1"/>
      <c r="K597" s="1"/>
      <c r="L597" s="1"/>
      <c r="M597" s="1"/>
      <c r="N597" s="1"/>
      <c r="O597" s="1"/>
      <c r="P597" s="82"/>
      <c r="Q597" s="1"/>
      <c r="R597" s="1"/>
      <c r="S597" s="83"/>
      <c r="T597" s="1"/>
      <c r="U597" s="1"/>
      <c r="V597" s="1"/>
      <c r="W597" s="1"/>
      <c r="X597" s="1"/>
      <c r="Y597" s="1"/>
    </row>
    <row r="598">
      <c r="A598" s="1"/>
      <c r="B598" s="83"/>
      <c r="C598" s="91"/>
      <c r="D598" s="1"/>
      <c r="E598" s="1"/>
      <c r="F598" s="1"/>
      <c r="G598" s="1"/>
      <c r="H598" s="1"/>
      <c r="I598" s="1"/>
      <c r="J598" s="1"/>
      <c r="K598" s="1"/>
      <c r="L598" s="1"/>
      <c r="M598" s="1"/>
      <c r="N598" s="1"/>
      <c r="O598" s="1"/>
      <c r="P598" s="82"/>
      <c r="Q598" s="1"/>
      <c r="R598" s="1"/>
      <c r="S598" s="83"/>
      <c r="T598" s="1"/>
      <c r="U598" s="1"/>
      <c r="V598" s="1"/>
      <c r="W598" s="1"/>
      <c r="X598" s="1"/>
      <c r="Y598" s="1"/>
    </row>
    <row r="599">
      <c r="A599" s="1"/>
      <c r="B599" s="83"/>
      <c r="C599" s="91"/>
      <c r="D599" s="1"/>
      <c r="E599" s="1"/>
      <c r="F599" s="1"/>
      <c r="G599" s="1"/>
      <c r="H599" s="1"/>
      <c r="I599" s="1"/>
      <c r="J599" s="1"/>
      <c r="K599" s="1"/>
      <c r="L599" s="1"/>
      <c r="M599" s="1"/>
      <c r="N599" s="1"/>
      <c r="O599" s="1"/>
      <c r="P599" s="82"/>
      <c r="Q599" s="1"/>
      <c r="R599" s="1"/>
      <c r="S599" s="83"/>
      <c r="T599" s="1"/>
      <c r="U599" s="1"/>
      <c r="V599" s="1"/>
      <c r="W599" s="1"/>
      <c r="X599" s="1"/>
      <c r="Y599" s="1"/>
    </row>
    <row r="600">
      <c r="A600" s="1"/>
      <c r="B600" s="83"/>
      <c r="C600" s="91"/>
      <c r="D600" s="1"/>
      <c r="E600" s="1"/>
      <c r="F600" s="1"/>
      <c r="G600" s="1"/>
      <c r="H600" s="1"/>
      <c r="I600" s="1"/>
      <c r="J600" s="1"/>
      <c r="K600" s="1"/>
      <c r="L600" s="1"/>
      <c r="M600" s="1"/>
      <c r="N600" s="1"/>
      <c r="O600" s="1"/>
      <c r="P600" s="82"/>
      <c r="Q600" s="1"/>
      <c r="R600" s="1"/>
      <c r="S600" s="83"/>
      <c r="T600" s="1"/>
      <c r="U600" s="1"/>
      <c r="V600" s="1"/>
      <c r="W600" s="1"/>
      <c r="X600" s="1"/>
      <c r="Y600" s="1"/>
    </row>
    <row r="601">
      <c r="A601" s="1"/>
      <c r="B601" s="83"/>
      <c r="C601" s="91"/>
      <c r="D601" s="1"/>
      <c r="E601" s="1"/>
      <c r="F601" s="1"/>
      <c r="G601" s="1"/>
      <c r="H601" s="1"/>
      <c r="I601" s="1"/>
      <c r="J601" s="1"/>
      <c r="K601" s="1"/>
      <c r="L601" s="1"/>
      <c r="M601" s="1"/>
      <c r="N601" s="1"/>
      <c r="O601" s="1"/>
      <c r="P601" s="82"/>
      <c r="Q601" s="1"/>
      <c r="R601" s="1"/>
      <c r="S601" s="83"/>
      <c r="T601" s="1"/>
      <c r="U601" s="1"/>
      <c r="V601" s="1"/>
      <c r="W601" s="1"/>
      <c r="X601" s="1"/>
      <c r="Y601" s="1"/>
    </row>
    <row r="602">
      <c r="A602" s="1"/>
      <c r="B602" s="83"/>
      <c r="C602" s="91"/>
      <c r="D602" s="1"/>
      <c r="E602" s="1"/>
      <c r="F602" s="1"/>
      <c r="G602" s="1"/>
      <c r="H602" s="1"/>
      <c r="I602" s="1"/>
      <c r="J602" s="1"/>
      <c r="K602" s="1"/>
      <c r="L602" s="1"/>
      <c r="M602" s="1"/>
      <c r="N602" s="1"/>
      <c r="O602" s="1"/>
      <c r="P602" s="82"/>
      <c r="Q602" s="1"/>
      <c r="R602" s="1"/>
      <c r="S602" s="83"/>
      <c r="T602" s="1"/>
      <c r="U602" s="1"/>
      <c r="V602" s="1"/>
      <c r="W602" s="1"/>
      <c r="X602" s="1"/>
      <c r="Y602" s="1"/>
    </row>
    <row r="603">
      <c r="A603" s="1"/>
      <c r="B603" s="83"/>
      <c r="C603" s="91"/>
      <c r="D603" s="1"/>
      <c r="E603" s="1"/>
      <c r="F603" s="1"/>
      <c r="G603" s="1"/>
      <c r="H603" s="1"/>
      <c r="I603" s="1"/>
      <c r="J603" s="1"/>
      <c r="K603" s="1"/>
      <c r="L603" s="1"/>
      <c r="M603" s="1"/>
      <c r="N603" s="1"/>
      <c r="O603" s="1"/>
      <c r="P603" s="82"/>
      <c r="Q603" s="1"/>
      <c r="R603" s="1"/>
      <c r="S603" s="83"/>
      <c r="T603" s="1"/>
      <c r="U603" s="1"/>
      <c r="V603" s="1"/>
      <c r="W603" s="1"/>
      <c r="X603" s="1"/>
      <c r="Y603" s="1"/>
    </row>
    <row r="604">
      <c r="A604" s="1"/>
      <c r="B604" s="83"/>
      <c r="C604" s="91"/>
      <c r="D604" s="1"/>
      <c r="E604" s="1"/>
      <c r="F604" s="1"/>
      <c r="G604" s="1"/>
      <c r="H604" s="1"/>
      <c r="I604" s="1"/>
      <c r="J604" s="1"/>
      <c r="K604" s="1"/>
      <c r="L604" s="1"/>
      <c r="M604" s="1"/>
      <c r="N604" s="1"/>
      <c r="O604" s="1"/>
      <c r="P604" s="82"/>
      <c r="Q604" s="1"/>
      <c r="R604" s="1"/>
      <c r="S604" s="83"/>
      <c r="T604" s="1"/>
      <c r="U604" s="1"/>
      <c r="V604" s="1"/>
      <c r="W604" s="1"/>
      <c r="X604" s="1"/>
      <c r="Y604" s="1"/>
    </row>
    <row r="605">
      <c r="A605" s="1"/>
      <c r="B605" s="83"/>
      <c r="C605" s="91"/>
      <c r="D605" s="1"/>
      <c r="E605" s="1"/>
      <c r="F605" s="1"/>
      <c r="G605" s="1"/>
      <c r="H605" s="1"/>
      <c r="I605" s="1"/>
      <c r="J605" s="1"/>
      <c r="K605" s="1"/>
      <c r="L605" s="1"/>
      <c r="M605" s="1"/>
      <c r="N605" s="1"/>
      <c r="O605" s="1"/>
      <c r="P605" s="82"/>
      <c r="Q605" s="1"/>
      <c r="R605" s="1"/>
      <c r="S605" s="83"/>
      <c r="T605" s="1"/>
      <c r="U605" s="1"/>
      <c r="V605" s="1"/>
      <c r="W605" s="1"/>
      <c r="X605" s="1"/>
      <c r="Y605" s="1"/>
    </row>
    <row r="606">
      <c r="A606" s="1"/>
      <c r="B606" s="83"/>
      <c r="C606" s="91"/>
      <c r="D606" s="1"/>
      <c r="E606" s="1"/>
      <c r="F606" s="1"/>
      <c r="G606" s="1"/>
      <c r="H606" s="1"/>
      <c r="I606" s="1"/>
      <c r="J606" s="1"/>
      <c r="K606" s="1"/>
      <c r="L606" s="1"/>
      <c r="M606" s="1"/>
      <c r="N606" s="1"/>
      <c r="O606" s="1"/>
      <c r="P606" s="82"/>
      <c r="Q606" s="1"/>
      <c r="R606" s="1"/>
      <c r="S606" s="83"/>
      <c r="T606" s="1"/>
      <c r="U606" s="1"/>
      <c r="V606" s="1"/>
      <c r="W606" s="1"/>
      <c r="X606" s="1"/>
      <c r="Y606" s="1"/>
    </row>
    <row r="607">
      <c r="A607" s="1"/>
      <c r="B607" s="83"/>
      <c r="C607" s="91"/>
      <c r="D607" s="1"/>
      <c r="E607" s="1"/>
      <c r="F607" s="1"/>
      <c r="G607" s="1"/>
      <c r="H607" s="1"/>
      <c r="I607" s="1"/>
      <c r="J607" s="1"/>
      <c r="K607" s="1"/>
      <c r="L607" s="1"/>
      <c r="M607" s="1"/>
      <c r="N607" s="1"/>
      <c r="O607" s="1"/>
      <c r="P607" s="82"/>
      <c r="Q607" s="1"/>
      <c r="R607" s="1"/>
      <c r="S607" s="83"/>
      <c r="T607" s="1"/>
      <c r="U607" s="1"/>
      <c r="V607" s="1"/>
      <c r="W607" s="1"/>
      <c r="X607" s="1"/>
      <c r="Y607" s="1"/>
    </row>
    <row r="608">
      <c r="A608" s="1"/>
      <c r="B608" s="83"/>
      <c r="C608" s="91"/>
      <c r="D608" s="1"/>
      <c r="E608" s="1"/>
      <c r="F608" s="1"/>
      <c r="G608" s="1"/>
      <c r="H608" s="1"/>
      <c r="I608" s="1"/>
      <c r="J608" s="1"/>
      <c r="K608" s="1"/>
      <c r="L608" s="1"/>
      <c r="M608" s="1"/>
      <c r="N608" s="1"/>
      <c r="O608" s="1"/>
      <c r="P608" s="82"/>
      <c r="Q608" s="1"/>
      <c r="R608" s="1"/>
      <c r="S608" s="83"/>
      <c r="T608" s="1"/>
      <c r="U608" s="1"/>
      <c r="V608" s="1"/>
      <c r="W608" s="1"/>
      <c r="X608" s="1"/>
      <c r="Y608" s="1"/>
    </row>
    <row r="609">
      <c r="A609" s="1"/>
      <c r="B609" s="83"/>
      <c r="C609" s="91"/>
      <c r="D609" s="1"/>
      <c r="E609" s="1"/>
      <c r="F609" s="1"/>
      <c r="G609" s="1"/>
      <c r="H609" s="1"/>
      <c r="I609" s="1"/>
      <c r="J609" s="1"/>
      <c r="K609" s="1"/>
      <c r="L609" s="1"/>
      <c r="M609" s="1"/>
      <c r="N609" s="1"/>
      <c r="O609" s="1"/>
      <c r="P609" s="82"/>
      <c r="Q609" s="1"/>
      <c r="R609" s="1"/>
      <c r="S609" s="83"/>
      <c r="T609" s="1"/>
      <c r="U609" s="1"/>
      <c r="V609" s="1"/>
      <c r="W609" s="1"/>
      <c r="X609" s="1"/>
      <c r="Y609" s="1"/>
    </row>
    <row r="610">
      <c r="A610" s="1"/>
      <c r="B610" s="83"/>
      <c r="C610" s="91"/>
      <c r="D610" s="1"/>
      <c r="E610" s="1"/>
      <c r="F610" s="1"/>
      <c r="G610" s="1"/>
      <c r="H610" s="1"/>
      <c r="I610" s="1"/>
      <c r="J610" s="1"/>
      <c r="K610" s="1"/>
      <c r="L610" s="1"/>
      <c r="M610" s="1"/>
      <c r="N610" s="1"/>
      <c r="O610" s="1"/>
      <c r="P610" s="82"/>
      <c r="Q610" s="1"/>
      <c r="R610" s="1"/>
      <c r="S610" s="83"/>
      <c r="T610" s="1"/>
      <c r="U610" s="1"/>
      <c r="V610" s="1"/>
      <c r="W610" s="1"/>
      <c r="X610" s="1"/>
      <c r="Y610" s="1"/>
    </row>
    <row r="611">
      <c r="A611" s="1"/>
      <c r="B611" s="83"/>
      <c r="C611" s="91"/>
      <c r="D611" s="1"/>
      <c r="E611" s="1"/>
      <c r="F611" s="1"/>
      <c r="G611" s="1"/>
      <c r="H611" s="1"/>
      <c r="I611" s="1"/>
      <c r="J611" s="1"/>
      <c r="K611" s="1"/>
      <c r="L611" s="1"/>
      <c r="M611" s="1"/>
      <c r="N611" s="1"/>
      <c r="O611" s="1"/>
      <c r="P611" s="82"/>
      <c r="Q611" s="1"/>
      <c r="R611" s="1"/>
      <c r="S611" s="83"/>
      <c r="T611" s="1"/>
      <c r="U611" s="1"/>
      <c r="V611" s="1"/>
      <c r="W611" s="1"/>
      <c r="X611" s="1"/>
      <c r="Y611" s="1"/>
    </row>
    <row r="612">
      <c r="A612" s="1"/>
      <c r="B612" s="83"/>
      <c r="C612" s="91"/>
      <c r="D612" s="1"/>
      <c r="E612" s="1"/>
      <c r="F612" s="1"/>
      <c r="G612" s="1"/>
      <c r="H612" s="1"/>
      <c r="I612" s="1"/>
      <c r="J612" s="1"/>
      <c r="K612" s="1"/>
      <c r="L612" s="1"/>
      <c r="M612" s="1"/>
      <c r="N612" s="1"/>
      <c r="O612" s="1"/>
      <c r="P612" s="82"/>
      <c r="Q612" s="1"/>
      <c r="R612" s="1"/>
      <c r="S612" s="83"/>
      <c r="T612" s="1"/>
      <c r="U612" s="1"/>
      <c r="V612" s="1"/>
      <c r="W612" s="1"/>
      <c r="X612" s="1"/>
      <c r="Y612" s="1"/>
    </row>
    <row r="613">
      <c r="A613" s="1"/>
      <c r="B613" s="83"/>
      <c r="C613" s="91"/>
      <c r="D613" s="1"/>
      <c r="E613" s="1"/>
      <c r="F613" s="1"/>
      <c r="G613" s="1"/>
      <c r="H613" s="1"/>
      <c r="I613" s="1"/>
      <c r="J613" s="1"/>
      <c r="K613" s="1"/>
      <c r="L613" s="1"/>
      <c r="M613" s="1"/>
      <c r="N613" s="1"/>
      <c r="O613" s="1"/>
      <c r="P613" s="82"/>
      <c r="Q613" s="1"/>
      <c r="R613" s="1"/>
      <c r="S613" s="83"/>
      <c r="T613" s="1"/>
      <c r="U613" s="1"/>
      <c r="V613" s="1"/>
      <c r="W613" s="1"/>
      <c r="X613" s="1"/>
      <c r="Y613" s="1"/>
    </row>
    <row r="614">
      <c r="A614" s="1"/>
      <c r="B614" s="83"/>
      <c r="C614" s="91"/>
      <c r="D614" s="1"/>
      <c r="E614" s="1"/>
      <c r="F614" s="1"/>
      <c r="G614" s="1"/>
      <c r="H614" s="1"/>
      <c r="I614" s="1"/>
      <c r="J614" s="1"/>
      <c r="K614" s="1"/>
      <c r="L614" s="1"/>
      <c r="M614" s="1"/>
      <c r="N614" s="1"/>
      <c r="O614" s="1"/>
      <c r="P614" s="82"/>
      <c r="Q614" s="1"/>
      <c r="R614" s="1"/>
      <c r="S614" s="83"/>
      <c r="T614" s="1"/>
      <c r="U614" s="1"/>
      <c r="V614" s="1"/>
      <c r="W614" s="1"/>
      <c r="X614" s="1"/>
      <c r="Y614" s="1"/>
    </row>
    <row r="615">
      <c r="A615" s="1"/>
      <c r="B615" s="83"/>
      <c r="C615" s="91"/>
      <c r="D615" s="1"/>
      <c r="E615" s="1"/>
      <c r="F615" s="1"/>
      <c r="G615" s="1"/>
      <c r="H615" s="1"/>
      <c r="I615" s="1"/>
      <c r="J615" s="1"/>
      <c r="K615" s="1"/>
      <c r="L615" s="1"/>
      <c r="M615" s="1"/>
      <c r="N615" s="1"/>
      <c r="O615" s="1"/>
      <c r="P615" s="82"/>
      <c r="Q615" s="1"/>
      <c r="R615" s="1"/>
      <c r="S615" s="83"/>
      <c r="T615" s="1"/>
      <c r="U615" s="1"/>
      <c r="V615" s="1"/>
      <c r="W615" s="1"/>
      <c r="X615" s="1"/>
      <c r="Y615" s="1"/>
    </row>
    <row r="616">
      <c r="A616" s="1"/>
      <c r="B616" s="83"/>
      <c r="C616" s="91"/>
      <c r="D616" s="1"/>
      <c r="E616" s="1"/>
      <c r="F616" s="1"/>
      <c r="G616" s="1"/>
      <c r="H616" s="1"/>
      <c r="I616" s="1"/>
      <c r="J616" s="1"/>
      <c r="K616" s="1"/>
      <c r="L616" s="1"/>
      <c r="M616" s="1"/>
      <c r="N616" s="1"/>
      <c r="O616" s="1"/>
      <c r="P616" s="82"/>
      <c r="Q616" s="1"/>
      <c r="R616" s="1"/>
      <c r="S616" s="83"/>
      <c r="T616" s="1"/>
      <c r="U616" s="1"/>
      <c r="V616" s="1"/>
      <c r="W616" s="1"/>
      <c r="X616" s="1"/>
      <c r="Y616" s="1"/>
    </row>
    <row r="617">
      <c r="A617" s="1"/>
      <c r="B617" s="83"/>
      <c r="C617" s="91"/>
      <c r="D617" s="1"/>
      <c r="E617" s="1"/>
      <c r="F617" s="1"/>
      <c r="G617" s="1"/>
      <c r="H617" s="1"/>
      <c r="I617" s="1"/>
      <c r="J617" s="1"/>
      <c r="K617" s="1"/>
      <c r="L617" s="1"/>
      <c r="M617" s="1"/>
      <c r="N617" s="1"/>
      <c r="O617" s="1"/>
      <c r="P617" s="82"/>
      <c r="Q617" s="1"/>
      <c r="R617" s="1"/>
      <c r="S617" s="83"/>
      <c r="T617" s="1"/>
      <c r="U617" s="1"/>
      <c r="V617" s="1"/>
      <c r="W617" s="1"/>
      <c r="X617" s="1"/>
      <c r="Y617" s="1"/>
    </row>
    <row r="618">
      <c r="A618" s="1"/>
      <c r="B618" s="83"/>
      <c r="C618" s="91"/>
      <c r="D618" s="1"/>
      <c r="E618" s="1"/>
      <c r="F618" s="1"/>
      <c r="G618" s="1"/>
      <c r="H618" s="1"/>
      <c r="I618" s="1"/>
      <c r="J618" s="1"/>
      <c r="K618" s="1"/>
      <c r="L618" s="1"/>
      <c r="M618" s="1"/>
      <c r="N618" s="1"/>
      <c r="O618" s="1"/>
      <c r="P618" s="82"/>
      <c r="Q618" s="1"/>
      <c r="R618" s="1"/>
      <c r="S618" s="83"/>
      <c r="T618" s="1"/>
      <c r="U618" s="1"/>
      <c r="V618" s="1"/>
      <c r="W618" s="1"/>
      <c r="X618" s="1"/>
      <c r="Y618" s="1"/>
    </row>
    <row r="619">
      <c r="A619" s="1"/>
      <c r="B619" s="83"/>
      <c r="C619" s="91"/>
      <c r="D619" s="1"/>
      <c r="E619" s="1"/>
      <c r="F619" s="1"/>
      <c r="G619" s="1"/>
      <c r="H619" s="1"/>
      <c r="I619" s="1"/>
      <c r="J619" s="1"/>
      <c r="K619" s="1"/>
      <c r="L619" s="1"/>
      <c r="M619" s="1"/>
      <c r="N619" s="1"/>
      <c r="O619" s="1"/>
      <c r="P619" s="82"/>
      <c r="Q619" s="1"/>
      <c r="R619" s="1"/>
      <c r="S619" s="83"/>
      <c r="T619" s="1"/>
      <c r="U619" s="1"/>
      <c r="V619" s="1"/>
      <c r="W619" s="1"/>
      <c r="X619" s="1"/>
      <c r="Y619" s="1"/>
    </row>
    <row r="620">
      <c r="A620" s="1"/>
      <c r="B620" s="83"/>
      <c r="C620" s="91"/>
      <c r="D620" s="1"/>
      <c r="E620" s="1"/>
      <c r="F620" s="1"/>
      <c r="G620" s="1"/>
      <c r="H620" s="1"/>
      <c r="I620" s="1"/>
      <c r="J620" s="1"/>
      <c r="K620" s="1"/>
      <c r="L620" s="1"/>
      <c r="M620" s="1"/>
      <c r="N620" s="1"/>
      <c r="O620" s="1"/>
      <c r="P620" s="82"/>
      <c r="Q620" s="1"/>
      <c r="R620" s="1"/>
      <c r="S620" s="83"/>
      <c r="T620" s="1"/>
      <c r="U620" s="1"/>
      <c r="V620" s="1"/>
      <c r="W620" s="1"/>
      <c r="X620" s="1"/>
      <c r="Y620" s="1"/>
    </row>
    <row r="621">
      <c r="A621" s="1"/>
      <c r="B621" s="83"/>
      <c r="C621" s="91"/>
      <c r="D621" s="1"/>
      <c r="E621" s="1"/>
      <c r="F621" s="1"/>
      <c r="G621" s="1"/>
      <c r="H621" s="1"/>
      <c r="I621" s="1"/>
      <c r="J621" s="1"/>
      <c r="K621" s="1"/>
      <c r="L621" s="1"/>
      <c r="M621" s="1"/>
      <c r="N621" s="1"/>
      <c r="O621" s="1"/>
      <c r="P621" s="82"/>
      <c r="Q621" s="1"/>
      <c r="R621" s="1"/>
      <c r="S621" s="83"/>
      <c r="T621" s="1"/>
      <c r="U621" s="1"/>
      <c r="V621" s="1"/>
      <c r="W621" s="1"/>
      <c r="X621" s="1"/>
      <c r="Y621" s="1"/>
    </row>
    <row r="622">
      <c r="A622" s="1"/>
      <c r="B622" s="83"/>
      <c r="C622" s="91"/>
      <c r="D622" s="1"/>
      <c r="E622" s="1"/>
      <c r="F622" s="1"/>
      <c r="G622" s="1"/>
      <c r="H622" s="1"/>
      <c r="I622" s="1"/>
      <c r="J622" s="1"/>
      <c r="K622" s="1"/>
      <c r="L622" s="1"/>
      <c r="M622" s="1"/>
      <c r="N622" s="1"/>
      <c r="O622" s="1"/>
      <c r="P622" s="82"/>
      <c r="Q622" s="1"/>
      <c r="R622" s="1"/>
      <c r="S622" s="83"/>
      <c r="T622" s="1"/>
      <c r="U622" s="1"/>
      <c r="V622" s="1"/>
      <c r="W622" s="1"/>
      <c r="X622" s="1"/>
      <c r="Y622" s="1"/>
    </row>
    <row r="623">
      <c r="A623" s="1"/>
      <c r="B623" s="83"/>
      <c r="C623" s="91"/>
      <c r="D623" s="1"/>
      <c r="E623" s="1"/>
      <c r="F623" s="1"/>
      <c r="G623" s="1"/>
      <c r="H623" s="1"/>
      <c r="I623" s="1"/>
      <c r="J623" s="1"/>
      <c r="K623" s="1"/>
      <c r="L623" s="1"/>
      <c r="M623" s="1"/>
      <c r="N623" s="1"/>
      <c r="O623" s="1"/>
      <c r="P623" s="82"/>
      <c r="Q623" s="1"/>
      <c r="R623" s="1"/>
      <c r="S623" s="83"/>
      <c r="T623" s="1"/>
      <c r="U623" s="1"/>
      <c r="V623" s="1"/>
      <c r="W623" s="1"/>
      <c r="X623" s="1"/>
      <c r="Y623" s="1"/>
    </row>
    <row r="624">
      <c r="A624" s="1"/>
      <c r="B624" s="83"/>
      <c r="C624" s="91"/>
      <c r="D624" s="1"/>
      <c r="E624" s="1"/>
      <c r="F624" s="1"/>
      <c r="G624" s="1"/>
      <c r="H624" s="1"/>
      <c r="I624" s="1"/>
      <c r="J624" s="1"/>
      <c r="K624" s="1"/>
      <c r="L624" s="1"/>
      <c r="M624" s="1"/>
      <c r="N624" s="1"/>
      <c r="O624" s="1"/>
      <c r="P624" s="82"/>
      <c r="Q624" s="1"/>
      <c r="R624" s="1"/>
      <c r="S624" s="83"/>
      <c r="T624" s="1"/>
      <c r="U624" s="1"/>
      <c r="V624" s="1"/>
      <c r="W624" s="1"/>
      <c r="X624" s="1"/>
      <c r="Y624" s="1"/>
    </row>
    <row r="625">
      <c r="A625" s="1"/>
      <c r="B625" s="83"/>
      <c r="C625" s="91"/>
      <c r="D625" s="1"/>
      <c r="E625" s="1"/>
      <c r="F625" s="1"/>
      <c r="G625" s="1"/>
      <c r="H625" s="1"/>
      <c r="I625" s="1"/>
      <c r="J625" s="1"/>
      <c r="K625" s="1"/>
      <c r="L625" s="1"/>
      <c r="M625" s="1"/>
      <c r="N625" s="1"/>
      <c r="O625" s="1"/>
      <c r="P625" s="82"/>
      <c r="Q625" s="1"/>
      <c r="R625" s="1"/>
      <c r="S625" s="83"/>
      <c r="T625" s="1"/>
      <c r="U625" s="1"/>
      <c r="V625" s="1"/>
      <c r="W625" s="1"/>
      <c r="X625" s="1"/>
      <c r="Y625" s="1"/>
    </row>
    <row r="626">
      <c r="A626" s="1"/>
      <c r="B626" s="83"/>
      <c r="C626" s="91"/>
      <c r="D626" s="1"/>
      <c r="E626" s="1"/>
      <c r="F626" s="1"/>
      <c r="G626" s="1"/>
      <c r="H626" s="1"/>
      <c r="I626" s="1"/>
      <c r="J626" s="1"/>
      <c r="K626" s="1"/>
      <c r="L626" s="1"/>
      <c r="M626" s="1"/>
      <c r="N626" s="1"/>
      <c r="O626" s="1"/>
      <c r="P626" s="82"/>
      <c r="Q626" s="1"/>
      <c r="R626" s="1"/>
      <c r="S626" s="83"/>
      <c r="T626" s="1"/>
      <c r="U626" s="1"/>
      <c r="V626" s="1"/>
      <c r="W626" s="1"/>
      <c r="X626" s="1"/>
      <c r="Y626" s="1"/>
    </row>
    <row r="627">
      <c r="A627" s="1"/>
      <c r="B627" s="83"/>
      <c r="C627" s="91"/>
      <c r="D627" s="1"/>
      <c r="E627" s="1"/>
      <c r="F627" s="1"/>
      <c r="G627" s="1"/>
      <c r="H627" s="1"/>
      <c r="I627" s="1"/>
      <c r="J627" s="1"/>
      <c r="K627" s="1"/>
      <c r="L627" s="1"/>
      <c r="M627" s="1"/>
      <c r="N627" s="1"/>
      <c r="O627" s="1"/>
      <c r="P627" s="82"/>
      <c r="Q627" s="1"/>
      <c r="R627" s="1"/>
      <c r="S627" s="83"/>
      <c r="T627" s="1"/>
      <c r="U627" s="1"/>
      <c r="V627" s="1"/>
      <c r="W627" s="1"/>
      <c r="X627" s="1"/>
      <c r="Y627" s="1"/>
    </row>
    <row r="628">
      <c r="A628" s="1"/>
      <c r="B628" s="83"/>
      <c r="C628" s="91"/>
      <c r="D628" s="1"/>
      <c r="E628" s="1"/>
      <c r="F628" s="1"/>
      <c r="G628" s="1"/>
      <c r="H628" s="1"/>
      <c r="I628" s="1"/>
      <c r="J628" s="1"/>
      <c r="K628" s="1"/>
      <c r="L628" s="1"/>
      <c r="M628" s="1"/>
      <c r="N628" s="1"/>
      <c r="O628" s="1"/>
      <c r="P628" s="82"/>
      <c r="Q628" s="1"/>
      <c r="R628" s="1"/>
      <c r="S628" s="83"/>
      <c r="T628" s="1"/>
      <c r="U628" s="1"/>
      <c r="V628" s="1"/>
      <c r="W628" s="1"/>
      <c r="X628" s="1"/>
      <c r="Y628" s="1"/>
    </row>
    <row r="629">
      <c r="A629" s="1"/>
      <c r="B629" s="83"/>
      <c r="C629" s="91"/>
      <c r="D629" s="1"/>
      <c r="E629" s="1"/>
      <c r="F629" s="1"/>
      <c r="G629" s="1"/>
      <c r="H629" s="1"/>
      <c r="I629" s="1"/>
      <c r="J629" s="1"/>
      <c r="K629" s="1"/>
      <c r="L629" s="1"/>
      <c r="M629" s="1"/>
      <c r="N629" s="1"/>
      <c r="O629" s="1"/>
      <c r="P629" s="82"/>
      <c r="Q629" s="1"/>
      <c r="R629" s="1"/>
      <c r="S629" s="83"/>
      <c r="T629" s="1"/>
      <c r="U629" s="1"/>
      <c r="V629" s="1"/>
      <c r="W629" s="1"/>
      <c r="X629" s="1"/>
      <c r="Y629" s="1"/>
    </row>
    <row r="630">
      <c r="A630" s="1"/>
      <c r="B630" s="83"/>
      <c r="C630" s="91"/>
      <c r="D630" s="1"/>
      <c r="E630" s="1"/>
      <c r="F630" s="1"/>
      <c r="G630" s="1"/>
      <c r="H630" s="1"/>
      <c r="I630" s="1"/>
      <c r="J630" s="1"/>
      <c r="K630" s="1"/>
      <c r="L630" s="1"/>
      <c r="M630" s="1"/>
      <c r="N630" s="1"/>
      <c r="O630" s="1"/>
      <c r="P630" s="82"/>
      <c r="Q630" s="1"/>
      <c r="R630" s="1"/>
      <c r="S630" s="83"/>
      <c r="T630" s="1"/>
      <c r="U630" s="1"/>
      <c r="V630" s="1"/>
      <c r="W630" s="1"/>
      <c r="X630" s="1"/>
      <c r="Y630" s="1"/>
    </row>
    <row r="631">
      <c r="A631" s="1"/>
      <c r="B631" s="83"/>
      <c r="C631" s="91"/>
      <c r="D631" s="1"/>
      <c r="E631" s="1"/>
      <c r="F631" s="1"/>
      <c r="G631" s="1"/>
      <c r="H631" s="1"/>
      <c r="I631" s="1"/>
      <c r="J631" s="1"/>
      <c r="K631" s="1"/>
      <c r="L631" s="1"/>
      <c r="M631" s="1"/>
      <c r="N631" s="1"/>
      <c r="O631" s="1"/>
      <c r="P631" s="82"/>
      <c r="Q631" s="1"/>
      <c r="R631" s="1"/>
      <c r="S631" s="83"/>
      <c r="T631" s="1"/>
      <c r="U631" s="1"/>
      <c r="V631" s="1"/>
      <c r="W631" s="1"/>
      <c r="X631" s="1"/>
      <c r="Y631" s="1"/>
    </row>
    <row r="632">
      <c r="A632" s="1"/>
      <c r="B632" s="83"/>
      <c r="C632" s="91"/>
      <c r="D632" s="1"/>
      <c r="E632" s="1"/>
      <c r="F632" s="1"/>
      <c r="G632" s="1"/>
      <c r="H632" s="1"/>
      <c r="I632" s="1"/>
      <c r="J632" s="1"/>
      <c r="K632" s="1"/>
      <c r="L632" s="1"/>
      <c r="M632" s="1"/>
      <c r="N632" s="1"/>
      <c r="O632" s="1"/>
      <c r="P632" s="82"/>
      <c r="Q632" s="1"/>
      <c r="R632" s="1"/>
      <c r="S632" s="83"/>
      <c r="T632" s="1"/>
      <c r="U632" s="1"/>
      <c r="V632" s="1"/>
      <c r="W632" s="1"/>
      <c r="X632" s="1"/>
      <c r="Y632" s="1"/>
    </row>
    <row r="633">
      <c r="A633" s="1"/>
      <c r="B633" s="83"/>
      <c r="C633" s="91"/>
      <c r="D633" s="1"/>
      <c r="E633" s="1"/>
      <c r="F633" s="1"/>
      <c r="G633" s="1"/>
      <c r="H633" s="1"/>
      <c r="I633" s="1"/>
      <c r="J633" s="1"/>
      <c r="K633" s="1"/>
      <c r="L633" s="1"/>
      <c r="M633" s="1"/>
      <c r="N633" s="1"/>
      <c r="O633" s="1"/>
      <c r="P633" s="82"/>
      <c r="Q633" s="1"/>
      <c r="R633" s="1"/>
      <c r="S633" s="83"/>
      <c r="T633" s="1"/>
      <c r="U633" s="1"/>
      <c r="V633" s="1"/>
      <c r="W633" s="1"/>
      <c r="X633" s="1"/>
      <c r="Y633" s="1"/>
    </row>
    <row r="634">
      <c r="A634" s="1"/>
      <c r="B634" s="83"/>
      <c r="C634" s="91"/>
      <c r="D634" s="1"/>
      <c r="E634" s="1"/>
      <c r="F634" s="1"/>
      <c r="G634" s="1"/>
      <c r="H634" s="1"/>
      <c r="I634" s="1"/>
      <c r="J634" s="1"/>
      <c r="K634" s="1"/>
      <c r="L634" s="1"/>
      <c r="M634" s="1"/>
      <c r="N634" s="1"/>
      <c r="O634" s="1"/>
      <c r="P634" s="82"/>
      <c r="Q634" s="1"/>
      <c r="R634" s="1"/>
      <c r="S634" s="83"/>
      <c r="T634" s="1"/>
      <c r="U634" s="1"/>
      <c r="V634" s="1"/>
      <c r="W634" s="1"/>
      <c r="X634" s="1"/>
      <c r="Y634" s="1"/>
    </row>
    <row r="635">
      <c r="A635" s="1"/>
      <c r="B635" s="83"/>
      <c r="C635" s="91"/>
      <c r="D635" s="1"/>
      <c r="E635" s="1"/>
      <c r="F635" s="1"/>
      <c r="G635" s="1"/>
      <c r="H635" s="1"/>
      <c r="I635" s="1"/>
      <c r="J635" s="1"/>
      <c r="K635" s="1"/>
      <c r="L635" s="1"/>
      <c r="M635" s="1"/>
      <c r="N635" s="1"/>
      <c r="O635" s="1"/>
      <c r="P635" s="82"/>
      <c r="Q635" s="1"/>
      <c r="R635" s="1"/>
      <c r="S635" s="83"/>
      <c r="T635" s="1"/>
      <c r="U635" s="1"/>
      <c r="V635" s="1"/>
      <c r="W635" s="1"/>
      <c r="X635" s="1"/>
      <c r="Y635" s="1"/>
    </row>
    <row r="636">
      <c r="A636" s="1"/>
      <c r="B636" s="83"/>
      <c r="C636" s="91"/>
      <c r="D636" s="1"/>
      <c r="E636" s="1"/>
      <c r="F636" s="1"/>
      <c r="G636" s="1"/>
      <c r="H636" s="1"/>
      <c r="I636" s="1"/>
      <c r="J636" s="1"/>
      <c r="K636" s="1"/>
      <c r="L636" s="1"/>
      <c r="M636" s="1"/>
      <c r="N636" s="1"/>
      <c r="O636" s="1"/>
      <c r="P636" s="82"/>
      <c r="Q636" s="1"/>
      <c r="R636" s="1"/>
      <c r="S636" s="83"/>
      <c r="T636" s="1"/>
      <c r="U636" s="1"/>
      <c r="V636" s="1"/>
      <c r="W636" s="1"/>
      <c r="X636" s="1"/>
      <c r="Y636" s="1"/>
    </row>
    <row r="637">
      <c r="A637" s="1"/>
      <c r="B637" s="83"/>
      <c r="C637" s="91"/>
      <c r="D637" s="1"/>
      <c r="E637" s="1"/>
      <c r="F637" s="1"/>
      <c r="G637" s="1"/>
      <c r="H637" s="1"/>
      <c r="I637" s="1"/>
      <c r="J637" s="1"/>
      <c r="K637" s="1"/>
      <c r="L637" s="1"/>
      <c r="M637" s="1"/>
      <c r="N637" s="1"/>
      <c r="O637" s="1"/>
      <c r="P637" s="82"/>
      <c r="Q637" s="1"/>
      <c r="R637" s="1"/>
      <c r="S637" s="83"/>
      <c r="T637" s="1"/>
      <c r="U637" s="1"/>
      <c r="V637" s="1"/>
      <c r="W637" s="1"/>
      <c r="X637" s="1"/>
      <c r="Y637" s="1"/>
    </row>
    <row r="638">
      <c r="A638" s="1"/>
      <c r="B638" s="83"/>
      <c r="C638" s="91"/>
      <c r="D638" s="1"/>
      <c r="E638" s="1"/>
      <c r="F638" s="1"/>
      <c r="G638" s="1"/>
      <c r="H638" s="1"/>
      <c r="I638" s="1"/>
      <c r="J638" s="1"/>
      <c r="K638" s="1"/>
      <c r="L638" s="1"/>
      <c r="M638" s="1"/>
      <c r="N638" s="1"/>
      <c r="O638" s="1"/>
      <c r="P638" s="82"/>
      <c r="Q638" s="1"/>
      <c r="R638" s="1"/>
      <c r="S638" s="83"/>
      <c r="T638" s="1"/>
      <c r="U638" s="1"/>
      <c r="V638" s="1"/>
      <c r="W638" s="1"/>
      <c r="X638" s="1"/>
      <c r="Y638" s="1"/>
    </row>
    <row r="639">
      <c r="A639" s="1"/>
      <c r="B639" s="83"/>
      <c r="C639" s="91"/>
      <c r="D639" s="1"/>
      <c r="E639" s="1"/>
      <c r="F639" s="1"/>
      <c r="G639" s="1"/>
      <c r="H639" s="1"/>
      <c r="I639" s="1"/>
      <c r="J639" s="1"/>
      <c r="K639" s="1"/>
      <c r="L639" s="1"/>
      <c r="M639" s="1"/>
      <c r="N639" s="1"/>
      <c r="O639" s="1"/>
      <c r="P639" s="82"/>
      <c r="Q639" s="1"/>
      <c r="R639" s="1"/>
      <c r="S639" s="83"/>
      <c r="T639" s="1"/>
      <c r="U639" s="1"/>
      <c r="V639" s="1"/>
      <c r="W639" s="1"/>
      <c r="X639" s="1"/>
      <c r="Y639" s="1"/>
    </row>
    <row r="640">
      <c r="A640" s="1"/>
      <c r="B640" s="83"/>
      <c r="C640" s="91"/>
      <c r="D640" s="1"/>
      <c r="E640" s="1"/>
      <c r="F640" s="1"/>
      <c r="G640" s="1"/>
      <c r="H640" s="1"/>
      <c r="I640" s="1"/>
      <c r="J640" s="1"/>
      <c r="K640" s="1"/>
      <c r="L640" s="1"/>
      <c r="M640" s="1"/>
      <c r="N640" s="1"/>
      <c r="O640" s="1"/>
      <c r="P640" s="82"/>
      <c r="Q640" s="1"/>
      <c r="R640" s="1"/>
      <c r="S640" s="83"/>
      <c r="T640" s="1"/>
      <c r="U640" s="1"/>
      <c r="V640" s="1"/>
      <c r="W640" s="1"/>
      <c r="X640" s="1"/>
      <c r="Y640" s="1"/>
    </row>
    <row r="641">
      <c r="A641" s="1"/>
      <c r="B641" s="83"/>
      <c r="C641" s="91"/>
      <c r="D641" s="1"/>
      <c r="E641" s="1"/>
      <c r="F641" s="1"/>
      <c r="G641" s="1"/>
      <c r="H641" s="1"/>
      <c r="I641" s="1"/>
      <c r="J641" s="1"/>
      <c r="K641" s="1"/>
      <c r="L641" s="1"/>
      <c r="M641" s="1"/>
      <c r="N641" s="1"/>
      <c r="O641" s="1"/>
      <c r="P641" s="82"/>
      <c r="Q641" s="1"/>
      <c r="R641" s="1"/>
      <c r="S641" s="83"/>
      <c r="T641" s="1"/>
      <c r="U641" s="1"/>
      <c r="V641" s="1"/>
      <c r="W641" s="1"/>
      <c r="X641" s="1"/>
      <c r="Y641" s="1"/>
    </row>
    <row r="642">
      <c r="A642" s="1"/>
      <c r="B642" s="83"/>
      <c r="C642" s="91"/>
      <c r="D642" s="1"/>
      <c r="E642" s="1"/>
      <c r="F642" s="1"/>
      <c r="G642" s="1"/>
      <c r="H642" s="1"/>
      <c r="I642" s="1"/>
      <c r="J642" s="1"/>
      <c r="K642" s="1"/>
      <c r="L642" s="1"/>
      <c r="M642" s="1"/>
      <c r="N642" s="1"/>
      <c r="O642" s="1"/>
      <c r="P642" s="82"/>
      <c r="Q642" s="1"/>
      <c r="R642" s="1"/>
      <c r="S642" s="83"/>
      <c r="T642" s="1"/>
      <c r="U642" s="1"/>
      <c r="V642" s="1"/>
      <c r="W642" s="1"/>
      <c r="X642" s="1"/>
      <c r="Y642" s="1"/>
    </row>
    <row r="643">
      <c r="A643" s="1"/>
      <c r="B643" s="83"/>
      <c r="C643" s="91"/>
      <c r="D643" s="1"/>
      <c r="E643" s="1"/>
      <c r="F643" s="1"/>
      <c r="G643" s="1"/>
      <c r="H643" s="1"/>
      <c r="I643" s="1"/>
      <c r="J643" s="1"/>
      <c r="K643" s="1"/>
      <c r="L643" s="1"/>
      <c r="M643" s="1"/>
      <c r="N643" s="1"/>
      <c r="O643" s="1"/>
      <c r="P643" s="82"/>
      <c r="Q643" s="1"/>
      <c r="R643" s="1"/>
      <c r="S643" s="83"/>
      <c r="T643" s="1"/>
      <c r="U643" s="1"/>
      <c r="V643" s="1"/>
      <c r="W643" s="1"/>
      <c r="X643" s="1"/>
      <c r="Y643" s="1"/>
    </row>
    <row r="644">
      <c r="A644" s="1"/>
      <c r="B644" s="83"/>
      <c r="C644" s="91"/>
      <c r="D644" s="1"/>
      <c r="E644" s="1"/>
      <c r="F644" s="1"/>
      <c r="G644" s="1"/>
      <c r="H644" s="1"/>
      <c r="I644" s="1"/>
      <c r="J644" s="1"/>
      <c r="K644" s="1"/>
      <c r="L644" s="1"/>
      <c r="M644" s="1"/>
      <c r="N644" s="1"/>
      <c r="O644" s="1"/>
      <c r="P644" s="82"/>
      <c r="Q644" s="1"/>
      <c r="R644" s="1"/>
      <c r="S644" s="83"/>
      <c r="T644" s="1"/>
      <c r="U644" s="1"/>
      <c r="V644" s="1"/>
      <c r="W644" s="1"/>
      <c r="X644" s="1"/>
      <c r="Y644" s="1"/>
    </row>
    <row r="645">
      <c r="A645" s="1"/>
      <c r="B645" s="83"/>
      <c r="C645" s="91"/>
      <c r="D645" s="1"/>
      <c r="E645" s="1"/>
      <c r="F645" s="1"/>
      <c r="G645" s="1"/>
      <c r="H645" s="1"/>
      <c r="I645" s="1"/>
      <c r="J645" s="1"/>
      <c r="K645" s="1"/>
      <c r="L645" s="1"/>
      <c r="M645" s="1"/>
      <c r="N645" s="1"/>
      <c r="O645" s="1"/>
      <c r="P645" s="82"/>
      <c r="Q645" s="1"/>
      <c r="R645" s="1"/>
      <c r="S645" s="83"/>
      <c r="T645" s="1"/>
      <c r="U645" s="1"/>
      <c r="V645" s="1"/>
      <c r="W645" s="1"/>
      <c r="X645" s="1"/>
      <c r="Y645" s="1"/>
    </row>
    <row r="646">
      <c r="A646" s="1"/>
      <c r="B646" s="83"/>
      <c r="C646" s="91"/>
      <c r="D646" s="1"/>
      <c r="E646" s="1"/>
      <c r="F646" s="1"/>
      <c r="G646" s="1"/>
      <c r="H646" s="1"/>
      <c r="I646" s="1"/>
      <c r="J646" s="1"/>
      <c r="K646" s="1"/>
      <c r="L646" s="1"/>
      <c r="M646" s="1"/>
      <c r="N646" s="1"/>
      <c r="O646" s="1"/>
      <c r="P646" s="82"/>
      <c r="Q646" s="1"/>
      <c r="R646" s="1"/>
      <c r="S646" s="83"/>
      <c r="T646" s="1"/>
      <c r="U646" s="1"/>
      <c r="V646" s="1"/>
      <c r="W646" s="1"/>
      <c r="X646" s="1"/>
      <c r="Y646" s="1"/>
    </row>
    <row r="647">
      <c r="A647" s="1"/>
      <c r="B647" s="83"/>
      <c r="C647" s="91"/>
      <c r="D647" s="1"/>
      <c r="E647" s="1"/>
      <c r="F647" s="1"/>
      <c r="G647" s="1"/>
      <c r="H647" s="1"/>
      <c r="I647" s="1"/>
      <c r="J647" s="1"/>
      <c r="K647" s="1"/>
      <c r="L647" s="1"/>
      <c r="M647" s="1"/>
      <c r="N647" s="1"/>
      <c r="O647" s="1"/>
      <c r="P647" s="82"/>
      <c r="Q647" s="1"/>
      <c r="R647" s="1"/>
      <c r="S647" s="83"/>
      <c r="T647" s="1"/>
      <c r="U647" s="1"/>
      <c r="V647" s="1"/>
      <c r="W647" s="1"/>
      <c r="X647" s="1"/>
      <c r="Y647" s="1"/>
    </row>
    <row r="648">
      <c r="A648" s="1"/>
      <c r="B648" s="83"/>
      <c r="C648" s="91"/>
      <c r="D648" s="1"/>
      <c r="E648" s="1"/>
      <c r="F648" s="1"/>
      <c r="G648" s="1"/>
      <c r="H648" s="1"/>
      <c r="I648" s="1"/>
      <c r="J648" s="1"/>
      <c r="K648" s="1"/>
      <c r="L648" s="1"/>
      <c r="M648" s="1"/>
      <c r="N648" s="1"/>
      <c r="O648" s="1"/>
      <c r="P648" s="82"/>
      <c r="Q648" s="1"/>
      <c r="R648" s="1"/>
      <c r="S648" s="83"/>
      <c r="T648" s="1"/>
      <c r="U648" s="1"/>
      <c r="V648" s="1"/>
      <c r="W648" s="1"/>
      <c r="X648" s="1"/>
      <c r="Y648" s="1"/>
    </row>
    <row r="649">
      <c r="A649" s="1"/>
      <c r="B649" s="83"/>
      <c r="C649" s="91"/>
      <c r="D649" s="1"/>
      <c r="E649" s="1"/>
      <c r="F649" s="1"/>
      <c r="G649" s="1"/>
      <c r="H649" s="1"/>
      <c r="I649" s="1"/>
      <c r="J649" s="1"/>
      <c r="K649" s="1"/>
      <c r="L649" s="1"/>
      <c r="M649" s="1"/>
      <c r="N649" s="1"/>
      <c r="O649" s="1"/>
      <c r="P649" s="82"/>
      <c r="Q649" s="1"/>
      <c r="R649" s="1"/>
      <c r="S649" s="83"/>
      <c r="T649" s="1"/>
      <c r="U649" s="1"/>
      <c r="V649" s="1"/>
      <c r="W649" s="1"/>
      <c r="X649" s="1"/>
      <c r="Y649" s="1"/>
    </row>
    <row r="650">
      <c r="A650" s="1"/>
      <c r="B650" s="83"/>
      <c r="C650" s="91"/>
      <c r="D650" s="1"/>
      <c r="E650" s="1"/>
      <c r="F650" s="1"/>
      <c r="G650" s="1"/>
      <c r="H650" s="1"/>
      <c r="I650" s="1"/>
      <c r="J650" s="1"/>
      <c r="K650" s="1"/>
      <c r="L650" s="1"/>
      <c r="M650" s="1"/>
      <c r="N650" s="1"/>
      <c r="O650" s="1"/>
      <c r="P650" s="82"/>
      <c r="Q650" s="1"/>
      <c r="R650" s="1"/>
      <c r="S650" s="83"/>
      <c r="T650" s="1"/>
      <c r="U650" s="1"/>
      <c r="V650" s="1"/>
      <c r="W650" s="1"/>
      <c r="X650" s="1"/>
      <c r="Y650" s="1"/>
    </row>
    <row r="651">
      <c r="A651" s="1"/>
      <c r="B651" s="83"/>
      <c r="C651" s="91"/>
      <c r="D651" s="1"/>
      <c r="E651" s="1"/>
      <c r="F651" s="1"/>
      <c r="G651" s="1"/>
      <c r="H651" s="1"/>
      <c r="I651" s="1"/>
      <c r="J651" s="1"/>
      <c r="K651" s="1"/>
      <c r="L651" s="1"/>
      <c r="M651" s="1"/>
      <c r="N651" s="1"/>
      <c r="O651" s="1"/>
      <c r="P651" s="82"/>
      <c r="Q651" s="1"/>
      <c r="R651" s="1"/>
      <c r="S651" s="83"/>
      <c r="T651" s="1"/>
      <c r="U651" s="1"/>
      <c r="V651" s="1"/>
      <c r="W651" s="1"/>
      <c r="X651" s="1"/>
      <c r="Y651" s="1"/>
    </row>
    <row r="652">
      <c r="A652" s="1"/>
      <c r="B652" s="83"/>
      <c r="C652" s="91"/>
      <c r="D652" s="1"/>
      <c r="E652" s="1"/>
      <c r="F652" s="1"/>
      <c r="G652" s="1"/>
      <c r="H652" s="1"/>
      <c r="I652" s="1"/>
      <c r="J652" s="1"/>
      <c r="K652" s="1"/>
      <c r="L652" s="1"/>
      <c r="M652" s="1"/>
      <c r="N652" s="1"/>
      <c r="O652" s="1"/>
      <c r="P652" s="82"/>
      <c r="Q652" s="1"/>
      <c r="R652" s="1"/>
      <c r="S652" s="83"/>
      <c r="T652" s="1"/>
      <c r="U652" s="1"/>
      <c r="V652" s="1"/>
      <c r="W652" s="1"/>
      <c r="X652" s="1"/>
      <c r="Y652" s="1"/>
    </row>
    <row r="653">
      <c r="A653" s="1"/>
      <c r="B653" s="83"/>
      <c r="C653" s="91"/>
      <c r="D653" s="1"/>
      <c r="E653" s="1"/>
      <c r="F653" s="1"/>
      <c r="G653" s="1"/>
      <c r="H653" s="1"/>
      <c r="I653" s="1"/>
      <c r="J653" s="1"/>
      <c r="K653" s="1"/>
      <c r="L653" s="1"/>
      <c r="M653" s="1"/>
      <c r="N653" s="1"/>
      <c r="O653" s="1"/>
      <c r="P653" s="82"/>
      <c r="Q653" s="1"/>
      <c r="R653" s="1"/>
      <c r="S653" s="83"/>
      <c r="T653" s="1"/>
      <c r="U653" s="1"/>
      <c r="V653" s="1"/>
      <c r="W653" s="1"/>
      <c r="X653" s="1"/>
      <c r="Y653" s="1"/>
    </row>
    <row r="654">
      <c r="A654" s="1"/>
      <c r="B654" s="83"/>
      <c r="C654" s="91"/>
      <c r="D654" s="1"/>
      <c r="E654" s="1"/>
      <c r="F654" s="1"/>
      <c r="G654" s="1"/>
      <c r="H654" s="1"/>
      <c r="I654" s="1"/>
      <c r="J654" s="1"/>
      <c r="K654" s="1"/>
      <c r="L654" s="1"/>
      <c r="M654" s="1"/>
      <c r="N654" s="1"/>
      <c r="O654" s="1"/>
      <c r="P654" s="82"/>
      <c r="Q654" s="1"/>
      <c r="R654" s="1"/>
      <c r="S654" s="83"/>
      <c r="T654" s="1"/>
      <c r="U654" s="1"/>
      <c r="V654" s="1"/>
      <c r="W654" s="1"/>
      <c r="X654" s="1"/>
      <c r="Y654" s="1"/>
    </row>
    <row r="655">
      <c r="A655" s="1"/>
      <c r="B655" s="83"/>
      <c r="C655" s="91"/>
      <c r="D655" s="1"/>
      <c r="E655" s="1"/>
      <c r="F655" s="1"/>
      <c r="G655" s="1"/>
      <c r="H655" s="1"/>
      <c r="I655" s="1"/>
      <c r="J655" s="1"/>
      <c r="K655" s="1"/>
      <c r="L655" s="1"/>
      <c r="M655" s="1"/>
      <c r="N655" s="1"/>
      <c r="O655" s="1"/>
      <c r="P655" s="82"/>
      <c r="Q655" s="1"/>
      <c r="R655" s="1"/>
      <c r="S655" s="83"/>
      <c r="T655" s="1"/>
      <c r="U655" s="1"/>
      <c r="V655" s="1"/>
      <c r="W655" s="1"/>
      <c r="X655" s="1"/>
      <c r="Y655" s="1"/>
    </row>
    <row r="656">
      <c r="A656" s="1"/>
      <c r="B656" s="83"/>
      <c r="C656" s="91"/>
      <c r="D656" s="1"/>
      <c r="E656" s="1"/>
      <c r="F656" s="1"/>
      <c r="G656" s="1"/>
      <c r="H656" s="1"/>
      <c r="I656" s="1"/>
      <c r="J656" s="1"/>
      <c r="K656" s="1"/>
      <c r="L656" s="1"/>
      <c r="M656" s="1"/>
      <c r="N656" s="1"/>
      <c r="O656" s="1"/>
      <c r="P656" s="82"/>
      <c r="Q656" s="1"/>
      <c r="R656" s="1"/>
      <c r="S656" s="83"/>
      <c r="T656" s="1"/>
      <c r="U656" s="1"/>
      <c r="V656" s="1"/>
      <c r="W656" s="1"/>
      <c r="X656" s="1"/>
      <c r="Y656" s="1"/>
    </row>
    <row r="657">
      <c r="A657" s="1"/>
      <c r="B657" s="83"/>
      <c r="C657" s="91"/>
      <c r="D657" s="1"/>
      <c r="E657" s="1"/>
      <c r="F657" s="1"/>
      <c r="G657" s="1"/>
      <c r="H657" s="1"/>
      <c r="I657" s="1"/>
      <c r="J657" s="1"/>
      <c r="K657" s="1"/>
      <c r="L657" s="1"/>
      <c r="M657" s="1"/>
      <c r="N657" s="1"/>
      <c r="O657" s="1"/>
      <c r="P657" s="82"/>
      <c r="Q657" s="1"/>
      <c r="R657" s="1"/>
      <c r="S657" s="83"/>
      <c r="T657" s="1"/>
      <c r="U657" s="1"/>
      <c r="V657" s="1"/>
      <c r="W657" s="1"/>
      <c r="X657" s="1"/>
      <c r="Y657" s="1"/>
    </row>
    <row r="658">
      <c r="A658" s="1"/>
      <c r="B658" s="83"/>
      <c r="C658" s="91"/>
      <c r="D658" s="1"/>
      <c r="E658" s="1"/>
      <c r="F658" s="1"/>
      <c r="G658" s="1"/>
      <c r="H658" s="1"/>
      <c r="I658" s="1"/>
      <c r="J658" s="1"/>
      <c r="K658" s="1"/>
      <c r="L658" s="1"/>
      <c r="M658" s="1"/>
      <c r="N658" s="1"/>
      <c r="O658" s="1"/>
      <c r="P658" s="82"/>
      <c r="Q658" s="1"/>
      <c r="R658" s="1"/>
      <c r="S658" s="83"/>
      <c r="T658" s="1"/>
      <c r="U658" s="1"/>
      <c r="V658" s="1"/>
      <c r="W658" s="1"/>
      <c r="X658" s="1"/>
      <c r="Y658" s="1"/>
    </row>
    <row r="659">
      <c r="A659" s="1"/>
      <c r="B659" s="83"/>
      <c r="C659" s="91"/>
      <c r="D659" s="1"/>
      <c r="E659" s="1"/>
      <c r="F659" s="1"/>
      <c r="G659" s="1"/>
      <c r="H659" s="1"/>
      <c r="I659" s="1"/>
      <c r="J659" s="1"/>
      <c r="K659" s="1"/>
      <c r="L659" s="1"/>
      <c r="M659" s="1"/>
      <c r="N659" s="1"/>
      <c r="O659" s="1"/>
      <c r="P659" s="82"/>
      <c r="Q659" s="1"/>
      <c r="R659" s="1"/>
      <c r="S659" s="83"/>
      <c r="T659" s="1"/>
      <c r="U659" s="1"/>
      <c r="V659" s="1"/>
      <c r="W659" s="1"/>
      <c r="X659" s="1"/>
      <c r="Y659" s="1"/>
    </row>
    <row r="660">
      <c r="A660" s="1"/>
      <c r="B660" s="83"/>
      <c r="C660" s="91"/>
      <c r="D660" s="1"/>
      <c r="E660" s="1"/>
      <c r="F660" s="1"/>
      <c r="G660" s="1"/>
      <c r="H660" s="1"/>
      <c r="I660" s="1"/>
      <c r="J660" s="1"/>
      <c r="K660" s="1"/>
      <c r="L660" s="1"/>
      <c r="M660" s="1"/>
      <c r="N660" s="1"/>
      <c r="O660" s="1"/>
      <c r="P660" s="82"/>
      <c r="Q660" s="1"/>
      <c r="R660" s="1"/>
      <c r="S660" s="83"/>
      <c r="T660" s="1"/>
      <c r="U660" s="1"/>
      <c r="V660" s="1"/>
      <c r="W660" s="1"/>
      <c r="X660" s="1"/>
      <c r="Y660" s="1"/>
    </row>
    <row r="661">
      <c r="A661" s="1"/>
      <c r="B661" s="83"/>
      <c r="C661" s="91"/>
      <c r="D661" s="1"/>
      <c r="E661" s="1"/>
      <c r="F661" s="1"/>
      <c r="G661" s="1"/>
      <c r="H661" s="1"/>
      <c r="I661" s="1"/>
      <c r="J661" s="1"/>
      <c r="K661" s="1"/>
      <c r="L661" s="1"/>
      <c r="M661" s="1"/>
      <c r="N661" s="1"/>
      <c r="O661" s="1"/>
      <c r="P661" s="82"/>
      <c r="Q661" s="1"/>
      <c r="R661" s="1"/>
      <c r="S661" s="83"/>
      <c r="T661" s="1"/>
      <c r="U661" s="1"/>
      <c r="V661" s="1"/>
      <c r="W661" s="1"/>
      <c r="X661" s="1"/>
      <c r="Y661" s="1"/>
    </row>
    <row r="662">
      <c r="A662" s="1"/>
      <c r="B662" s="83"/>
      <c r="C662" s="91"/>
      <c r="D662" s="1"/>
      <c r="E662" s="1"/>
      <c r="F662" s="1"/>
      <c r="G662" s="1"/>
      <c r="H662" s="1"/>
      <c r="I662" s="1"/>
      <c r="J662" s="1"/>
      <c r="K662" s="1"/>
      <c r="L662" s="1"/>
      <c r="M662" s="1"/>
      <c r="N662" s="1"/>
      <c r="O662" s="1"/>
      <c r="P662" s="82"/>
      <c r="Q662" s="1"/>
      <c r="R662" s="1"/>
      <c r="S662" s="83"/>
      <c r="T662" s="1"/>
      <c r="U662" s="1"/>
      <c r="V662" s="1"/>
      <c r="W662" s="1"/>
      <c r="X662" s="1"/>
      <c r="Y662" s="1"/>
    </row>
    <row r="663">
      <c r="A663" s="1"/>
      <c r="B663" s="83"/>
      <c r="C663" s="91"/>
      <c r="D663" s="1"/>
      <c r="E663" s="1"/>
      <c r="F663" s="1"/>
      <c r="G663" s="1"/>
      <c r="H663" s="1"/>
      <c r="I663" s="1"/>
      <c r="J663" s="1"/>
      <c r="K663" s="1"/>
      <c r="L663" s="1"/>
      <c r="M663" s="1"/>
      <c r="N663" s="1"/>
      <c r="O663" s="1"/>
      <c r="P663" s="82"/>
      <c r="Q663" s="1"/>
      <c r="R663" s="1"/>
      <c r="S663" s="83"/>
      <c r="T663" s="1"/>
      <c r="U663" s="1"/>
      <c r="V663" s="1"/>
      <c r="W663" s="1"/>
      <c r="X663" s="1"/>
      <c r="Y663" s="1"/>
    </row>
    <row r="664">
      <c r="A664" s="1"/>
      <c r="B664" s="83"/>
      <c r="C664" s="91"/>
      <c r="D664" s="1"/>
      <c r="E664" s="1"/>
      <c r="F664" s="1"/>
      <c r="G664" s="1"/>
      <c r="H664" s="1"/>
      <c r="I664" s="1"/>
      <c r="J664" s="1"/>
      <c r="K664" s="1"/>
      <c r="L664" s="1"/>
      <c r="M664" s="1"/>
      <c r="N664" s="1"/>
      <c r="O664" s="1"/>
      <c r="P664" s="82"/>
      <c r="Q664" s="1"/>
      <c r="R664" s="1"/>
      <c r="S664" s="83"/>
      <c r="T664" s="1"/>
      <c r="U664" s="1"/>
      <c r="V664" s="1"/>
      <c r="W664" s="1"/>
      <c r="X664" s="1"/>
      <c r="Y664" s="1"/>
    </row>
    <row r="665">
      <c r="A665" s="1"/>
      <c r="B665" s="83"/>
      <c r="C665" s="91"/>
      <c r="D665" s="1"/>
      <c r="E665" s="1"/>
      <c r="F665" s="1"/>
      <c r="G665" s="1"/>
      <c r="H665" s="1"/>
      <c r="I665" s="1"/>
      <c r="J665" s="1"/>
      <c r="K665" s="1"/>
      <c r="L665" s="1"/>
      <c r="M665" s="1"/>
      <c r="N665" s="1"/>
      <c r="O665" s="1"/>
      <c r="P665" s="82"/>
      <c r="Q665" s="1"/>
      <c r="R665" s="1"/>
      <c r="S665" s="83"/>
      <c r="T665" s="1"/>
      <c r="U665" s="1"/>
      <c r="V665" s="1"/>
      <c r="W665" s="1"/>
      <c r="X665" s="1"/>
      <c r="Y665" s="1"/>
    </row>
    <row r="666">
      <c r="A666" s="1"/>
      <c r="B666" s="83"/>
      <c r="C666" s="91"/>
      <c r="D666" s="1"/>
      <c r="E666" s="1"/>
      <c r="F666" s="1"/>
      <c r="G666" s="1"/>
      <c r="H666" s="1"/>
      <c r="I666" s="1"/>
      <c r="J666" s="1"/>
      <c r="K666" s="1"/>
      <c r="L666" s="1"/>
      <c r="M666" s="1"/>
      <c r="N666" s="1"/>
      <c r="O666" s="1"/>
      <c r="P666" s="82"/>
      <c r="Q666" s="1"/>
      <c r="R666" s="1"/>
      <c r="S666" s="83"/>
      <c r="T666" s="1"/>
      <c r="U666" s="1"/>
      <c r="V666" s="1"/>
      <c r="W666" s="1"/>
      <c r="X666" s="1"/>
      <c r="Y666" s="1"/>
    </row>
    <row r="667">
      <c r="A667" s="1"/>
      <c r="B667" s="83"/>
      <c r="C667" s="91"/>
      <c r="D667" s="1"/>
      <c r="E667" s="1"/>
      <c r="F667" s="1"/>
      <c r="G667" s="1"/>
      <c r="H667" s="1"/>
      <c r="I667" s="1"/>
      <c r="J667" s="1"/>
      <c r="K667" s="1"/>
      <c r="L667" s="1"/>
      <c r="M667" s="1"/>
      <c r="N667" s="1"/>
      <c r="O667" s="1"/>
      <c r="P667" s="82"/>
      <c r="Q667" s="1"/>
      <c r="R667" s="1"/>
      <c r="S667" s="83"/>
      <c r="T667" s="1"/>
      <c r="U667" s="1"/>
      <c r="V667" s="1"/>
      <c r="W667" s="1"/>
      <c r="X667" s="1"/>
      <c r="Y667" s="1"/>
    </row>
    <row r="668">
      <c r="A668" s="1"/>
      <c r="B668" s="83"/>
      <c r="C668" s="91"/>
      <c r="D668" s="1"/>
      <c r="E668" s="1"/>
      <c r="F668" s="1"/>
      <c r="G668" s="1"/>
      <c r="H668" s="1"/>
      <c r="I668" s="1"/>
      <c r="J668" s="1"/>
      <c r="K668" s="1"/>
      <c r="L668" s="1"/>
      <c r="M668" s="1"/>
      <c r="N668" s="1"/>
      <c r="O668" s="1"/>
      <c r="P668" s="82"/>
      <c r="Q668" s="1"/>
      <c r="R668" s="1"/>
      <c r="S668" s="83"/>
      <c r="T668" s="1"/>
      <c r="U668" s="1"/>
      <c r="V668" s="1"/>
      <c r="W668" s="1"/>
      <c r="X668" s="1"/>
      <c r="Y668" s="1"/>
    </row>
    <row r="669">
      <c r="A669" s="1"/>
      <c r="B669" s="83"/>
      <c r="C669" s="91"/>
      <c r="D669" s="1"/>
      <c r="E669" s="1"/>
      <c r="F669" s="1"/>
      <c r="G669" s="1"/>
      <c r="H669" s="1"/>
      <c r="I669" s="1"/>
      <c r="J669" s="1"/>
      <c r="K669" s="1"/>
      <c r="L669" s="1"/>
      <c r="M669" s="1"/>
      <c r="N669" s="1"/>
      <c r="O669" s="1"/>
      <c r="P669" s="82"/>
      <c r="Q669" s="1"/>
      <c r="R669" s="1"/>
      <c r="S669" s="83"/>
      <c r="T669" s="1"/>
      <c r="U669" s="1"/>
      <c r="V669" s="1"/>
      <c r="W669" s="1"/>
      <c r="X669" s="1"/>
      <c r="Y669" s="1"/>
    </row>
    <row r="670">
      <c r="A670" s="1"/>
      <c r="B670" s="83"/>
      <c r="C670" s="91"/>
      <c r="D670" s="1"/>
      <c r="E670" s="1"/>
      <c r="F670" s="1"/>
      <c r="G670" s="1"/>
      <c r="H670" s="1"/>
      <c r="I670" s="1"/>
      <c r="J670" s="1"/>
      <c r="K670" s="1"/>
      <c r="L670" s="1"/>
      <c r="M670" s="1"/>
      <c r="N670" s="1"/>
      <c r="O670" s="1"/>
      <c r="P670" s="82"/>
      <c r="Q670" s="1"/>
      <c r="R670" s="1"/>
      <c r="S670" s="83"/>
      <c r="T670" s="1"/>
      <c r="U670" s="1"/>
      <c r="V670" s="1"/>
      <c r="W670" s="1"/>
      <c r="X670" s="1"/>
      <c r="Y670" s="1"/>
    </row>
    <row r="671">
      <c r="A671" s="1"/>
      <c r="B671" s="83"/>
      <c r="C671" s="91"/>
      <c r="D671" s="1"/>
      <c r="E671" s="1"/>
      <c r="F671" s="1"/>
      <c r="G671" s="1"/>
      <c r="H671" s="1"/>
      <c r="I671" s="1"/>
      <c r="J671" s="1"/>
      <c r="K671" s="1"/>
      <c r="L671" s="1"/>
      <c r="M671" s="1"/>
      <c r="N671" s="1"/>
      <c r="O671" s="1"/>
      <c r="P671" s="82"/>
      <c r="Q671" s="1"/>
      <c r="R671" s="1"/>
      <c r="S671" s="83"/>
      <c r="T671" s="1"/>
      <c r="U671" s="1"/>
      <c r="V671" s="1"/>
      <c r="W671" s="1"/>
      <c r="X671" s="1"/>
      <c r="Y671" s="1"/>
    </row>
    <row r="672">
      <c r="A672" s="1"/>
      <c r="B672" s="83"/>
      <c r="C672" s="91"/>
      <c r="D672" s="1"/>
      <c r="E672" s="1"/>
      <c r="F672" s="1"/>
      <c r="G672" s="1"/>
      <c r="H672" s="1"/>
      <c r="I672" s="1"/>
      <c r="J672" s="1"/>
      <c r="K672" s="1"/>
      <c r="L672" s="1"/>
      <c r="M672" s="1"/>
      <c r="N672" s="1"/>
      <c r="O672" s="1"/>
      <c r="P672" s="82"/>
      <c r="Q672" s="1"/>
      <c r="R672" s="1"/>
      <c r="S672" s="83"/>
      <c r="T672" s="1"/>
      <c r="U672" s="1"/>
      <c r="V672" s="1"/>
      <c r="W672" s="1"/>
      <c r="X672" s="1"/>
      <c r="Y672" s="1"/>
    </row>
    <row r="673">
      <c r="A673" s="1"/>
      <c r="B673" s="83"/>
      <c r="C673" s="91"/>
      <c r="D673" s="1"/>
      <c r="E673" s="1"/>
      <c r="F673" s="1"/>
      <c r="G673" s="1"/>
      <c r="H673" s="1"/>
      <c r="I673" s="1"/>
      <c r="J673" s="1"/>
      <c r="K673" s="1"/>
      <c r="L673" s="1"/>
      <c r="M673" s="1"/>
      <c r="N673" s="1"/>
      <c r="O673" s="1"/>
      <c r="P673" s="82"/>
      <c r="Q673" s="1"/>
      <c r="R673" s="1"/>
      <c r="S673" s="83"/>
      <c r="T673" s="1"/>
      <c r="U673" s="1"/>
      <c r="V673" s="1"/>
      <c r="W673" s="1"/>
      <c r="X673" s="1"/>
      <c r="Y673" s="1"/>
    </row>
    <row r="674">
      <c r="A674" s="1"/>
      <c r="B674" s="83"/>
      <c r="C674" s="91"/>
      <c r="D674" s="1"/>
      <c r="E674" s="1"/>
      <c r="F674" s="1"/>
      <c r="G674" s="1"/>
      <c r="H674" s="1"/>
      <c r="I674" s="1"/>
      <c r="J674" s="1"/>
      <c r="K674" s="1"/>
      <c r="L674" s="1"/>
      <c r="M674" s="1"/>
      <c r="N674" s="1"/>
      <c r="O674" s="1"/>
      <c r="P674" s="82"/>
      <c r="Q674" s="1"/>
      <c r="R674" s="1"/>
      <c r="S674" s="83"/>
      <c r="T674" s="1"/>
      <c r="U674" s="1"/>
      <c r="V674" s="1"/>
      <c r="W674" s="1"/>
      <c r="X674" s="1"/>
      <c r="Y674" s="1"/>
    </row>
    <row r="675">
      <c r="A675" s="1"/>
      <c r="B675" s="83"/>
      <c r="C675" s="91"/>
      <c r="D675" s="1"/>
      <c r="E675" s="1"/>
      <c r="F675" s="1"/>
      <c r="G675" s="1"/>
      <c r="H675" s="1"/>
      <c r="I675" s="1"/>
      <c r="J675" s="1"/>
      <c r="K675" s="1"/>
      <c r="L675" s="1"/>
      <c r="M675" s="1"/>
      <c r="N675" s="1"/>
      <c r="O675" s="1"/>
      <c r="P675" s="82"/>
      <c r="Q675" s="1"/>
      <c r="R675" s="1"/>
      <c r="S675" s="83"/>
      <c r="T675" s="1"/>
      <c r="U675" s="1"/>
      <c r="V675" s="1"/>
      <c r="W675" s="1"/>
      <c r="X675" s="1"/>
      <c r="Y675" s="1"/>
    </row>
    <row r="676">
      <c r="A676" s="1"/>
      <c r="B676" s="83"/>
      <c r="C676" s="91"/>
      <c r="D676" s="1"/>
      <c r="E676" s="1"/>
      <c r="F676" s="1"/>
      <c r="G676" s="1"/>
      <c r="H676" s="1"/>
      <c r="I676" s="1"/>
      <c r="J676" s="1"/>
      <c r="K676" s="1"/>
      <c r="L676" s="1"/>
      <c r="M676" s="1"/>
      <c r="N676" s="1"/>
      <c r="O676" s="1"/>
      <c r="P676" s="82"/>
      <c r="Q676" s="1"/>
      <c r="R676" s="1"/>
      <c r="S676" s="83"/>
      <c r="T676" s="1"/>
      <c r="U676" s="1"/>
      <c r="V676" s="1"/>
      <c r="W676" s="1"/>
      <c r="X676" s="1"/>
      <c r="Y676" s="1"/>
    </row>
    <row r="677">
      <c r="A677" s="1"/>
      <c r="B677" s="83"/>
      <c r="C677" s="91"/>
      <c r="D677" s="1"/>
      <c r="E677" s="1"/>
      <c r="F677" s="1"/>
      <c r="G677" s="1"/>
      <c r="H677" s="1"/>
      <c r="I677" s="1"/>
      <c r="J677" s="1"/>
      <c r="K677" s="1"/>
      <c r="L677" s="1"/>
      <c r="M677" s="1"/>
      <c r="N677" s="1"/>
      <c r="O677" s="1"/>
      <c r="P677" s="82"/>
      <c r="Q677" s="1"/>
      <c r="R677" s="1"/>
      <c r="S677" s="83"/>
      <c r="T677" s="1"/>
      <c r="U677" s="1"/>
      <c r="V677" s="1"/>
      <c r="W677" s="1"/>
      <c r="X677" s="1"/>
      <c r="Y677" s="1"/>
    </row>
    <row r="678">
      <c r="A678" s="1"/>
      <c r="B678" s="83"/>
      <c r="C678" s="91"/>
      <c r="D678" s="1"/>
      <c r="E678" s="1"/>
      <c r="F678" s="1"/>
      <c r="G678" s="1"/>
      <c r="H678" s="1"/>
      <c r="I678" s="1"/>
      <c r="J678" s="1"/>
      <c r="K678" s="1"/>
      <c r="L678" s="1"/>
      <c r="M678" s="1"/>
      <c r="N678" s="1"/>
      <c r="O678" s="1"/>
      <c r="P678" s="82"/>
      <c r="Q678" s="1"/>
      <c r="R678" s="1"/>
      <c r="S678" s="83"/>
      <c r="T678" s="1"/>
      <c r="U678" s="1"/>
      <c r="V678" s="1"/>
      <c r="W678" s="1"/>
      <c r="X678" s="1"/>
      <c r="Y678" s="1"/>
    </row>
    <row r="679">
      <c r="A679" s="1"/>
      <c r="B679" s="83"/>
      <c r="C679" s="91"/>
      <c r="D679" s="1"/>
      <c r="E679" s="1"/>
      <c r="F679" s="1"/>
      <c r="G679" s="1"/>
      <c r="H679" s="1"/>
      <c r="I679" s="1"/>
      <c r="J679" s="1"/>
      <c r="K679" s="1"/>
      <c r="L679" s="1"/>
      <c r="M679" s="1"/>
      <c r="N679" s="1"/>
      <c r="O679" s="1"/>
      <c r="P679" s="82"/>
      <c r="Q679" s="1"/>
      <c r="R679" s="1"/>
      <c r="S679" s="83"/>
      <c r="T679" s="1"/>
      <c r="U679" s="1"/>
      <c r="V679" s="1"/>
      <c r="W679" s="1"/>
      <c r="X679" s="1"/>
      <c r="Y679" s="1"/>
    </row>
    <row r="680">
      <c r="A680" s="1"/>
      <c r="B680" s="83"/>
      <c r="C680" s="91"/>
      <c r="D680" s="1"/>
      <c r="E680" s="1"/>
      <c r="F680" s="1"/>
      <c r="G680" s="1"/>
      <c r="H680" s="1"/>
      <c r="I680" s="1"/>
      <c r="J680" s="1"/>
      <c r="K680" s="1"/>
      <c r="L680" s="1"/>
      <c r="M680" s="1"/>
      <c r="N680" s="1"/>
      <c r="O680" s="1"/>
      <c r="P680" s="82"/>
      <c r="Q680" s="1"/>
      <c r="R680" s="1"/>
      <c r="S680" s="83"/>
      <c r="T680" s="1"/>
      <c r="U680" s="1"/>
      <c r="V680" s="1"/>
      <c r="W680" s="1"/>
      <c r="X680" s="1"/>
      <c r="Y680" s="1"/>
    </row>
    <row r="681">
      <c r="A681" s="1"/>
      <c r="B681" s="83"/>
      <c r="C681" s="91"/>
      <c r="D681" s="1"/>
      <c r="E681" s="1"/>
      <c r="F681" s="1"/>
      <c r="G681" s="1"/>
      <c r="H681" s="1"/>
      <c r="I681" s="1"/>
      <c r="J681" s="1"/>
      <c r="K681" s="1"/>
      <c r="L681" s="1"/>
      <c r="M681" s="1"/>
      <c r="N681" s="1"/>
      <c r="O681" s="1"/>
      <c r="P681" s="82"/>
      <c r="Q681" s="1"/>
      <c r="R681" s="1"/>
      <c r="S681" s="83"/>
      <c r="T681" s="1"/>
      <c r="U681" s="1"/>
      <c r="V681" s="1"/>
      <c r="W681" s="1"/>
      <c r="X681" s="1"/>
      <c r="Y681" s="1"/>
    </row>
    <row r="682">
      <c r="A682" s="1"/>
      <c r="B682" s="83"/>
      <c r="C682" s="91"/>
      <c r="D682" s="1"/>
      <c r="E682" s="1"/>
      <c r="F682" s="1"/>
      <c r="G682" s="1"/>
      <c r="H682" s="1"/>
      <c r="I682" s="1"/>
      <c r="J682" s="1"/>
      <c r="K682" s="1"/>
      <c r="L682" s="1"/>
      <c r="M682" s="1"/>
      <c r="N682" s="1"/>
      <c r="O682" s="1"/>
      <c r="P682" s="82"/>
      <c r="Q682" s="1"/>
      <c r="R682" s="1"/>
      <c r="S682" s="83"/>
      <c r="T682" s="1"/>
      <c r="U682" s="1"/>
      <c r="V682" s="1"/>
      <c r="W682" s="1"/>
      <c r="X682" s="1"/>
      <c r="Y682" s="1"/>
    </row>
    <row r="683">
      <c r="A683" s="1"/>
      <c r="B683" s="83"/>
      <c r="C683" s="91"/>
      <c r="D683" s="1"/>
      <c r="E683" s="1"/>
      <c r="F683" s="1"/>
      <c r="G683" s="1"/>
      <c r="H683" s="1"/>
      <c r="I683" s="1"/>
      <c r="J683" s="1"/>
      <c r="K683" s="1"/>
      <c r="L683" s="1"/>
      <c r="M683" s="1"/>
      <c r="N683" s="1"/>
      <c r="O683" s="1"/>
      <c r="P683" s="82"/>
      <c r="Q683" s="1"/>
      <c r="R683" s="1"/>
      <c r="S683" s="83"/>
      <c r="T683" s="1"/>
      <c r="U683" s="1"/>
      <c r="V683" s="1"/>
      <c r="W683" s="1"/>
      <c r="X683" s="1"/>
      <c r="Y683" s="1"/>
    </row>
    <row r="684">
      <c r="A684" s="1"/>
      <c r="B684" s="83"/>
      <c r="C684" s="91"/>
      <c r="D684" s="1"/>
      <c r="E684" s="1"/>
      <c r="F684" s="1"/>
      <c r="G684" s="1"/>
      <c r="H684" s="1"/>
      <c r="I684" s="1"/>
      <c r="J684" s="1"/>
      <c r="K684" s="1"/>
      <c r="L684" s="1"/>
      <c r="M684" s="1"/>
      <c r="N684" s="1"/>
      <c r="O684" s="1"/>
      <c r="P684" s="82"/>
      <c r="Q684" s="1"/>
      <c r="R684" s="1"/>
      <c r="S684" s="83"/>
      <c r="T684" s="1"/>
      <c r="U684" s="1"/>
      <c r="V684" s="1"/>
      <c r="W684" s="1"/>
      <c r="X684" s="1"/>
      <c r="Y684" s="1"/>
    </row>
    <row r="685">
      <c r="A685" s="1"/>
      <c r="B685" s="83"/>
      <c r="C685" s="91"/>
      <c r="D685" s="1"/>
      <c r="E685" s="1"/>
      <c r="F685" s="1"/>
      <c r="G685" s="1"/>
      <c r="H685" s="1"/>
      <c r="I685" s="1"/>
      <c r="J685" s="1"/>
      <c r="K685" s="1"/>
      <c r="L685" s="1"/>
      <c r="M685" s="1"/>
      <c r="N685" s="1"/>
      <c r="O685" s="1"/>
      <c r="P685" s="82"/>
      <c r="Q685" s="1"/>
      <c r="R685" s="1"/>
      <c r="S685" s="83"/>
      <c r="T685" s="1"/>
      <c r="U685" s="1"/>
      <c r="V685" s="1"/>
      <c r="W685" s="1"/>
      <c r="X685" s="1"/>
      <c r="Y685" s="1"/>
    </row>
    <row r="686">
      <c r="A686" s="1"/>
      <c r="B686" s="83"/>
      <c r="C686" s="91"/>
      <c r="D686" s="1"/>
      <c r="E686" s="1"/>
      <c r="F686" s="1"/>
      <c r="G686" s="1"/>
      <c r="H686" s="1"/>
      <c r="I686" s="1"/>
      <c r="J686" s="1"/>
      <c r="K686" s="1"/>
      <c r="L686" s="1"/>
      <c r="M686" s="1"/>
      <c r="N686" s="1"/>
      <c r="O686" s="1"/>
      <c r="P686" s="82"/>
      <c r="Q686" s="1"/>
      <c r="R686" s="1"/>
      <c r="S686" s="83"/>
      <c r="T686" s="1"/>
      <c r="U686" s="1"/>
      <c r="V686" s="1"/>
      <c r="W686" s="1"/>
      <c r="X686" s="1"/>
      <c r="Y686" s="1"/>
    </row>
    <row r="687">
      <c r="A687" s="1"/>
      <c r="B687" s="83"/>
      <c r="C687" s="91"/>
      <c r="D687" s="1"/>
      <c r="E687" s="1"/>
      <c r="F687" s="1"/>
      <c r="G687" s="1"/>
      <c r="H687" s="1"/>
      <c r="I687" s="1"/>
      <c r="J687" s="1"/>
      <c r="K687" s="1"/>
      <c r="L687" s="1"/>
      <c r="M687" s="1"/>
      <c r="N687" s="1"/>
      <c r="O687" s="1"/>
      <c r="P687" s="82"/>
      <c r="Q687" s="1"/>
      <c r="R687" s="1"/>
      <c r="S687" s="83"/>
      <c r="T687" s="1"/>
      <c r="U687" s="1"/>
      <c r="V687" s="1"/>
      <c r="W687" s="1"/>
      <c r="X687" s="1"/>
      <c r="Y687" s="1"/>
    </row>
    <row r="688">
      <c r="A688" s="1"/>
      <c r="B688" s="83"/>
      <c r="C688" s="91"/>
      <c r="D688" s="1"/>
      <c r="E688" s="1"/>
      <c r="F688" s="1"/>
      <c r="G688" s="1"/>
      <c r="H688" s="1"/>
      <c r="I688" s="1"/>
      <c r="J688" s="1"/>
      <c r="K688" s="1"/>
      <c r="L688" s="1"/>
      <c r="M688" s="1"/>
      <c r="N688" s="1"/>
      <c r="O688" s="1"/>
      <c r="P688" s="82"/>
      <c r="Q688" s="1"/>
      <c r="R688" s="1"/>
      <c r="S688" s="83"/>
      <c r="T688" s="1"/>
      <c r="U688" s="1"/>
      <c r="V688" s="1"/>
      <c r="W688" s="1"/>
      <c r="X688" s="1"/>
      <c r="Y688" s="1"/>
    </row>
    <row r="689">
      <c r="A689" s="1"/>
      <c r="B689" s="83"/>
      <c r="C689" s="91"/>
      <c r="D689" s="1"/>
      <c r="E689" s="1"/>
      <c r="F689" s="1"/>
      <c r="G689" s="1"/>
      <c r="H689" s="1"/>
      <c r="I689" s="1"/>
      <c r="J689" s="1"/>
      <c r="K689" s="1"/>
      <c r="L689" s="1"/>
      <c r="M689" s="1"/>
      <c r="N689" s="1"/>
      <c r="O689" s="1"/>
      <c r="P689" s="82"/>
      <c r="Q689" s="1"/>
      <c r="R689" s="1"/>
      <c r="S689" s="83"/>
      <c r="T689" s="1"/>
      <c r="U689" s="1"/>
      <c r="V689" s="1"/>
      <c r="W689" s="1"/>
      <c r="X689" s="1"/>
      <c r="Y689" s="1"/>
    </row>
    <row r="690">
      <c r="A690" s="1"/>
      <c r="B690" s="83"/>
      <c r="C690" s="91"/>
      <c r="D690" s="1"/>
      <c r="E690" s="1"/>
      <c r="F690" s="1"/>
      <c r="G690" s="1"/>
      <c r="H690" s="1"/>
      <c r="I690" s="1"/>
      <c r="J690" s="1"/>
      <c r="K690" s="1"/>
      <c r="L690" s="1"/>
      <c r="M690" s="1"/>
      <c r="N690" s="1"/>
      <c r="O690" s="1"/>
      <c r="P690" s="82"/>
      <c r="Q690" s="1"/>
      <c r="R690" s="1"/>
      <c r="S690" s="83"/>
      <c r="T690" s="1"/>
      <c r="U690" s="1"/>
      <c r="V690" s="1"/>
      <c r="W690" s="1"/>
      <c r="X690" s="1"/>
      <c r="Y690" s="1"/>
    </row>
    <row r="691">
      <c r="A691" s="1"/>
      <c r="B691" s="83"/>
      <c r="C691" s="91"/>
      <c r="D691" s="1"/>
      <c r="E691" s="1"/>
      <c r="F691" s="1"/>
      <c r="G691" s="1"/>
      <c r="H691" s="1"/>
      <c r="I691" s="1"/>
      <c r="J691" s="1"/>
      <c r="K691" s="1"/>
      <c r="L691" s="1"/>
      <c r="M691" s="1"/>
      <c r="N691" s="1"/>
      <c r="O691" s="1"/>
      <c r="P691" s="82"/>
      <c r="Q691" s="1"/>
      <c r="R691" s="1"/>
      <c r="S691" s="83"/>
      <c r="T691" s="1"/>
      <c r="U691" s="1"/>
      <c r="V691" s="1"/>
      <c r="W691" s="1"/>
      <c r="X691" s="1"/>
      <c r="Y691" s="1"/>
    </row>
    <row r="692">
      <c r="A692" s="1"/>
      <c r="B692" s="83"/>
      <c r="C692" s="91"/>
      <c r="D692" s="1"/>
      <c r="E692" s="1"/>
      <c r="F692" s="1"/>
      <c r="G692" s="1"/>
      <c r="H692" s="1"/>
      <c r="I692" s="1"/>
      <c r="J692" s="1"/>
      <c r="K692" s="1"/>
      <c r="L692" s="1"/>
      <c r="M692" s="1"/>
      <c r="N692" s="1"/>
      <c r="O692" s="1"/>
      <c r="P692" s="82"/>
      <c r="Q692" s="1"/>
      <c r="R692" s="1"/>
      <c r="S692" s="83"/>
      <c r="T692" s="1"/>
      <c r="U692" s="1"/>
      <c r="V692" s="1"/>
      <c r="W692" s="1"/>
      <c r="X692" s="1"/>
      <c r="Y692" s="1"/>
    </row>
    <row r="693">
      <c r="A693" s="1"/>
      <c r="B693" s="83"/>
      <c r="C693" s="91"/>
      <c r="D693" s="1"/>
      <c r="E693" s="1"/>
      <c r="F693" s="1"/>
      <c r="G693" s="1"/>
      <c r="H693" s="1"/>
      <c r="I693" s="1"/>
      <c r="J693" s="1"/>
      <c r="K693" s="1"/>
      <c r="L693" s="1"/>
      <c r="M693" s="1"/>
      <c r="N693" s="1"/>
      <c r="O693" s="1"/>
      <c r="P693" s="82"/>
      <c r="Q693" s="1"/>
      <c r="R693" s="1"/>
      <c r="S693" s="83"/>
      <c r="T693" s="1"/>
      <c r="U693" s="1"/>
      <c r="V693" s="1"/>
      <c r="W693" s="1"/>
      <c r="X693" s="1"/>
      <c r="Y693" s="1"/>
    </row>
    <row r="694">
      <c r="A694" s="1"/>
      <c r="B694" s="83"/>
      <c r="C694" s="91"/>
      <c r="D694" s="1"/>
      <c r="E694" s="1"/>
      <c r="F694" s="1"/>
      <c r="G694" s="1"/>
      <c r="H694" s="1"/>
      <c r="I694" s="1"/>
      <c r="J694" s="1"/>
      <c r="K694" s="1"/>
      <c r="L694" s="1"/>
      <c r="M694" s="1"/>
      <c r="N694" s="1"/>
      <c r="O694" s="1"/>
      <c r="P694" s="82"/>
      <c r="Q694" s="1"/>
      <c r="R694" s="1"/>
      <c r="S694" s="83"/>
      <c r="T694" s="1"/>
      <c r="U694" s="1"/>
      <c r="V694" s="1"/>
      <c r="W694" s="1"/>
      <c r="X694" s="1"/>
      <c r="Y694" s="1"/>
    </row>
    <row r="695">
      <c r="A695" s="1"/>
      <c r="B695" s="83"/>
      <c r="C695" s="91"/>
      <c r="D695" s="1"/>
      <c r="E695" s="1"/>
      <c r="F695" s="1"/>
      <c r="G695" s="1"/>
      <c r="H695" s="1"/>
      <c r="I695" s="1"/>
      <c r="J695" s="1"/>
      <c r="K695" s="1"/>
      <c r="L695" s="1"/>
      <c r="M695" s="1"/>
      <c r="N695" s="1"/>
      <c r="O695" s="1"/>
      <c r="P695" s="82"/>
      <c r="Q695" s="1"/>
      <c r="R695" s="1"/>
      <c r="S695" s="83"/>
      <c r="T695" s="1"/>
      <c r="U695" s="1"/>
      <c r="V695" s="1"/>
      <c r="W695" s="1"/>
      <c r="X695" s="1"/>
      <c r="Y695" s="1"/>
    </row>
    <row r="696">
      <c r="A696" s="1"/>
      <c r="B696" s="83"/>
      <c r="C696" s="91"/>
      <c r="D696" s="1"/>
      <c r="E696" s="1"/>
      <c r="F696" s="1"/>
      <c r="G696" s="1"/>
      <c r="H696" s="1"/>
      <c r="I696" s="1"/>
      <c r="J696" s="1"/>
      <c r="K696" s="1"/>
      <c r="L696" s="1"/>
      <c r="M696" s="1"/>
      <c r="N696" s="1"/>
      <c r="O696" s="1"/>
      <c r="P696" s="82"/>
      <c r="Q696" s="1"/>
      <c r="R696" s="1"/>
      <c r="S696" s="83"/>
      <c r="T696" s="1"/>
      <c r="U696" s="1"/>
      <c r="V696" s="1"/>
      <c r="W696" s="1"/>
      <c r="X696" s="1"/>
      <c r="Y696" s="1"/>
    </row>
    <row r="697">
      <c r="A697" s="1"/>
      <c r="B697" s="83"/>
      <c r="C697" s="91"/>
      <c r="D697" s="1"/>
      <c r="E697" s="1"/>
      <c r="F697" s="1"/>
      <c r="G697" s="1"/>
      <c r="H697" s="1"/>
      <c r="I697" s="1"/>
      <c r="J697" s="1"/>
      <c r="K697" s="1"/>
      <c r="L697" s="1"/>
      <c r="M697" s="1"/>
      <c r="N697" s="1"/>
      <c r="O697" s="1"/>
      <c r="P697" s="82"/>
      <c r="Q697" s="1"/>
      <c r="R697" s="1"/>
      <c r="S697" s="83"/>
      <c r="T697" s="1"/>
      <c r="U697" s="1"/>
      <c r="V697" s="1"/>
      <c r="W697" s="1"/>
      <c r="X697" s="1"/>
      <c r="Y697" s="1"/>
    </row>
    <row r="698">
      <c r="A698" s="1"/>
      <c r="B698" s="83"/>
      <c r="C698" s="91"/>
      <c r="D698" s="1"/>
      <c r="E698" s="1"/>
      <c r="F698" s="1"/>
      <c r="G698" s="1"/>
      <c r="H698" s="1"/>
      <c r="I698" s="1"/>
      <c r="J698" s="1"/>
      <c r="K698" s="1"/>
      <c r="L698" s="1"/>
      <c r="M698" s="1"/>
      <c r="N698" s="1"/>
      <c r="O698" s="1"/>
      <c r="P698" s="82"/>
      <c r="Q698" s="1"/>
      <c r="R698" s="1"/>
      <c r="S698" s="83"/>
      <c r="T698" s="1"/>
      <c r="U698" s="1"/>
      <c r="V698" s="1"/>
      <c r="W698" s="1"/>
      <c r="X698" s="1"/>
      <c r="Y698" s="1"/>
    </row>
    <row r="699">
      <c r="A699" s="1"/>
      <c r="B699" s="83"/>
      <c r="C699" s="91"/>
      <c r="D699" s="1"/>
      <c r="E699" s="1"/>
      <c r="F699" s="1"/>
      <c r="G699" s="1"/>
      <c r="H699" s="1"/>
      <c r="I699" s="1"/>
      <c r="J699" s="1"/>
      <c r="K699" s="1"/>
      <c r="L699" s="1"/>
      <c r="M699" s="1"/>
      <c r="N699" s="1"/>
      <c r="O699" s="1"/>
      <c r="P699" s="82"/>
      <c r="Q699" s="1"/>
      <c r="R699" s="1"/>
      <c r="S699" s="83"/>
      <c r="T699" s="1"/>
      <c r="U699" s="1"/>
      <c r="V699" s="1"/>
      <c r="W699" s="1"/>
      <c r="X699" s="1"/>
      <c r="Y699" s="1"/>
    </row>
    <row r="700">
      <c r="A700" s="1"/>
      <c r="B700" s="83"/>
      <c r="C700" s="91"/>
      <c r="D700" s="1"/>
      <c r="E700" s="1"/>
      <c r="F700" s="1"/>
      <c r="G700" s="1"/>
      <c r="H700" s="1"/>
      <c r="I700" s="1"/>
      <c r="J700" s="1"/>
      <c r="K700" s="1"/>
      <c r="L700" s="1"/>
      <c r="M700" s="1"/>
      <c r="N700" s="1"/>
      <c r="O700" s="1"/>
      <c r="P700" s="82"/>
      <c r="Q700" s="1"/>
      <c r="R700" s="1"/>
      <c r="S700" s="83"/>
      <c r="T700" s="1"/>
      <c r="U700" s="1"/>
      <c r="V700" s="1"/>
      <c r="W700" s="1"/>
      <c r="X700" s="1"/>
      <c r="Y700" s="1"/>
    </row>
    <row r="701">
      <c r="A701" s="1"/>
      <c r="B701" s="83"/>
      <c r="C701" s="91"/>
      <c r="D701" s="1"/>
      <c r="E701" s="1"/>
      <c r="F701" s="1"/>
      <c r="G701" s="1"/>
      <c r="H701" s="1"/>
      <c r="I701" s="1"/>
      <c r="J701" s="1"/>
      <c r="K701" s="1"/>
      <c r="L701" s="1"/>
      <c r="M701" s="1"/>
      <c r="N701" s="1"/>
      <c r="O701" s="1"/>
      <c r="P701" s="82"/>
      <c r="Q701" s="1"/>
      <c r="R701" s="1"/>
      <c r="S701" s="83"/>
      <c r="T701" s="1"/>
      <c r="U701" s="1"/>
      <c r="V701" s="1"/>
      <c r="W701" s="1"/>
      <c r="X701" s="1"/>
      <c r="Y701" s="1"/>
    </row>
    <row r="702">
      <c r="A702" s="1"/>
      <c r="B702" s="83"/>
      <c r="C702" s="91"/>
      <c r="D702" s="1"/>
      <c r="E702" s="1"/>
      <c r="F702" s="1"/>
      <c r="G702" s="1"/>
      <c r="H702" s="1"/>
      <c r="I702" s="1"/>
      <c r="J702" s="1"/>
      <c r="K702" s="1"/>
      <c r="L702" s="1"/>
      <c r="M702" s="1"/>
      <c r="N702" s="1"/>
      <c r="O702" s="1"/>
      <c r="P702" s="82"/>
      <c r="Q702" s="1"/>
      <c r="R702" s="1"/>
      <c r="S702" s="83"/>
      <c r="T702" s="1"/>
      <c r="U702" s="1"/>
      <c r="V702" s="1"/>
      <c r="W702" s="1"/>
      <c r="X702" s="1"/>
      <c r="Y702" s="1"/>
    </row>
    <row r="703">
      <c r="A703" s="1"/>
      <c r="B703" s="83"/>
      <c r="C703" s="91"/>
      <c r="D703" s="1"/>
      <c r="E703" s="1"/>
      <c r="F703" s="1"/>
      <c r="G703" s="1"/>
      <c r="H703" s="1"/>
      <c r="I703" s="1"/>
      <c r="J703" s="1"/>
      <c r="K703" s="1"/>
      <c r="L703" s="1"/>
      <c r="M703" s="1"/>
      <c r="N703" s="1"/>
      <c r="O703" s="1"/>
      <c r="P703" s="82"/>
      <c r="Q703" s="1"/>
      <c r="R703" s="1"/>
      <c r="S703" s="83"/>
      <c r="T703" s="1"/>
      <c r="U703" s="1"/>
      <c r="V703" s="1"/>
      <c r="W703" s="1"/>
      <c r="X703" s="1"/>
      <c r="Y703" s="1"/>
    </row>
    <row r="704">
      <c r="A704" s="1"/>
      <c r="B704" s="83"/>
      <c r="C704" s="91"/>
      <c r="D704" s="1"/>
      <c r="E704" s="1"/>
      <c r="F704" s="1"/>
      <c r="G704" s="1"/>
      <c r="H704" s="1"/>
      <c r="I704" s="1"/>
      <c r="J704" s="1"/>
      <c r="K704" s="1"/>
      <c r="L704" s="1"/>
      <c r="M704" s="1"/>
      <c r="N704" s="1"/>
      <c r="O704" s="1"/>
      <c r="P704" s="82"/>
      <c r="Q704" s="1"/>
      <c r="R704" s="1"/>
      <c r="S704" s="83"/>
      <c r="T704" s="1"/>
      <c r="U704" s="1"/>
      <c r="V704" s="1"/>
      <c r="W704" s="1"/>
      <c r="X704" s="1"/>
      <c r="Y704" s="1"/>
    </row>
    <row r="705">
      <c r="A705" s="1"/>
      <c r="B705" s="83"/>
      <c r="C705" s="91"/>
      <c r="D705" s="1"/>
      <c r="E705" s="1"/>
      <c r="F705" s="1"/>
      <c r="G705" s="1"/>
      <c r="H705" s="1"/>
      <c r="I705" s="1"/>
      <c r="J705" s="1"/>
      <c r="K705" s="1"/>
      <c r="L705" s="1"/>
      <c r="M705" s="1"/>
      <c r="N705" s="1"/>
      <c r="O705" s="1"/>
      <c r="P705" s="82"/>
      <c r="Q705" s="1"/>
      <c r="R705" s="1"/>
      <c r="S705" s="83"/>
      <c r="T705" s="1"/>
      <c r="U705" s="1"/>
      <c r="V705" s="1"/>
      <c r="W705" s="1"/>
      <c r="X705" s="1"/>
      <c r="Y705" s="1"/>
    </row>
    <row r="706">
      <c r="A706" s="1"/>
      <c r="B706" s="83"/>
      <c r="C706" s="91"/>
      <c r="D706" s="1"/>
      <c r="E706" s="1"/>
      <c r="F706" s="1"/>
      <c r="G706" s="1"/>
      <c r="H706" s="1"/>
      <c r="I706" s="1"/>
      <c r="J706" s="1"/>
      <c r="K706" s="1"/>
      <c r="L706" s="1"/>
      <c r="M706" s="1"/>
      <c r="N706" s="1"/>
      <c r="O706" s="1"/>
      <c r="P706" s="82"/>
      <c r="Q706" s="1"/>
      <c r="R706" s="1"/>
      <c r="S706" s="83"/>
      <c r="T706" s="1"/>
      <c r="U706" s="1"/>
      <c r="V706" s="1"/>
      <c r="W706" s="1"/>
      <c r="X706" s="1"/>
      <c r="Y706" s="1"/>
    </row>
    <row r="707">
      <c r="A707" s="1"/>
      <c r="B707" s="83"/>
      <c r="C707" s="91"/>
      <c r="D707" s="1"/>
      <c r="E707" s="1"/>
      <c r="F707" s="1"/>
      <c r="G707" s="1"/>
      <c r="H707" s="1"/>
      <c r="I707" s="1"/>
      <c r="J707" s="1"/>
      <c r="K707" s="1"/>
      <c r="L707" s="1"/>
      <c r="M707" s="1"/>
      <c r="N707" s="1"/>
      <c r="O707" s="1"/>
      <c r="P707" s="82"/>
      <c r="Q707" s="1"/>
      <c r="R707" s="1"/>
      <c r="S707" s="83"/>
      <c r="T707" s="1"/>
      <c r="U707" s="1"/>
      <c r="V707" s="1"/>
      <c r="W707" s="1"/>
      <c r="X707" s="1"/>
      <c r="Y707" s="1"/>
    </row>
    <row r="708">
      <c r="A708" s="1"/>
      <c r="B708" s="83"/>
      <c r="C708" s="91"/>
      <c r="D708" s="1"/>
      <c r="E708" s="1"/>
      <c r="F708" s="1"/>
      <c r="G708" s="1"/>
      <c r="H708" s="1"/>
      <c r="I708" s="1"/>
      <c r="J708" s="1"/>
      <c r="K708" s="1"/>
      <c r="L708" s="1"/>
      <c r="M708" s="1"/>
      <c r="N708" s="1"/>
      <c r="O708" s="1"/>
      <c r="P708" s="82"/>
      <c r="Q708" s="1"/>
      <c r="R708" s="1"/>
      <c r="S708" s="83"/>
      <c r="T708" s="1"/>
      <c r="U708" s="1"/>
      <c r="V708" s="1"/>
      <c r="W708" s="1"/>
      <c r="X708" s="1"/>
      <c r="Y708" s="1"/>
    </row>
    <row r="709">
      <c r="A709" s="1"/>
      <c r="B709" s="83"/>
      <c r="C709" s="91"/>
      <c r="D709" s="1"/>
      <c r="E709" s="1"/>
      <c r="F709" s="1"/>
      <c r="G709" s="1"/>
      <c r="H709" s="1"/>
      <c r="I709" s="1"/>
      <c r="J709" s="1"/>
      <c r="K709" s="1"/>
      <c r="L709" s="1"/>
      <c r="M709" s="1"/>
      <c r="N709" s="1"/>
      <c r="O709" s="1"/>
      <c r="P709" s="82"/>
      <c r="Q709" s="1"/>
      <c r="R709" s="1"/>
      <c r="S709" s="83"/>
      <c r="T709" s="1"/>
      <c r="U709" s="1"/>
      <c r="V709" s="1"/>
      <c r="W709" s="1"/>
      <c r="X709" s="1"/>
      <c r="Y709" s="1"/>
    </row>
    <row r="710">
      <c r="A710" s="1"/>
      <c r="B710" s="83"/>
      <c r="C710" s="91"/>
      <c r="D710" s="1"/>
      <c r="E710" s="1"/>
      <c r="F710" s="1"/>
      <c r="G710" s="1"/>
      <c r="H710" s="1"/>
      <c r="I710" s="1"/>
      <c r="J710" s="1"/>
      <c r="K710" s="1"/>
      <c r="L710" s="1"/>
      <c r="M710" s="1"/>
      <c r="N710" s="1"/>
      <c r="O710" s="1"/>
      <c r="P710" s="82"/>
      <c r="Q710" s="1"/>
      <c r="R710" s="1"/>
      <c r="S710" s="83"/>
      <c r="T710" s="1"/>
      <c r="U710" s="1"/>
      <c r="V710" s="1"/>
      <c r="W710" s="1"/>
      <c r="X710" s="1"/>
      <c r="Y710" s="1"/>
    </row>
    <row r="711">
      <c r="A711" s="1"/>
      <c r="B711" s="83"/>
      <c r="C711" s="91"/>
      <c r="D711" s="1"/>
      <c r="E711" s="1"/>
      <c r="F711" s="1"/>
      <c r="G711" s="1"/>
      <c r="H711" s="1"/>
      <c r="I711" s="1"/>
      <c r="J711" s="1"/>
      <c r="K711" s="1"/>
      <c r="L711" s="1"/>
      <c r="M711" s="1"/>
      <c r="N711" s="1"/>
      <c r="O711" s="1"/>
      <c r="P711" s="82"/>
      <c r="Q711" s="1"/>
      <c r="R711" s="1"/>
      <c r="S711" s="83"/>
      <c r="T711" s="1"/>
      <c r="U711" s="1"/>
      <c r="V711" s="1"/>
      <c r="W711" s="1"/>
      <c r="X711" s="1"/>
      <c r="Y711" s="1"/>
    </row>
    <row r="712">
      <c r="A712" s="1"/>
      <c r="B712" s="83"/>
      <c r="C712" s="91"/>
      <c r="D712" s="1"/>
      <c r="E712" s="1"/>
      <c r="F712" s="1"/>
      <c r="G712" s="1"/>
      <c r="H712" s="1"/>
      <c r="I712" s="1"/>
      <c r="J712" s="1"/>
      <c r="K712" s="1"/>
      <c r="L712" s="1"/>
      <c r="M712" s="1"/>
      <c r="N712" s="1"/>
      <c r="O712" s="1"/>
      <c r="P712" s="82"/>
      <c r="Q712" s="1"/>
      <c r="R712" s="1"/>
      <c r="S712" s="83"/>
      <c r="T712" s="1"/>
      <c r="U712" s="1"/>
      <c r="V712" s="1"/>
      <c r="W712" s="1"/>
      <c r="X712" s="1"/>
      <c r="Y712" s="1"/>
    </row>
    <row r="713">
      <c r="A713" s="1"/>
      <c r="B713" s="83"/>
      <c r="C713" s="91"/>
      <c r="D713" s="1"/>
      <c r="E713" s="1"/>
      <c r="F713" s="1"/>
      <c r="G713" s="1"/>
      <c r="H713" s="1"/>
      <c r="I713" s="1"/>
      <c r="J713" s="1"/>
      <c r="K713" s="1"/>
      <c r="L713" s="1"/>
      <c r="M713" s="1"/>
      <c r="N713" s="1"/>
      <c r="O713" s="1"/>
      <c r="P713" s="82"/>
      <c r="Q713" s="1"/>
      <c r="R713" s="1"/>
      <c r="S713" s="83"/>
      <c r="T713" s="1"/>
      <c r="U713" s="1"/>
      <c r="V713" s="1"/>
      <c r="W713" s="1"/>
      <c r="X713" s="1"/>
      <c r="Y713" s="1"/>
    </row>
    <row r="714">
      <c r="A714" s="1"/>
      <c r="B714" s="83"/>
      <c r="C714" s="91"/>
      <c r="D714" s="1"/>
      <c r="E714" s="1"/>
      <c r="F714" s="1"/>
      <c r="G714" s="1"/>
      <c r="H714" s="1"/>
      <c r="I714" s="1"/>
      <c r="J714" s="1"/>
      <c r="K714" s="1"/>
      <c r="L714" s="1"/>
      <c r="M714" s="1"/>
      <c r="N714" s="1"/>
      <c r="O714" s="1"/>
      <c r="P714" s="82"/>
      <c r="Q714" s="1"/>
      <c r="R714" s="1"/>
      <c r="S714" s="83"/>
      <c r="T714" s="1"/>
      <c r="U714" s="1"/>
      <c r="V714" s="1"/>
      <c r="W714" s="1"/>
      <c r="X714" s="1"/>
      <c r="Y714" s="1"/>
    </row>
    <row r="715">
      <c r="A715" s="1"/>
      <c r="B715" s="83"/>
      <c r="C715" s="91"/>
      <c r="D715" s="1"/>
      <c r="E715" s="1"/>
      <c r="F715" s="1"/>
      <c r="G715" s="1"/>
      <c r="H715" s="1"/>
      <c r="I715" s="1"/>
      <c r="J715" s="1"/>
      <c r="K715" s="1"/>
      <c r="L715" s="1"/>
      <c r="M715" s="1"/>
      <c r="N715" s="1"/>
      <c r="O715" s="1"/>
      <c r="P715" s="82"/>
      <c r="Q715" s="1"/>
      <c r="R715" s="1"/>
      <c r="S715" s="83"/>
      <c r="T715" s="1"/>
      <c r="U715" s="1"/>
      <c r="V715" s="1"/>
      <c r="W715" s="1"/>
      <c r="X715" s="1"/>
      <c r="Y715" s="1"/>
    </row>
    <row r="716">
      <c r="A716" s="1"/>
      <c r="B716" s="83"/>
      <c r="C716" s="91"/>
      <c r="D716" s="1"/>
      <c r="E716" s="1"/>
      <c r="F716" s="1"/>
      <c r="G716" s="1"/>
      <c r="H716" s="1"/>
      <c r="I716" s="1"/>
      <c r="J716" s="1"/>
      <c r="K716" s="1"/>
      <c r="L716" s="1"/>
      <c r="M716" s="1"/>
      <c r="N716" s="1"/>
      <c r="O716" s="1"/>
      <c r="P716" s="82"/>
      <c r="Q716" s="1"/>
      <c r="R716" s="1"/>
      <c r="S716" s="83"/>
      <c r="T716" s="1"/>
      <c r="U716" s="1"/>
      <c r="V716" s="1"/>
      <c r="W716" s="1"/>
      <c r="X716" s="1"/>
      <c r="Y716" s="1"/>
    </row>
    <row r="717">
      <c r="A717" s="1"/>
      <c r="B717" s="83"/>
      <c r="C717" s="91"/>
      <c r="D717" s="1"/>
      <c r="E717" s="1"/>
      <c r="F717" s="1"/>
      <c r="G717" s="1"/>
      <c r="H717" s="1"/>
      <c r="I717" s="1"/>
      <c r="J717" s="1"/>
      <c r="K717" s="1"/>
      <c r="L717" s="1"/>
      <c r="M717" s="1"/>
      <c r="N717" s="1"/>
      <c r="O717" s="1"/>
      <c r="P717" s="82"/>
      <c r="Q717" s="1"/>
      <c r="R717" s="1"/>
      <c r="S717" s="83"/>
      <c r="T717" s="1"/>
      <c r="U717" s="1"/>
      <c r="V717" s="1"/>
      <c r="W717" s="1"/>
      <c r="X717" s="1"/>
      <c r="Y717" s="1"/>
    </row>
    <row r="718">
      <c r="A718" s="1"/>
      <c r="B718" s="83"/>
      <c r="C718" s="91"/>
      <c r="D718" s="1"/>
      <c r="E718" s="1"/>
      <c r="F718" s="1"/>
      <c r="G718" s="1"/>
      <c r="H718" s="1"/>
      <c r="I718" s="1"/>
      <c r="J718" s="1"/>
      <c r="K718" s="1"/>
      <c r="L718" s="1"/>
      <c r="M718" s="1"/>
      <c r="N718" s="1"/>
      <c r="O718" s="1"/>
      <c r="P718" s="82"/>
      <c r="Q718" s="1"/>
      <c r="R718" s="1"/>
      <c r="S718" s="83"/>
      <c r="T718" s="1"/>
      <c r="U718" s="1"/>
      <c r="V718" s="1"/>
      <c r="W718" s="1"/>
      <c r="X718" s="1"/>
      <c r="Y718" s="1"/>
    </row>
    <row r="719">
      <c r="A719" s="1"/>
      <c r="B719" s="83"/>
      <c r="C719" s="91"/>
      <c r="D719" s="1"/>
      <c r="E719" s="1"/>
      <c r="F719" s="1"/>
      <c r="G719" s="1"/>
      <c r="H719" s="1"/>
      <c r="I719" s="1"/>
      <c r="J719" s="1"/>
      <c r="K719" s="1"/>
      <c r="L719" s="1"/>
      <c r="M719" s="1"/>
      <c r="N719" s="1"/>
      <c r="O719" s="1"/>
      <c r="P719" s="82"/>
      <c r="Q719" s="1"/>
      <c r="R719" s="1"/>
      <c r="S719" s="83"/>
      <c r="T719" s="1"/>
      <c r="U719" s="1"/>
      <c r="V719" s="1"/>
      <c r="W719" s="1"/>
      <c r="X719" s="1"/>
      <c r="Y719" s="1"/>
    </row>
    <row r="720">
      <c r="A720" s="1"/>
      <c r="B720" s="83"/>
      <c r="C720" s="91"/>
      <c r="D720" s="1"/>
      <c r="E720" s="1"/>
      <c r="F720" s="1"/>
      <c r="G720" s="1"/>
      <c r="H720" s="1"/>
      <c r="I720" s="1"/>
      <c r="J720" s="1"/>
      <c r="K720" s="1"/>
      <c r="L720" s="1"/>
      <c r="M720" s="1"/>
      <c r="N720" s="1"/>
      <c r="O720" s="1"/>
      <c r="P720" s="82"/>
      <c r="Q720" s="1"/>
      <c r="R720" s="1"/>
      <c r="S720" s="83"/>
      <c r="T720" s="1"/>
      <c r="U720" s="1"/>
      <c r="V720" s="1"/>
      <c r="W720" s="1"/>
      <c r="X720" s="1"/>
      <c r="Y720" s="1"/>
    </row>
    <row r="721">
      <c r="A721" s="1"/>
      <c r="B721" s="83"/>
      <c r="C721" s="91"/>
      <c r="D721" s="1"/>
      <c r="E721" s="1"/>
      <c r="F721" s="1"/>
      <c r="G721" s="1"/>
      <c r="H721" s="1"/>
      <c r="I721" s="1"/>
      <c r="J721" s="1"/>
      <c r="K721" s="1"/>
      <c r="L721" s="1"/>
      <c r="M721" s="1"/>
      <c r="N721" s="1"/>
      <c r="O721" s="1"/>
      <c r="P721" s="82"/>
      <c r="Q721" s="1"/>
      <c r="R721" s="1"/>
      <c r="S721" s="83"/>
      <c r="T721" s="1"/>
      <c r="U721" s="1"/>
      <c r="V721" s="1"/>
      <c r="W721" s="1"/>
      <c r="X721" s="1"/>
      <c r="Y721" s="1"/>
    </row>
    <row r="722">
      <c r="A722" s="1"/>
      <c r="B722" s="83"/>
      <c r="C722" s="91"/>
      <c r="D722" s="1"/>
      <c r="E722" s="1"/>
      <c r="F722" s="1"/>
      <c r="G722" s="1"/>
      <c r="H722" s="1"/>
      <c r="I722" s="1"/>
      <c r="J722" s="1"/>
      <c r="K722" s="1"/>
      <c r="L722" s="1"/>
      <c r="M722" s="1"/>
      <c r="N722" s="1"/>
      <c r="O722" s="1"/>
      <c r="P722" s="82"/>
      <c r="Q722" s="1"/>
      <c r="R722" s="1"/>
      <c r="S722" s="83"/>
      <c r="T722" s="1"/>
      <c r="U722" s="1"/>
      <c r="V722" s="1"/>
      <c r="W722" s="1"/>
      <c r="X722" s="1"/>
      <c r="Y722" s="1"/>
    </row>
    <row r="723">
      <c r="A723" s="1"/>
      <c r="B723" s="83"/>
      <c r="C723" s="91"/>
      <c r="D723" s="1"/>
      <c r="E723" s="1"/>
      <c r="F723" s="1"/>
      <c r="G723" s="1"/>
      <c r="H723" s="1"/>
      <c r="I723" s="1"/>
      <c r="J723" s="1"/>
      <c r="K723" s="1"/>
      <c r="L723" s="1"/>
      <c r="M723" s="1"/>
      <c r="N723" s="1"/>
      <c r="O723" s="1"/>
      <c r="P723" s="82"/>
      <c r="Q723" s="1"/>
      <c r="R723" s="1"/>
      <c r="S723" s="83"/>
      <c r="T723" s="1"/>
      <c r="U723" s="1"/>
      <c r="V723" s="1"/>
      <c r="W723" s="1"/>
      <c r="X723" s="1"/>
      <c r="Y723" s="1"/>
    </row>
    <row r="724">
      <c r="A724" s="1"/>
      <c r="B724" s="83"/>
      <c r="C724" s="91"/>
      <c r="D724" s="1"/>
      <c r="E724" s="1"/>
      <c r="F724" s="1"/>
      <c r="G724" s="1"/>
      <c r="H724" s="1"/>
      <c r="I724" s="1"/>
      <c r="J724" s="1"/>
      <c r="K724" s="1"/>
      <c r="L724" s="1"/>
      <c r="M724" s="1"/>
      <c r="N724" s="1"/>
      <c r="O724" s="1"/>
      <c r="P724" s="82"/>
      <c r="Q724" s="1"/>
      <c r="R724" s="1"/>
      <c r="S724" s="83"/>
      <c r="T724" s="1"/>
      <c r="U724" s="1"/>
      <c r="V724" s="1"/>
      <c r="W724" s="1"/>
      <c r="X724" s="1"/>
      <c r="Y724" s="1"/>
    </row>
    <row r="725">
      <c r="A725" s="1"/>
      <c r="B725" s="83"/>
      <c r="C725" s="91"/>
      <c r="D725" s="1"/>
      <c r="E725" s="1"/>
      <c r="F725" s="1"/>
      <c r="G725" s="1"/>
      <c r="H725" s="1"/>
      <c r="I725" s="1"/>
      <c r="J725" s="1"/>
      <c r="K725" s="1"/>
      <c r="L725" s="1"/>
      <c r="M725" s="1"/>
      <c r="N725" s="1"/>
      <c r="O725" s="1"/>
      <c r="P725" s="82"/>
      <c r="Q725" s="1"/>
      <c r="R725" s="1"/>
      <c r="S725" s="83"/>
      <c r="T725" s="1"/>
      <c r="U725" s="1"/>
      <c r="V725" s="1"/>
      <c r="W725" s="1"/>
      <c r="X725" s="1"/>
      <c r="Y725" s="1"/>
    </row>
    <row r="726">
      <c r="A726" s="1"/>
      <c r="B726" s="83"/>
      <c r="C726" s="91"/>
      <c r="D726" s="1"/>
      <c r="E726" s="1"/>
      <c r="F726" s="1"/>
      <c r="G726" s="1"/>
      <c r="H726" s="1"/>
      <c r="I726" s="1"/>
      <c r="J726" s="1"/>
      <c r="K726" s="1"/>
      <c r="L726" s="1"/>
      <c r="M726" s="1"/>
      <c r="N726" s="1"/>
      <c r="O726" s="1"/>
      <c r="P726" s="82"/>
      <c r="Q726" s="1"/>
      <c r="R726" s="1"/>
      <c r="S726" s="83"/>
      <c r="T726" s="1"/>
      <c r="U726" s="1"/>
      <c r="V726" s="1"/>
      <c r="W726" s="1"/>
      <c r="X726" s="1"/>
      <c r="Y726" s="1"/>
    </row>
    <row r="727">
      <c r="A727" s="1"/>
      <c r="B727" s="83"/>
      <c r="C727" s="91"/>
      <c r="D727" s="1"/>
      <c r="E727" s="1"/>
      <c r="F727" s="1"/>
      <c r="G727" s="1"/>
      <c r="H727" s="1"/>
      <c r="I727" s="1"/>
      <c r="J727" s="1"/>
      <c r="K727" s="1"/>
      <c r="L727" s="1"/>
      <c r="M727" s="1"/>
      <c r="N727" s="1"/>
      <c r="O727" s="1"/>
      <c r="P727" s="82"/>
      <c r="Q727" s="1"/>
      <c r="R727" s="1"/>
      <c r="S727" s="83"/>
      <c r="T727" s="1"/>
      <c r="U727" s="1"/>
      <c r="V727" s="1"/>
      <c r="W727" s="1"/>
      <c r="X727" s="1"/>
      <c r="Y727" s="1"/>
    </row>
    <row r="728">
      <c r="A728" s="1"/>
      <c r="B728" s="83"/>
      <c r="C728" s="91"/>
      <c r="D728" s="1"/>
      <c r="E728" s="1"/>
      <c r="F728" s="1"/>
      <c r="G728" s="1"/>
      <c r="H728" s="1"/>
      <c r="I728" s="1"/>
      <c r="J728" s="1"/>
      <c r="K728" s="1"/>
      <c r="L728" s="1"/>
      <c r="M728" s="1"/>
      <c r="N728" s="1"/>
      <c r="O728" s="1"/>
      <c r="P728" s="82"/>
      <c r="Q728" s="1"/>
      <c r="R728" s="1"/>
      <c r="S728" s="83"/>
      <c r="T728" s="1"/>
      <c r="U728" s="1"/>
      <c r="V728" s="1"/>
      <c r="W728" s="1"/>
      <c r="X728" s="1"/>
      <c r="Y728" s="1"/>
    </row>
    <row r="729">
      <c r="A729" s="1"/>
      <c r="B729" s="83"/>
      <c r="C729" s="91"/>
      <c r="D729" s="1"/>
      <c r="E729" s="1"/>
      <c r="F729" s="1"/>
      <c r="G729" s="1"/>
      <c r="H729" s="1"/>
      <c r="I729" s="1"/>
      <c r="J729" s="1"/>
      <c r="K729" s="1"/>
      <c r="L729" s="1"/>
      <c r="M729" s="1"/>
      <c r="N729" s="1"/>
      <c r="O729" s="1"/>
      <c r="P729" s="82"/>
      <c r="Q729" s="1"/>
      <c r="R729" s="1"/>
      <c r="S729" s="83"/>
      <c r="T729" s="1"/>
      <c r="U729" s="1"/>
      <c r="V729" s="1"/>
      <c r="W729" s="1"/>
      <c r="X729" s="1"/>
      <c r="Y729" s="1"/>
    </row>
    <row r="730">
      <c r="A730" s="1"/>
      <c r="B730" s="83"/>
      <c r="C730" s="91"/>
      <c r="D730" s="1"/>
      <c r="E730" s="1"/>
      <c r="F730" s="1"/>
      <c r="G730" s="1"/>
      <c r="H730" s="1"/>
      <c r="I730" s="1"/>
      <c r="J730" s="1"/>
      <c r="K730" s="1"/>
      <c r="L730" s="1"/>
      <c r="M730" s="1"/>
      <c r="N730" s="1"/>
      <c r="O730" s="1"/>
      <c r="P730" s="82"/>
      <c r="Q730" s="1"/>
      <c r="R730" s="1"/>
      <c r="S730" s="83"/>
      <c r="T730" s="1"/>
      <c r="U730" s="1"/>
      <c r="V730" s="1"/>
      <c r="W730" s="1"/>
      <c r="X730" s="1"/>
      <c r="Y730" s="1"/>
    </row>
    <row r="731">
      <c r="A731" s="1"/>
      <c r="B731" s="83"/>
      <c r="C731" s="91"/>
      <c r="D731" s="1"/>
      <c r="E731" s="1"/>
      <c r="F731" s="1"/>
      <c r="G731" s="1"/>
      <c r="H731" s="1"/>
      <c r="I731" s="1"/>
      <c r="J731" s="1"/>
      <c r="K731" s="1"/>
      <c r="L731" s="1"/>
      <c r="M731" s="1"/>
      <c r="N731" s="1"/>
      <c r="O731" s="1"/>
      <c r="P731" s="82"/>
      <c r="Q731" s="1"/>
      <c r="R731" s="1"/>
      <c r="S731" s="83"/>
      <c r="T731" s="1"/>
      <c r="U731" s="1"/>
      <c r="V731" s="1"/>
      <c r="W731" s="1"/>
      <c r="X731" s="1"/>
      <c r="Y731" s="1"/>
    </row>
    <row r="732">
      <c r="A732" s="1"/>
      <c r="B732" s="83"/>
      <c r="C732" s="91"/>
      <c r="D732" s="1"/>
      <c r="E732" s="1"/>
      <c r="F732" s="1"/>
      <c r="G732" s="1"/>
      <c r="H732" s="1"/>
      <c r="I732" s="1"/>
      <c r="J732" s="1"/>
      <c r="K732" s="1"/>
      <c r="L732" s="1"/>
      <c r="M732" s="1"/>
      <c r="N732" s="1"/>
      <c r="O732" s="1"/>
      <c r="P732" s="82"/>
      <c r="Q732" s="1"/>
      <c r="R732" s="1"/>
      <c r="S732" s="83"/>
      <c r="T732" s="1"/>
      <c r="U732" s="1"/>
      <c r="V732" s="1"/>
      <c r="W732" s="1"/>
      <c r="X732" s="1"/>
      <c r="Y732" s="1"/>
    </row>
    <row r="733">
      <c r="A733" s="1"/>
      <c r="B733" s="83"/>
      <c r="C733" s="91"/>
      <c r="D733" s="1"/>
      <c r="E733" s="1"/>
      <c r="F733" s="1"/>
      <c r="G733" s="1"/>
      <c r="H733" s="1"/>
      <c r="I733" s="1"/>
      <c r="J733" s="1"/>
      <c r="K733" s="1"/>
      <c r="L733" s="1"/>
      <c r="M733" s="1"/>
      <c r="N733" s="1"/>
      <c r="O733" s="1"/>
      <c r="P733" s="82"/>
      <c r="Q733" s="1"/>
      <c r="R733" s="1"/>
      <c r="S733" s="83"/>
      <c r="T733" s="1"/>
      <c r="U733" s="1"/>
      <c r="V733" s="1"/>
      <c r="W733" s="1"/>
      <c r="X733" s="1"/>
      <c r="Y733" s="1"/>
    </row>
    <row r="734">
      <c r="A734" s="1"/>
      <c r="B734" s="83"/>
      <c r="C734" s="91"/>
      <c r="D734" s="1"/>
      <c r="E734" s="1"/>
      <c r="F734" s="1"/>
      <c r="G734" s="1"/>
      <c r="H734" s="1"/>
      <c r="I734" s="1"/>
      <c r="J734" s="1"/>
      <c r="K734" s="1"/>
      <c r="L734" s="1"/>
      <c r="M734" s="1"/>
      <c r="N734" s="1"/>
      <c r="O734" s="1"/>
      <c r="P734" s="82"/>
      <c r="Q734" s="1"/>
      <c r="R734" s="1"/>
      <c r="S734" s="83"/>
      <c r="T734" s="1"/>
      <c r="U734" s="1"/>
      <c r="V734" s="1"/>
      <c r="W734" s="1"/>
      <c r="X734" s="1"/>
      <c r="Y734" s="1"/>
    </row>
    <row r="735">
      <c r="A735" s="1"/>
      <c r="B735" s="83"/>
      <c r="C735" s="91"/>
      <c r="D735" s="1"/>
      <c r="E735" s="1"/>
      <c r="F735" s="1"/>
      <c r="G735" s="1"/>
      <c r="H735" s="1"/>
      <c r="I735" s="1"/>
      <c r="J735" s="1"/>
      <c r="K735" s="1"/>
      <c r="L735" s="1"/>
      <c r="M735" s="1"/>
      <c r="N735" s="1"/>
      <c r="O735" s="1"/>
      <c r="P735" s="82"/>
      <c r="Q735" s="1"/>
      <c r="R735" s="1"/>
      <c r="S735" s="83"/>
      <c r="T735" s="1"/>
      <c r="U735" s="1"/>
      <c r="V735" s="1"/>
      <c r="W735" s="1"/>
      <c r="X735" s="1"/>
      <c r="Y735" s="1"/>
    </row>
    <row r="736">
      <c r="A736" s="1"/>
      <c r="B736" s="83"/>
      <c r="C736" s="91"/>
      <c r="D736" s="1"/>
      <c r="E736" s="1"/>
      <c r="F736" s="1"/>
      <c r="G736" s="1"/>
      <c r="H736" s="1"/>
      <c r="I736" s="1"/>
      <c r="J736" s="1"/>
      <c r="K736" s="1"/>
      <c r="L736" s="1"/>
      <c r="M736" s="1"/>
      <c r="N736" s="1"/>
      <c r="O736" s="1"/>
      <c r="P736" s="82"/>
      <c r="Q736" s="1"/>
      <c r="R736" s="1"/>
      <c r="S736" s="83"/>
      <c r="T736" s="1"/>
      <c r="U736" s="1"/>
      <c r="V736" s="1"/>
      <c r="W736" s="1"/>
      <c r="X736" s="1"/>
      <c r="Y736" s="1"/>
    </row>
    <row r="737">
      <c r="A737" s="1"/>
      <c r="B737" s="83"/>
      <c r="C737" s="91"/>
      <c r="D737" s="1"/>
      <c r="E737" s="1"/>
      <c r="F737" s="1"/>
      <c r="G737" s="1"/>
      <c r="H737" s="1"/>
      <c r="I737" s="1"/>
      <c r="J737" s="1"/>
      <c r="K737" s="1"/>
      <c r="L737" s="1"/>
      <c r="M737" s="1"/>
      <c r="N737" s="1"/>
      <c r="O737" s="1"/>
      <c r="P737" s="82"/>
      <c r="Q737" s="1"/>
      <c r="R737" s="1"/>
      <c r="S737" s="83"/>
      <c r="T737" s="1"/>
      <c r="U737" s="1"/>
      <c r="V737" s="1"/>
      <c r="W737" s="1"/>
      <c r="X737" s="1"/>
      <c r="Y737" s="1"/>
    </row>
    <row r="738">
      <c r="A738" s="1"/>
      <c r="B738" s="83"/>
      <c r="C738" s="91"/>
      <c r="D738" s="1"/>
      <c r="E738" s="1"/>
      <c r="F738" s="1"/>
      <c r="G738" s="1"/>
      <c r="H738" s="1"/>
      <c r="I738" s="1"/>
      <c r="J738" s="1"/>
      <c r="K738" s="1"/>
      <c r="L738" s="1"/>
      <c r="M738" s="1"/>
      <c r="N738" s="1"/>
      <c r="O738" s="1"/>
      <c r="P738" s="82"/>
      <c r="Q738" s="1"/>
      <c r="R738" s="1"/>
      <c r="S738" s="83"/>
      <c r="T738" s="1"/>
      <c r="U738" s="1"/>
      <c r="V738" s="1"/>
      <c r="W738" s="1"/>
      <c r="X738" s="1"/>
      <c r="Y738" s="1"/>
    </row>
    <row r="739">
      <c r="A739" s="1"/>
      <c r="B739" s="83"/>
      <c r="C739" s="91"/>
      <c r="D739" s="1"/>
      <c r="E739" s="1"/>
      <c r="F739" s="1"/>
      <c r="G739" s="1"/>
      <c r="H739" s="1"/>
      <c r="I739" s="1"/>
      <c r="J739" s="1"/>
      <c r="K739" s="1"/>
      <c r="L739" s="1"/>
      <c r="M739" s="1"/>
      <c r="N739" s="1"/>
      <c r="O739" s="1"/>
      <c r="P739" s="82"/>
      <c r="Q739" s="1"/>
      <c r="R739" s="1"/>
      <c r="S739" s="83"/>
      <c r="T739" s="1"/>
      <c r="U739" s="1"/>
      <c r="V739" s="1"/>
      <c r="W739" s="1"/>
      <c r="X739" s="1"/>
      <c r="Y739" s="1"/>
    </row>
    <row r="740">
      <c r="A740" s="1"/>
      <c r="B740" s="83"/>
      <c r="C740" s="91"/>
      <c r="D740" s="1"/>
      <c r="E740" s="1"/>
      <c r="F740" s="1"/>
      <c r="G740" s="1"/>
      <c r="H740" s="1"/>
      <c r="I740" s="1"/>
      <c r="J740" s="1"/>
      <c r="K740" s="1"/>
      <c r="L740" s="1"/>
      <c r="M740" s="1"/>
      <c r="N740" s="1"/>
      <c r="O740" s="1"/>
      <c r="P740" s="82"/>
      <c r="Q740" s="1"/>
      <c r="R740" s="1"/>
      <c r="S740" s="83"/>
      <c r="T740" s="1"/>
      <c r="U740" s="1"/>
      <c r="V740" s="1"/>
      <c r="W740" s="1"/>
      <c r="X740" s="1"/>
      <c r="Y740" s="1"/>
    </row>
    <row r="741">
      <c r="A741" s="1"/>
      <c r="B741" s="83"/>
      <c r="C741" s="91"/>
      <c r="D741" s="1"/>
      <c r="E741" s="1"/>
      <c r="F741" s="1"/>
      <c r="G741" s="1"/>
      <c r="H741" s="1"/>
      <c r="I741" s="1"/>
      <c r="J741" s="1"/>
      <c r="K741" s="1"/>
      <c r="L741" s="1"/>
      <c r="M741" s="1"/>
      <c r="N741" s="1"/>
      <c r="O741" s="1"/>
      <c r="P741" s="82"/>
      <c r="Q741" s="1"/>
      <c r="R741" s="1"/>
      <c r="S741" s="83"/>
      <c r="T741" s="1"/>
      <c r="U741" s="1"/>
      <c r="V741" s="1"/>
      <c r="W741" s="1"/>
      <c r="X741" s="1"/>
      <c r="Y741" s="1"/>
    </row>
    <row r="742">
      <c r="A742" s="1"/>
      <c r="B742" s="83"/>
      <c r="C742" s="91"/>
      <c r="D742" s="1"/>
      <c r="E742" s="1"/>
      <c r="F742" s="1"/>
      <c r="G742" s="1"/>
      <c r="H742" s="1"/>
      <c r="I742" s="1"/>
      <c r="J742" s="1"/>
      <c r="K742" s="1"/>
      <c r="L742" s="1"/>
      <c r="M742" s="1"/>
      <c r="N742" s="1"/>
      <c r="O742" s="1"/>
      <c r="P742" s="82"/>
      <c r="Q742" s="1"/>
      <c r="R742" s="1"/>
      <c r="S742" s="83"/>
      <c r="T742" s="1"/>
      <c r="U742" s="1"/>
      <c r="V742" s="1"/>
      <c r="W742" s="1"/>
      <c r="X742" s="1"/>
      <c r="Y742" s="1"/>
    </row>
    <row r="743">
      <c r="A743" s="1"/>
      <c r="B743" s="83"/>
      <c r="C743" s="91"/>
      <c r="D743" s="1"/>
      <c r="E743" s="1"/>
      <c r="F743" s="1"/>
      <c r="G743" s="1"/>
      <c r="H743" s="1"/>
      <c r="I743" s="1"/>
      <c r="J743" s="1"/>
      <c r="K743" s="1"/>
      <c r="L743" s="1"/>
      <c r="M743" s="1"/>
      <c r="N743" s="1"/>
      <c r="O743" s="1"/>
      <c r="P743" s="82"/>
      <c r="Q743" s="1"/>
      <c r="R743" s="1"/>
      <c r="S743" s="83"/>
      <c r="T743" s="1"/>
      <c r="U743" s="1"/>
      <c r="V743" s="1"/>
      <c r="W743" s="1"/>
      <c r="X743" s="1"/>
      <c r="Y743" s="1"/>
    </row>
    <row r="744">
      <c r="A744" s="1"/>
      <c r="B744" s="83"/>
      <c r="C744" s="91"/>
      <c r="D744" s="1"/>
      <c r="E744" s="1"/>
      <c r="F744" s="1"/>
      <c r="G744" s="1"/>
      <c r="H744" s="1"/>
      <c r="I744" s="1"/>
      <c r="J744" s="1"/>
      <c r="K744" s="1"/>
      <c r="L744" s="1"/>
      <c r="M744" s="1"/>
      <c r="N744" s="1"/>
      <c r="O744" s="1"/>
      <c r="P744" s="82"/>
      <c r="Q744" s="1"/>
      <c r="R744" s="1"/>
      <c r="S744" s="83"/>
      <c r="T744" s="1"/>
      <c r="U744" s="1"/>
      <c r="V744" s="1"/>
      <c r="W744" s="1"/>
      <c r="X744" s="1"/>
      <c r="Y744" s="1"/>
    </row>
    <row r="745">
      <c r="A745" s="1"/>
      <c r="B745" s="83"/>
      <c r="C745" s="91"/>
      <c r="D745" s="1"/>
      <c r="E745" s="1"/>
      <c r="F745" s="1"/>
      <c r="G745" s="1"/>
      <c r="H745" s="1"/>
      <c r="I745" s="1"/>
      <c r="J745" s="1"/>
      <c r="K745" s="1"/>
      <c r="L745" s="1"/>
      <c r="M745" s="1"/>
      <c r="N745" s="1"/>
      <c r="O745" s="1"/>
      <c r="P745" s="82"/>
      <c r="Q745" s="1"/>
      <c r="R745" s="1"/>
      <c r="S745" s="83"/>
      <c r="T745" s="1"/>
      <c r="U745" s="1"/>
      <c r="V745" s="1"/>
      <c r="W745" s="1"/>
      <c r="X745" s="1"/>
      <c r="Y745" s="1"/>
    </row>
    <row r="746">
      <c r="A746" s="1"/>
      <c r="B746" s="83"/>
      <c r="C746" s="91"/>
      <c r="D746" s="1"/>
      <c r="E746" s="1"/>
      <c r="F746" s="1"/>
      <c r="G746" s="1"/>
      <c r="H746" s="1"/>
      <c r="I746" s="1"/>
      <c r="J746" s="1"/>
      <c r="K746" s="1"/>
      <c r="L746" s="1"/>
      <c r="M746" s="1"/>
      <c r="N746" s="1"/>
      <c r="O746" s="1"/>
      <c r="P746" s="82"/>
      <c r="Q746" s="1"/>
      <c r="R746" s="1"/>
      <c r="S746" s="83"/>
      <c r="T746" s="1"/>
      <c r="U746" s="1"/>
      <c r="V746" s="1"/>
      <c r="W746" s="1"/>
      <c r="X746" s="1"/>
      <c r="Y746" s="1"/>
    </row>
    <row r="747">
      <c r="A747" s="1"/>
      <c r="B747" s="83"/>
      <c r="C747" s="91"/>
      <c r="D747" s="1"/>
      <c r="E747" s="1"/>
      <c r="F747" s="1"/>
      <c r="G747" s="1"/>
      <c r="H747" s="1"/>
      <c r="I747" s="1"/>
      <c r="J747" s="1"/>
      <c r="K747" s="1"/>
      <c r="L747" s="1"/>
      <c r="M747" s="1"/>
      <c r="N747" s="1"/>
      <c r="O747" s="1"/>
      <c r="P747" s="82"/>
      <c r="Q747" s="1"/>
      <c r="R747" s="1"/>
      <c r="S747" s="83"/>
      <c r="T747" s="1"/>
      <c r="U747" s="1"/>
      <c r="V747" s="1"/>
      <c r="W747" s="1"/>
      <c r="X747" s="1"/>
      <c r="Y747" s="1"/>
    </row>
    <row r="748">
      <c r="A748" s="1"/>
      <c r="B748" s="83"/>
      <c r="C748" s="91"/>
      <c r="D748" s="1"/>
      <c r="E748" s="1"/>
      <c r="F748" s="1"/>
      <c r="G748" s="1"/>
      <c r="H748" s="1"/>
      <c r="I748" s="1"/>
      <c r="J748" s="1"/>
      <c r="K748" s="1"/>
      <c r="L748" s="1"/>
      <c r="M748" s="1"/>
      <c r="N748" s="1"/>
      <c r="O748" s="1"/>
      <c r="P748" s="82"/>
      <c r="Q748" s="1"/>
      <c r="R748" s="1"/>
      <c r="S748" s="83"/>
      <c r="T748" s="1"/>
      <c r="U748" s="1"/>
      <c r="V748" s="1"/>
      <c r="W748" s="1"/>
      <c r="X748" s="1"/>
      <c r="Y748" s="1"/>
    </row>
    <row r="749">
      <c r="A749" s="1"/>
      <c r="B749" s="83"/>
      <c r="C749" s="91"/>
      <c r="D749" s="1"/>
      <c r="E749" s="1"/>
      <c r="F749" s="1"/>
      <c r="G749" s="1"/>
      <c r="H749" s="1"/>
      <c r="I749" s="1"/>
      <c r="J749" s="1"/>
      <c r="K749" s="1"/>
      <c r="L749" s="1"/>
      <c r="M749" s="1"/>
      <c r="N749" s="1"/>
      <c r="O749" s="1"/>
      <c r="P749" s="82"/>
      <c r="Q749" s="1"/>
      <c r="R749" s="1"/>
      <c r="S749" s="83"/>
      <c r="T749" s="1"/>
      <c r="U749" s="1"/>
      <c r="V749" s="1"/>
      <c r="W749" s="1"/>
      <c r="X749" s="1"/>
      <c r="Y749" s="1"/>
    </row>
    <row r="750">
      <c r="A750" s="1"/>
      <c r="B750" s="83"/>
      <c r="C750" s="91"/>
      <c r="D750" s="1"/>
      <c r="E750" s="1"/>
      <c r="F750" s="1"/>
      <c r="G750" s="1"/>
      <c r="H750" s="1"/>
      <c r="I750" s="1"/>
      <c r="J750" s="1"/>
      <c r="K750" s="1"/>
      <c r="L750" s="1"/>
      <c r="M750" s="1"/>
      <c r="N750" s="1"/>
      <c r="O750" s="1"/>
      <c r="P750" s="82"/>
      <c r="Q750" s="1"/>
      <c r="R750" s="1"/>
      <c r="S750" s="83"/>
      <c r="T750" s="1"/>
      <c r="U750" s="1"/>
      <c r="V750" s="1"/>
      <c r="W750" s="1"/>
      <c r="X750" s="1"/>
      <c r="Y750" s="1"/>
    </row>
    <row r="751">
      <c r="A751" s="1"/>
      <c r="B751" s="83"/>
      <c r="C751" s="91"/>
      <c r="D751" s="1"/>
      <c r="E751" s="1"/>
      <c r="F751" s="1"/>
      <c r="G751" s="1"/>
      <c r="H751" s="1"/>
      <c r="I751" s="1"/>
      <c r="J751" s="1"/>
      <c r="K751" s="1"/>
      <c r="L751" s="1"/>
      <c r="M751" s="1"/>
      <c r="N751" s="1"/>
      <c r="O751" s="1"/>
      <c r="P751" s="82"/>
      <c r="Q751" s="1"/>
      <c r="R751" s="1"/>
      <c r="S751" s="83"/>
      <c r="T751" s="1"/>
      <c r="U751" s="1"/>
      <c r="V751" s="1"/>
      <c r="W751" s="1"/>
      <c r="X751" s="1"/>
      <c r="Y751" s="1"/>
    </row>
    <row r="752">
      <c r="A752" s="1"/>
      <c r="B752" s="83"/>
      <c r="C752" s="91"/>
      <c r="D752" s="1"/>
      <c r="E752" s="1"/>
      <c r="F752" s="1"/>
      <c r="G752" s="1"/>
      <c r="H752" s="1"/>
      <c r="I752" s="1"/>
      <c r="J752" s="1"/>
      <c r="K752" s="1"/>
      <c r="L752" s="1"/>
      <c r="M752" s="1"/>
      <c r="N752" s="1"/>
      <c r="O752" s="1"/>
      <c r="P752" s="82"/>
      <c r="Q752" s="1"/>
      <c r="R752" s="1"/>
      <c r="S752" s="83"/>
      <c r="T752" s="1"/>
      <c r="U752" s="1"/>
      <c r="V752" s="1"/>
      <c r="W752" s="1"/>
      <c r="X752" s="1"/>
      <c r="Y752" s="1"/>
    </row>
    <row r="753">
      <c r="A753" s="1"/>
      <c r="B753" s="83"/>
      <c r="C753" s="91"/>
      <c r="D753" s="1"/>
      <c r="E753" s="1"/>
      <c r="F753" s="1"/>
      <c r="G753" s="1"/>
      <c r="H753" s="1"/>
      <c r="I753" s="1"/>
      <c r="J753" s="1"/>
      <c r="K753" s="1"/>
      <c r="L753" s="1"/>
      <c r="M753" s="1"/>
      <c r="N753" s="1"/>
      <c r="O753" s="1"/>
      <c r="P753" s="82"/>
      <c r="Q753" s="1"/>
      <c r="R753" s="1"/>
      <c r="S753" s="83"/>
      <c r="T753" s="1"/>
      <c r="U753" s="1"/>
      <c r="V753" s="1"/>
      <c r="W753" s="1"/>
      <c r="X753" s="1"/>
      <c r="Y753" s="1"/>
    </row>
    <row r="754">
      <c r="A754" s="1"/>
      <c r="B754" s="83"/>
      <c r="C754" s="91"/>
      <c r="D754" s="1"/>
      <c r="E754" s="1"/>
      <c r="F754" s="1"/>
      <c r="G754" s="1"/>
      <c r="H754" s="1"/>
      <c r="I754" s="1"/>
      <c r="J754" s="1"/>
      <c r="K754" s="1"/>
      <c r="L754" s="1"/>
      <c r="M754" s="1"/>
      <c r="N754" s="1"/>
      <c r="O754" s="1"/>
      <c r="P754" s="82"/>
      <c r="Q754" s="1"/>
      <c r="R754" s="1"/>
      <c r="S754" s="83"/>
      <c r="T754" s="1"/>
      <c r="U754" s="1"/>
      <c r="V754" s="1"/>
      <c r="W754" s="1"/>
      <c r="X754" s="1"/>
      <c r="Y754" s="1"/>
    </row>
    <row r="755">
      <c r="A755" s="1"/>
      <c r="B755" s="83"/>
      <c r="C755" s="91"/>
      <c r="D755" s="1"/>
      <c r="E755" s="1"/>
      <c r="F755" s="1"/>
      <c r="G755" s="1"/>
      <c r="H755" s="1"/>
      <c r="I755" s="1"/>
      <c r="J755" s="1"/>
      <c r="K755" s="1"/>
      <c r="L755" s="1"/>
      <c r="M755" s="1"/>
      <c r="N755" s="1"/>
      <c r="O755" s="1"/>
      <c r="P755" s="82"/>
      <c r="Q755" s="1"/>
      <c r="R755" s="1"/>
      <c r="S755" s="83"/>
      <c r="T755" s="1"/>
      <c r="U755" s="1"/>
      <c r="V755" s="1"/>
      <c r="W755" s="1"/>
      <c r="X755" s="1"/>
      <c r="Y755" s="1"/>
    </row>
    <row r="756">
      <c r="A756" s="1"/>
      <c r="B756" s="83"/>
      <c r="C756" s="91"/>
      <c r="D756" s="1"/>
      <c r="E756" s="1"/>
      <c r="F756" s="1"/>
      <c r="G756" s="1"/>
      <c r="H756" s="1"/>
      <c r="I756" s="1"/>
      <c r="J756" s="1"/>
      <c r="K756" s="1"/>
      <c r="L756" s="1"/>
      <c r="M756" s="1"/>
      <c r="N756" s="1"/>
      <c r="O756" s="1"/>
      <c r="P756" s="82"/>
      <c r="Q756" s="1"/>
      <c r="R756" s="1"/>
      <c r="S756" s="83"/>
      <c r="T756" s="1"/>
      <c r="U756" s="1"/>
      <c r="V756" s="1"/>
      <c r="W756" s="1"/>
      <c r="X756" s="1"/>
      <c r="Y756" s="1"/>
    </row>
    <row r="757">
      <c r="A757" s="1"/>
      <c r="B757" s="83"/>
      <c r="C757" s="91"/>
      <c r="D757" s="1"/>
      <c r="E757" s="1"/>
      <c r="F757" s="1"/>
      <c r="G757" s="1"/>
      <c r="H757" s="1"/>
      <c r="I757" s="1"/>
      <c r="J757" s="1"/>
      <c r="K757" s="1"/>
      <c r="L757" s="1"/>
      <c r="M757" s="1"/>
      <c r="N757" s="1"/>
      <c r="O757" s="1"/>
      <c r="P757" s="82"/>
      <c r="Q757" s="1"/>
      <c r="R757" s="1"/>
      <c r="S757" s="83"/>
      <c r="T757" s="1"/>
      <c r="U757" s="1"/>
      <c r="V757" s="1"/>
      <c r="W757" s="1"/>
      <c r="X757" s="1"/>
      <c r="Y757" s="1"/>
    </row>
    <row r="758">
      <c r="A758" s="1"/>
      <c r="B758" s="83"/>
      <c r="C758" s="91"/>
      <c r="D758" s="1"/>
      <c r="E758" s="1"/>
      <c r="F758" s="1"/>
      <c r="G758" s="1"/>
      <c r="H758" s="1"/>
      <c r="I758" s="1"/>
      <c r="J758" s="1"/>
      <c r="K758" s="1"/>
      <c r="L758" s="1"/>
      <c r="M758" s="1"/>
      <c r="N758" s="1"/>
      <c r="O758" s="1"/>
      <c r="P758" s="82"/>
      <c r="Q758" s="1"/>
      <c r="R758" s="1"/>
      <c r="S758" s="83"/>
      <c r="T758" s="1"/>
      <c r="U758" s="1"/>
      <c r="V758" s="1"/>
      <c r="W758" s="1"/>
      <c r="X758" s="1"/>
      <c r="Y758" s="1"/>
    </row>
    <row r="759">
      <c r="A759" s="1"/>
      <c r="B759" s="83"/>
      <c r="C759" s="91"/>
      <c r="D759" s="1"/>
      <c r="E759" s="1"/>
      <c r="F759" s="1"/>
      <c r="G759" s="1"/>
      <c r="H759" s="1"/>
      <c r="I759" s="1"/>
      <c r="J759" s="1"/>
      <c r="K759" s="1"/>
      <c r="L759" s="1"/>
      <c r="M759" s="1"/>
      <c r="N759" s="1"/>
      <c r="O759" s="1"/>
      <c r="P759" s="82"/>
      <c r="Q759" s="1"/>
      <c r="R759" s="1"/>
      <c r="S759" s="83"/>
      <c r="T759" s="1"/>
      <c r="U759" s="1"/>
      <c r="V759" s="1"/>
      <c r="W759" s="1"/>
      <c r="X759" s="1"/>
      <c r="Y759" s="1"/>
    </row>
    <row r="760">
      <c r="A760" s="1"/>
      <c r="B760" s="83"/>
      <c r="C760" s="91"/>
      <c r="D760" s="1"/>
      <c r="E760" s="1"/>
      <c r="F760" s="1"/>
      <c r="G760" s="1"/>
      <c r="H760" s="1"/>
      <c r="I760" s="1"/>
      <c r="J760" s="1"/>
      <c r="K760" s="1"/>
      <c r="L760" s="1"/>
      <c r="M760" s="1"/>
      <c r="N760" s="1"/>
      <c r="O760" s="1"/>
      <c r="P760" s="82"/>
      <c r="Q760" s="1"/>
      <c r="R760" s="1"/>
      <c r="S760" s="83"/>
      <c r="T760" s="1"/>
      <c r="U760" s="1"/>
      <c r="V760" s="1"/>
      <c r="W760" s="1"/>
      <c r="X760" s="1"/>
      <c r="Y760" s="1"/>
    </row>
    <row r="761">
      <c r="A761" s="1"/>
      <c r="B761" s="83"/>
      <c r="C761" s="91"/>
      <c r="D761" s="1"/>
      <c r="E761" s="1"/>
      <c r="F761" s="1"/>
      <c r="G761" s="1"/>
      <c r="H761" s="1"/>
      <c r="I761" s="1"/>
      <c r="J761" s="1"/>
      <c r="K761" s="1"/>
      <c r="L761" s="1"/>
      <c r="M761" s="1"/>
      <c r="N761" s="1"/>
      <c r="O761" s="1"/>
      <c r="P761" s="82"/>
      <c r="Q761" s="1"/>
      <c r="R761" s="1"/>
      <c r="S761" s="83"/>
      <c r="T761" s="1"/>
      <c r="U761" s="1"/>
      <c r="V761" s="1"/>
      <c r="W761" s="1"/>
      <c r="X761" s="1"/>
      <c r="Y761" s="1"/>
    </row>
    <row r="762">
      <c r="A762" s="1"/>
      <c r="B762" s="83"/>
      <c r="C762" s="91"/>
      <c r="D762" s="1"/>
      <c r="E762" s="1"/>
      <c r="F762" s="1"/>
      <c r="G762" s="1"/>
      <c r="H762" s="1"/>
      <c r="I762" s="1"/>
      <c r="J762" s="1"/>
      <c r="K762" s="1"/>
      <c r="L762" s="1"/>
      <c r="M762" s="1"/>
      <c r="N762" s="1"/>
      <c r="O762" s="1"/>
      <c r="P762" s="82"/>
      <c r="Q762" s="1"/>
      <c r="R762" s="1"/>
      <c r="S762" s="83"/>
      <c r="T762" s="1"/>
      <c r="U762" s="1"/>
      <c r="V762" s="1"/>
      <c r="W762" s="1"/>
      <c r="X762" s="1"/>
      <c r="Y762" s="1"/>
    </row>
    <row r="763">
      <c r="A763" s="1"/>
      <c r="B763" s="83"/>
      <c r="C763" s="91"/>
      <c r="D763" s="1"/>
      <c r="E763" s="1"/>
      <c r="F763" s="1"/>
      <c r="G763" s="1"/>
      <c r="H763" s="1"/>
      <c r="I763" s="1"/>
      <c r="J763" s="1"/>
      <c r="K763" s="1"/>
      <c r="L763" s="1"/>
      <c r="M763" s="1"/>
      <c r="N763" s="1"/>
      <c r="O763" s="1"/>
      <c r="P763" s="82"/>
      <c r="Q763" s="1"/>
      <c r="R763" s="1"/>
      <c r="S763" s="83"/>
      <c r="T763" s="1"/>
      <c r="U763" s="1"/>
      <c r="V763" s="1"/>
      <c r="W763" s="1"/>
      <c r="X763" s="1"/>
      <c r="Y763" s="1"/>
    </row>
    <row r="764">
      <c r="A764" s="1"/>
      <c r="B764" s="83"/>
      <c r="C764" s="91"/>
      <c r="D764" s="1"/>
      <c r="E764" s="1"/>
      <c r="F764" s="1"/>
      <c r="G764" s="1"/>
      <c r="H764" s="1"/>
      <c r="I764" s="1"/>
      <c r="J764" s="1"/>
      <c r="K764" s="1"/>
      <c r="L764" s="1"/>
      <c r="M764" s="1"/>
      <c r="N764" s="1"/>
      <c r="O764" s="1"/>
      <c r="P764" s="82"/>
      <c r="Q764" s="1"/>
      <c r="R764" s="1"/>
      <c r="S764" s="83"/>
      <c r="T764" s="1"/>
      <c r="U764" s="1"/>
      <c r="V764" s="1"/>
      <c r="W764" s="1"/>
      <c r="X764" s="1"/>
      <c r="Y764" s="1"/>
    </row>
    <row r="765">
      <c r="A765" s="1"/>
      <c r="B765" s="83"/>
      <c r="C765" s="91"/>
      <c r="D765" s="1"/>
      <c r="E765" s="1"/>
      <c r="F765" s="1"/>
      <c r="G765" s="1"/>
      <c r="H765" s="1"/>
      <c r="I765" s="1"/>
      <c r="J765" s="1"/>
      <c r="K765" s="1"/>
      <c r="L765" s="1"/>
      <c r="M765" s="1"/>
      <c r="N765" s="1"/>
      <c r="O765" s="1"/>
      <c r="P765" s="82"/>
      <c r="Q765" s="1"/>
      <c r="R765" s="1"/>
      <c r="S765" s="83"/>
      <c r="T765" s="1"/>
      <c r="U765" s="1"/>
      <c r="V765" s="1"/>
      <c r="W765" s="1"/>
      <c r="X765" s="1"/>
      <c r="Y765" s="1"/>
    </row>
    <row r="766">
      <c r="A766" s="1"/>
      <c r="B766" s="83"/>
      <c r="C766" s="91"/>
      <c r="D766" s="1"/>
      <c r="E766" s="1"/>
      <c r="F766" s="1"/>
      <c r="G766" s="1"/>
      <c r="H766" s="1"/>
      <c r="I766" s="1"/>
      <c r="J766" s="1"/>
      <c r="K766" s="1"/>
      <c r="L766" s="1"/>
      <c r="M766" s="1"/>
      <c r="N766" s="1"/>
      <c r="O766" s="1"/>
      <c r="P766" s="82"/>
      <c r="Q766" s="1"/>
      <c r="R766" s="1"/>
      <c r="S766" s="83"/>
      <c r="T766" s="1"/>
      <c r="U766" s="1"/>
      <c r="V766" s="1"/>
      <c r="W766" s="1"/>
      <c r="X766" s="1"/>
      <c r="Y766" s="1"/>
    </row>
    <row r="767">
      <c r="A767" s="1"/>
      <c r="B767" s="83"/>
      <c r="C767" s="91"/>
      <c r="D767" s="1"/>
      <c r="E767" s="1"/>
      <c r="F767" s="1"/>
      <c r="G767" s="1"/>
      <c r="H767" s="1"/>
      <c r="I767" s="1"/>
      <c r="J767" s="1"/>
      <c r="K767" s="1"/>
      <c r="L767" s="1"/>
      <c r="M767" s="1"/>
      <c r="N767" s="1"/>
      <c r="O767" s="1"/>
      <c r="P767" s="82"/>
      <c r="Q767" s="1"/>
      <c r="R767" s="1"/>
      <c r="S767" s="83"/>
      <c r="T767" s="1"/>
      <c r="U767" s="1"/>
      <c r="V767" s="1"/>
      <c r="W767" s="1"/>
      <c r="X767" s="1"/>
      <c r="Y767" s="1"/>
    </row>
    <row r="768">
      <c r="A768" s="1"/>
      <c r="B768" s="83"/>
      <c r="C768" s="91"/>
      <c r="D768" s="1"/>
      <c r="E768" s="1"/>
      <c r="F768" s="1"/>
      <c r="G768" s="1"/>
      <c r="H768" s="1"/>
      <c r="I768" s="1"/>
      <c r="J768" s="1"/>
      <c r="K768" s="1"/>
      <c r="L768" s="1"/>
      <c r="M768" s="1"/>
      <c r="N768" s="1"/>
      <c r="O768" s="1"/>
      <c r="P768" s="82"/>
      <c r="Q768" s="1"/>
      <c r="R768" s="1"/>
      <c r="S768" s="83"/>
      <c r="T768" s="1"/>
      <c r="U768" s="1"/>
      <c r="V768" s="1"/>
      <c r="W768" s="1"/>
      <c r="X768" s="1"/>
      <c r="Y768" s="1"/>
    </row>
    <row r="769">
      <c r="A769" s="1"/>
      <c r="B769" s="83"/>
      <c r="C769" s="91"/>
      <c r="D769" s="1"/>
      <c r="E769" s="1"/>
      <c r="F769" s="1"/>
      <c r="G769" s="1"/>
      <c r="H769" s="1"/>
      <c r="I769" s="1"/>
      <c r="J769" s="1"/>
      <c r="K769" s="1"/>
      <c r="L769" s="1"/>
      <c r="M769" s="1"/>
      <c r="N769" s="1"/>
      <c r="O769" s="1"/>
      <c r="P769" s="82"/>
      <c r="Q769" s="1"/>
      <c r="R769" s="1"/>
      <c r="S769" s="83"/>
      <c r="T769" s="1"/>
      <c r="U769" s="1"/>
      <c r="V769" s="1"/>
      <c r="W769" s="1"/>
      <c r="X769" s="1"/>
      <c r="Y769" s="1"/>
    </row>
    <row r="770">
      <c r="A770" s="1"/>
      <c r="B770" s="83"/>
      <c r="C770" s="91"/>
      <c r="D770" s="1"/>
      <c r="E770" s="1"/>
      <c r="F770" s="1"/>
      <c r="G770" s="1"/>
      <c r="H770" s="1"/>
      <c r="I770" s="1"/>
      <c r="J770" s="1"/>
      <c r="K770" s="1"/>
      <c r="L770" s="1"/>
      <c r="M770" s="1"/>
      <c r="N770" s="1"/>
      <c r="O770" s="1"/>
      <c r="P770" s="82"/>
      <c r="Q770" s="1"/>
      <c r="R770" s="1"/>
      <c r="S770" s="83"/>
      <c r="T770" s="1"/>
      <c r="U770" s="1"/>
      <c r="V770" s="1"/>
      <c r="W770" s="1"/>
      <c r="X770" s="1"/>
      <c r="Y770" s="1"/>
    </row>
    <row r="771">
      <c r="A771" s="1"/>
      <c r="B771" s="83"/>
      <c r="C771" s="91"/>
      <c r="D771" s="1"/>
      <c r="E771" s="1"/>
      <c r="F771" s="1"/>
      <c r="G771" s="1"/>
      <c r="H771" s="1"/>
      <c r="I771" s="1"/>
      <c r="J771" s="1"/>
      <c r="K771" s="1"/>
      <c r="L771" s="1"/>
      <c r="M771" s="1"/>
      <c r="N771" s="1"/>
      <c r="O771" s="1"/>
      <c r="P771" s="82"/>
      <c r="Q771" s="1"/>
      <c r="R771" s="1"/>
      <c r="S771" s="83"/>
      <c r="T771" s="1"/>
      <c r="U771" s="1"/>
      <c r="V771" s="1"/>
      <c r="W771" s="1"/>
      <c r="X771" s="1"/>
      <c r="Y771" s="1"/>
    </row>
    <row r="772">
      <c r="A772" s="1"/>
      <c r="B772" s="83"/>
      <c r="C772" s="91"/>
      <c r="D772" s="1"/>
      <c r="E772" s="1"/>
      <c r="F772" s="1"/>
      <c r="G772" s="1"/>
      <c r="H772" s="1"/>
      <c r="I772" s="1"/>
      <c r="J772" s="1"/>
      <c r="K772" s="1"/>
      <c r="L772" s="1"/>
      <c r="M772" s="1"/>
      <c r="N772" s="1"/>
      <c r="O772" s="1"/>
      <c r="P772" s="82"/>
      <c r="Q772" s="1"/>
      <c r="R772" s="1"/>
      <c r="S772" s="83"/>
      <c r="T772" s="1"/>
      <c r="U772" s="1"/>
      <c r="V772" s="1"/>
      <c r="W772" s="1"/>
      <c r="X772" s="1"/>
      <c r="Y772" s="1"/>
    </row>
    <row r="773">
      <c r="A773" s="1"/>
      <c r="B773" s="83"/>
      <c r="C773" s="91"/>
      <c r="D773" s="1"/>
      <c r="E773" s="1"/>
      <c r="F773" s="1"/>
      <c r="G773" s="1"/>
      <c r="H773" s="1"/>
      <c r="I773" s="1"/>
      <c r="J773" s="1"/>
      <c r="K773" s="1"/>
      <c r="L773" s="1"/>
      <c r="M773" s="1"/>
      <c r="N773" s="1"/>
      <c r="O773" s="1"/>
      <c r="P773" s="82"/>
      <c r="Q773" s="1"/>
      <c r="R773" s="1"/>
      <c r="S773" s="83"/>
      <c r="T773" s="1"/>
      <c r="U773" s="1"/>
      <c r="V773" s="1"/>
      <c r="W773" s="1"/>
      <c r="X773" s="1"/>
      <c r="Y773" s="1"/>
    </row>
    <row r="774">
      <c r="A774" s="1"/>
      <c r="B774" s="83"/>
      <c r="C774" s="91"/>
      <c r="D774" s="1"/>
      <c r="E774" s="1"/>
      <c r="F774" s="1"/>
      <c r="G774" s="1"/>
      <c r="H774" s="1"/>
      <c r="I774" s="1"/>
      <c r="J774" s="1"/>
      <c r="K774" s="1"/>
      <c r="L774" s="1"/>
      <c r="M774" s="1"/>
      <c r="N774" s="1"/>
      <c r="O774" s="1"/>
      <c r="P774" s="82"/>
      <c r="Q774" s="1"/>
      <c r="R774" s="1"/>
      <c r="S774" s="83"/>
      <c r="T774" s="1"/>
      <c r="U774" s="1"/>
      <c r="V774" s="1"/>
      <c r="W774" s="1"/>
      <c r="X774" s="1"/>
      <c r="Y774" s="1"/>
    </row>
    <row r="775">
      <c r="A775" s="1"/>
      <c r="B775" s="83"/>
      <c r="C775" s="91"/>
      <c r="D775" s="1"/>
      <c r="E775" s="1"/>
      <c r="F775" s="1"/>
      <c r="G775" s="1"/>
      <c r="H775" s="1"/>
      <c r="I775" s="1"/>
      <c r="J775" s="1"/>
      <c r="K775" s="1"/>
      <c r="L775" s="1"/>
      <c r="M775" s="1"/>
      <c r="N775" s="1"/>
      <c r="O775" s="1"/>
      <c r="P775" s="82"/>
      <c r="Q775" s="1"/>
      <c r="R775" s="1"/>
      <c r="S775" s="83"/>
      <c r="T775" s="1"/>
      <c r="U775" s="1"/>
      <c r="V775" s="1"/>
      <c r="W775" s="1"/>
      <c r="X775" s="1"/>
      <c r="Y775" s="1"/>
    </row>
    <row r="776">
      <c r="A776" s="1"/>
      <c r="B776" s="83"/>
      <c r="C776" s="91"/>
      <c r="D776" s="1"/>
      <c r="E776" s="1"/>
      <c r="F776" s="1"/>
      <c r="G776" s="1"/>
      <c r="H776" s="1"/>
      <c r="I776" s="1"/>
      <c r="J776" s="1"/>
      <c r="K776" s="1"/>
      <c r="L776" s="1"/>
      <c r="M776" s="1"/>
      <c r="N776" s="1"/>
      <c r="O776" s="1"/>
      <c r="P776" s="82"/>
      <c r="Q776" s="1"/>
      <c r="R776" s="1"/>
      <c r="S776" s="83"/>
      <c r="T776" s="1"/>
      <c r="U776" s="1"/>
      <c r="V776" s="1"/>
      <c r="W776" s="1"/>
      <c r="X776" s="1"/>
      <c r="Y776" s="1"/>
    </row>
    <row r="777">
      <c r="A777" s="1"/>
      <c r="B777" s="83"/>
      <c r="C777" s="91"/>
      <c r="D777" s="1"/>
      <c r="E777" s="1"/>
      <c r="F777" s="1"/>
      <c r="G777" s="1"/>
      <c r="H777" s="1"/>
      <c r="I777" s="1"/>
      <c r="J777" s="1"/>
      <c r="K777" s="1"/>
      <c r="L777" s="1"/>
      <c r="M777" s="1"/>
      <c r="N777" s="1"/>
      <c r="O777" s="1"/>
      <c r="P777" s="82"/>
      <c r="Q777" s="1"/>
      <c r="R777" s="1"/>
      <c r="S777" s="83"/>
      <c r="T777" s="1"/>
      <c r="U777" s="1"/>
      <c r="V777" s="1"/>
      <c r="W777" s="1"/>
      <c r="X777" s="1"/>
      <c r="Y777" s="1"/>
    </row>
    <row r="778">
      <c r="A778" s="1"/>
      <c r="B778" s="83"/>
      <c r="C778" s="91"/>
      <c r="D778" s="1"/>
      <c r="E778" s="1"/>
      <c r="F778" s="1"/>
      <c r="G778" s="1"/>
      <c r="H778" s="1"/>
      <c r="I778" s="1"/>
      <c r="J778" s="1"/>
      <c r="K778" s="1"/>
      <c r="L778" s="1"/>
      <c r="M778" s="1"/>
      <c r="N778" s="1"/>
      <c r="O778" s="1"/>
      <c r="P778" s="82"/>
      <c r="Q778" s="1"/>
      <c r="R778" s="1"/>
      <c r="S778" s="83"/>
      <c r="T778" s="1"/>
      <c r="U778" s="1"/>
      <c r="V778" s="1"/>
      <c r="W778" s="1"/>
      <c r="X778" s="1"/>
      <c r="Y778" s="1"/>
    </row>
    <row r="779">
      <c r="A779" s="1"/>
      <c r="B779" s="83"/>
      <c r="C779" s="91"/>
      <c r="D779" s="1"/>
      <c r="E779" s="1"/>
      <c r="F779" s="1"/>
      <c r="G779" s="1"/>
      <c r="H779" s="1"/>
      <c r="I779" s="1"/>
      <c r="J779" s="1"/>
      <c r="K779" s="1"/>
      <c r="L779" s="1"/>
      <c r="M779" s="1"/>
      <c r="N779" s="1"/>
      <c r="O779" s="1"/>
      <c r="P779" s="82"/>
      <c r="Q779" s="1"/>
      <c r="R779" s="1"/>
      <c r="S779" s="83"/>
      <c r="T779" s="1"/>
      <c r="U779" s="1"/>
      <c r="V779" s="1"/>
      <c r="W779" s="1"/>
      <c r="X779" s="1"/>
      <c r="Y779" s="1"/>
    </row>
    <row r="780">
      <c r="A780" s="1"/>
      <c r="B780" s="83"/>
      <c r="C780" s="91"/>
      <c r="D780" s="1"/>
      <c r="E780" s="1"/>
      <c r="F780" s="1"/>
      <c r="G780" s="1"/>
      <c r="H780" s="1"/>
      <c r="I780" s="1"/>
      <c r="J780" s="1"/>
      <c r="K780" s="1"/>
      <c r="L780" s="1"/>
      <c r="M780" s="1"/>
      <c r="N780" s="1"/>
      <c r="O780" s="1"/>
      <c r="P780" s="82"/>
      <c r="Q780" s="1"/>
      <c r="R780" s="1"/>
      <c r="S780" s="83"/>
      <c r="T780" s="1"/>
      <c r="U780" s="1"/>
      <c r="V780" s="1"/>
      <c r="W780" s="1"/>
      <c r="X780" s="1"/>
      <c r="Y780" s="1"/>
    </row>
    <row r="781">
      <c r="A781" s="1"/>
      <c r="B781" s="83"/>
      <c r="C781" s="91"/>
      <c r="D781" s="1"/>
      <c r="E781" s="1"/>
      <c r="F781" s="1"/>
      <c r="G781" s="1"/>
      <c r="H781" s="1"/>
      <c r="I781" s="1"/>
      <c r="J781" s="1"/>
      <c r="K781" s="1"/>
      <c r="L781" s="1"/>
      <c r="M781" s="1"/>
      <c r="N781" s="1"/>
      <c r="O781" s="1"/>
      <c r="P781" s="82"/>
      <c r="Q781" s="1"/>
      <c r="R781" s="1"/>
      <c r="S781" s="83"/>
      <c r="T781" s="1"/>
      <c r="U781" s="1"/>
      <c r="V781" s="1"/>
      <c r="W781" s="1"/>
      <c r="X781" s="1"/>
      <c r="Y781" s="1"/>
    </row>
    <row r="782">
      <c r="A782" s="1"/>
      <c r="B782" s="83"/>
      <c r="C782" s="91"/>
      <c r="D782" s="1"/>
      <c r="E782" s="1"/>
      <c r="F782" s="1"/>
      <c r="G782" s="1"/>
      <c r="H782" s="1"/>
      <c r="I782" s="1"/>
      <c r="J782" s="1"/>
      <c r="K782" s="1"/>
      <c r="L782" s="1"/>
      <c r="M782" s="1"/>
      <c r="N782" s="1"/>
      <c r="O782" s="1"/>
      <c r="P782" s="82"/>
      <c r="Q782" s="1"/>
      <c r="R782" s="1"/>
      <c r="S782" s="83"/>
      <c r="T782" s="1"/>
      <c r="U782" s="1"/>
      <c r="V782" s="1"/>
      <c r="W782" s="1"/>
      <c r="X782" s="1"/>
      <c r="Y782" s="1"/>
    </row>
    <row r="783">
      <c r="A783" s="1"/>
      <c r="B783" s="83"/>
      <c r="C783" s="91"/>
      <c r="D783" s="1"/>
      <c r="E783" s="1"/>
      <c r="F783" s="1"/>
      <c r="G783" s="1"/>
      <c r="H783" s="1"/>
      <c r="I783" s="1"/>
      <c r="J783" s="1"/>
      <c r="K783" s="1"/>
      <c r="L783" s="1"/>
      <c r="M783" s="1"/>
      <c r="N783" s="1"/>
      <c r="O783" s="1"/>
      <c r="P783" s="82"/>
      <c r="Q783" s="1"/>
      <c r="R783" s="1"/>
      <c r="S783" s="83"/>
      <c r="T783" s="1"/>
      <c r="U783" s="1"/>
      <c r="V783" s="1"/>
      <c r="W783" s="1"/>
      <c r="X783" s="1"/>
      <c r="Y783" s="1"/>
    </row>
    <row r="784">
      <c r="A784" s="1"/>
      <c r="B784" s="83"/>
      <c r="C784" s="91"/>
      <c r="D784" s="1"/>
      <c r="E784" s="1"/>
      <c r="F784" s="1"/>
      <c r="G784" s="1"/>
      <c r="H784" s="1"/>
      <c r="I784" s="1"/>
      <c r="J784" s="1"/>
      <c r="K784" s="1"/>
      <c r="L784" s="1"/>
      <c r="M784" s="1"/>
      <c r="N784" s="1"/>
      <c r="O784" s="1"/>
      <c r="P784" s="82"/>
      <c r="Q784" s="1"/>
      <c r="R784" s="1"/>
      <c r="S784" s="83"/>
      <c r="T784" s="1"/>
      <c r="U784" s="1"/>
      <c r="V784" s="1"/>
      <c r="W784" s="1"/>
      <c r="X784" s="1"/>
      <c r="Y784" s="1"/>
    </row>
    <row r="785">
      <c r="A785" s="1"/>
      <c r="B785" s="83"/>
      <c r="C785" s="91"/>
      <c r="D785" s="1"/>
      <c r="E785" s="1"/>
      <c r="F785" s="1"/>
      <c r="G785" s="1"/>
      <c r="H785" s="1"/>
      <c r="I785" s="1"/>
      <c r="J785" s="1"/>
      <c r="K785" s="1"/>
      <c r="L785" s="1"/>
      <c r="M785" s="1"/>
      <c r="N785" s="1"/>
      <c r="O785" s="1"/>
      <c r="P785" s="82"/>
      <c r="Q785" s="1"/>
      <c r="R785" s="1"/>
      <c r="S785" s="83"/>
      <c r="T785" s="1"/>
      <c r="U785" s="1"/>
      <c r="V785" s="1"/>
      <c r="W785" s="1"/>
      <c r="X785" s="1"/>
      <c r="Y785" s="1"/>
    </row>
    <row r="786">
      <c r="A786" s="1"/>
      <c r="B786" s="83"/>
      <c r="C786" s="91"/>
      <c r="D786" s="1"/>
      <c r="E786" s="1"/>
      <c r="F786" s="1"/>
      <c r="G786" s="1"/>
      <c r="H786" s="1"/>
      <c r="I786" s="1"/>
      <c r="J786" s="1"/>
      <c r="K786" s="1"/>
      <c r="L786" s="1"/>
      <c r="M786" s="1"/>
      <c r="N786" s="1"/>
      <c r="O786" s="1"/>
      <c r="P786" s="82"/>
      <c r="Q786" s="1"/>
      <c r="R786" s="1"/>
      <c r="S786" s="83"/>
      <c r="T786" s="1"/>
      <c r="U786" s="1"/>
      <c r="V786" s="1"/>
      <c r="W786" s="1"/>
      <c r="X786" s="1"/>
      <c r="Y786" s="1"/>
    </row>
    <row r="787">
      <c r="A787" s="1"/>
      <c r="B787" s="83"/>
      <c r="C787" s="91"/>
      <c r="D787" s="1"/>
      <c r="E787" s="1"/>
      <c r="F787" s="1"/>
      <c r="G787" s="1"/>
      <c r="H787" s="1"/>
      <c r="I787" s="1"/>
      <c r="J787" s="1"/>
      <c r="K787" s="1"/>
      <c r="L787" s="1"/>
      <c r="M787" s="1"/>
      <c r="N787" s="1"/>
      <c r="O787" s="1"/>
      <c r="P787" s="82"/>
      <c r="Q787" s="1"/>
      <c r="R787" s="1"/>
      <c r="S787" s="83"/>
      <c r="T787" s="1"/>
      <c r="U787" s="1"/>
      <c r="V787" s="1"/>
      <c r="W787" s="1"/>
      <c r="X787" s="1"/>
      <c r="Y787" s="1"/>
    </row>
    <row r="788">
      <c r="A788" s="1"/>
      <c r="B788" s="83"/>
      <c r="C788" s="91"/>
      <c r="D788" s="1"/>
      <c r="E788" s="1"/>
      <c r="F788" s="1"/>
      <c r="G788" s="1"/>
      <c r="H788" s="1"/>
      <c r="I788" s="1"/>
      <c r="J788" s="1"/>
      <c r="K788" s="1"/>
      <c r="L788" s="1"/>
      <c r="M788" s="1"/>
      <c r="N788" s="1"/>
      <c r="O788" s="1"/>
      <c r="P788" s="82"/>
      <c r="Q788" s="1"/>
      <c r="R788" s="1"/>
      <c r="S788" s="83"/>
      <c r="T788" s="1"/>
      <c r="U788" s="1"/>
      <c r="V788" s="1"/>
      <c r="W788" s="1"/>
      <c r="X788" s="1"/>
      <c r="Y788" s="1"/>
    </row>
    <row r="789">
      <c r="A789" s="1"/>
      <c r="B789" s="83"/>
      <c r="C789" s="91"/>
      <c r="D789" s="1"/>
      <c r="E789" s="1"/>
      <c r="F789" s="1"/>
      <c r="G789" s="1"/>
      <c r="H789" s="1"/>
      <c r="I789" s="1"/>
      <c r="J789" s="1"/>
      <c r="K789" s="1"/>
      <c r="L789" s="1"/>
      <c r="M789" s="1"/>
      <c r="N789" s="1"/>
      <c r="O789" s="1"/>
      <c r="P789" s="82"/>
      <c r="Q789" s="1"/>
      <c r="R789" s="1"/>
      <c r="S789" s="83"/>
      <c r="T789" s="1"/>
      <c r="U789" s="1"/>
      <c r="V789" s="1"/>
      <c r="W789" s="1"/>
      <c r="X789" s="1"/>
      <c r="Y789" s="1"/>
    </row>
    <row r="790">
      <c r="A790" s="1"/>
      <c r="B790" s="83"/>
      <c r="C790" s="91"/>
      <c r="D790" s="1"/>
      <c r="E790" s="1"/>
      <c r="F790" s="1"/>
      <c r="G790" s="1"/>
      <c r="H790" s="1"/>
      <c r="I790" s="1"/>
      <c r="J790" s="1"/>
      <c r="K790" s="1"/>
      <c r="L790" s="1"/>
      <c r="M790" s="1"/>
      <c r="N790" s="1"/>
      <c r="O790" s="1"/>
      <c r="P790" s="82"/>
      <c r="Q790" s="1"/>
      <c r="R790" s="1"/>
      <c r="S790" s="83"/>
      <c r="T790" s="1"/>
      <c r="U790" s="1"/>
      <c r="V790" s="1"/>
      <c r="W790" s="1"/>
      <c r="X790" s="1"/>
      <c r="Y790" s="1"/>
    </row>
    <row r="791">
      <c r="A791" s="1"/>
      <c r="B791" s="83"/>
      <c r="C791" s="91"/>
      <c r="D791" s="1"/>
      <c r="E791" s="1"/>
      <c r="F791" s="1"/>
      <c r="G791" s="1"/>
      <c r="H791" s="1"/>
      <c r="I791" s="1"/>
      <c r="J791" s="1"/>
      <c r="K791" s="1"/>
      <c r="L791" s="1"/>
      <c r="M791" s="1"/>
      <c r="N791" s="1"/>
      <c r="O791" s="1"/>
      <c r="P791" s="82"/>
      <c r="Q791" s="1"/>
      <c r="R791" s="1"/>
      <c r="S791" s="83"/>
      <c r="T791" s="1"/>
      <c r="U791" s="1"/>
      <c r="V791" s="1"/>
      <c r="W791" s="1"/>
      <c r="X791" s="1"/>
      <c r="Y791" s="1"/>
    </row>
    <row r="792">
      <c r="A792" s="1"/>
      <c r="B792" s="83"/>
      <c r="C792" s="91"/>
      <c r="D792" s="1"/>
      <c r="E792" s="1"/>
      <c r="F792" s="1"/>
      <c r="G792" s="1"/>
      <c r="H792" s="1"/>
      <c r="I792" s="1"/>
      <c r="J792" s="1"/>
      <c r="K792" s="1"/>
      <c r="L792" s="1"/>
      <c r="M792" s="1"/>
      <c r="N792" s="1"/>
      <c r="O792" s="1"/>
      <c r="P792" s="82"/>
      <c r="Q792" s="1"/>
      <c r="R792" s="1"/>
      <c r="S792" s="83"/>
      <c r="T792" s="1"/>
      <c r="U792" s="1"/>
      <c r="V792" s="1"/>
      <c r="W792" s="1"/>
      <c r="X792" s="1"/>
      <c r="Y792" s="1"/>
    </row>
    <row r="793">
      <c r="A793" s="1"/>
      <c r="B793" s="83"/>
      <c r="C793" s="91"/>
      <c r="D793" s="1"/>
      <c r="E793" s="1"/>
      <c r="F793" s="1"/>
      <c r="G793" s="1"/>
      <c r="H793" s="1"/>
      <c r="I793" s="1"/>
      <c r="J793" s="1"/>
      <c r="K793" s="1"/>
      <c r="L793" s="1"/>
      <c r="M793" s="1"/>
      <c r="N793" s="1"/>
      <c r="O793" s="1"/>
      <c r="P793" s="82"/>
      <c r="Q793" s="1"/>
      <c r="R793" s="1"/>
      <c r="S793" s="83"/>
      <c r="T793" s="1"/>
      <c r="U793" s="1"/>
      <c r="V793" s="1"/>
      <c r="W793" s="1"/>
      <c r="X793" s="1"/>
      <c r="Y793" s="1"/>
    </row>
    <row r="794">
      <c r="A794" s="1"/>
      <c r="B794" s="83"/>
      <c r="C794" s="91"/>
      <c r="D794" s="1"/>
      <c r="E794" s="1"/>
      <c r="F794" s="1"/>
      <c r="G794" s="1"/>
      <c r="H794" s="1"/>
      <c r="I794" s="1"/>
      <c r="J794" s="1"/>
      <c r="K794" s="1"/>
      <c r="L794" s="1"/>
      <c r="M794" s="1"/>
      <c r="N794" s="1"/>
      <c r="O794" s="1"/>
      <c r="P794" s="82"/>
      <c r="Q794" s="1"/>
      <c r="R794" s="1"/>
      <c r="S794" s="83"/>
      <c r="T794" s="1"/>
      <c r="U794" s="1"/>
      <c r="V794" s="1"/>
      <c r="W794" s="1"/>
      <c r="X794" s="1"/>
      <c r="Y794" s="1"/>
    </row>
    <row r="795">
      <c r="A795" s="1"/>
      <c r="B795" s="83"/>
      <c r="C795" s="91"/>
      <c r="D795" s="1"/>
      <c r="E795" s="1"/>
      <c r="F795" s="1"/>
      <c r="G795" s="1"/>
      <c r="H795" s="1"/>
      <c r="I795" s="1"/>
      <c r="J795" s="1"/>
      <c r="K795" s="1"/>
      <c r="L795" s="1"/>
      <c r="M795" s="1"/>
      <c r="N795" s="1"/>
      <c r="O795" s="1"/>
      <c r="P795" s="82"/>
      <c r="Q795" s="1"/>
      <c r="R795" s="1"/>
      <c r="S795" s="83"/>
      <c r="T795" s="1"/>
      <c r="U795" s="1"/>
      <c r="V795" s="1"/>
      <c r="W795" s="1"/>
      <c r="X795" s="1"/>
      <c r="Y795" s="1"/>
    </row>
    <row r="796">
      <c r="A796" s="1"/>
      <c r="B796" s="83"/>
      <c r="C796" s="91"/>
      <c r="D796" s="1"/>
      <c r="E796" s="1"/>
      <c r="F796" s="1"/>
      <c r="G796" s="1"/>
      <c r="H796" s="1"/>
      <c r="I796" s="1"/>
      <c r="J796" s="1"/>
      <c r="K796" s="1"/>
      <c r="L796" s="1"/>
      <c r="M796" s="1"/>
      <c r="N796" s="1"/>
      <c r="O796" s="1"/>
      <c r="P796" s="82"/>
      <c r="Q796" s="1"/>
      <c r="R796" s="1"/>
      <c r="S796" s="83"/>
      <c r="T796" s="1"/>
      <c r="U796" s="1"/>
      <c r="V796" s="1"/>
      <c r="W796" s="1"/>
      <c r="X796" s="1"/>
      <c r="Y796" s="1"/>
    </row>
    <row r="797">
      <c r="A797" s="1"/>
      <c r="B797" s="83"/>
      <c r="C797" s="91"/>
      <c r="D797" s="1"/>
      <c r="E797" s="1"/>
      <c r="F797" s="1"/>
      <c r="G797" s="1"/>
      <c r="H797" s="1"/>
      <c r="I797" s="1"/>
      <c r="J797" s="1"/>
      <c r="K797" s="1"/>
      <c r="L797" s="1"/>
      <c r="M797" s="1"/>
      <c r="N797" s="1"/>
      <c r="O797" s="1"/>
      <c r="P797" s="82"/>
      <c r="Q797" s="1"/>
      <c r="R797" s="1"/>
      <c r="S797" s="83"/>
      <c r="T797" s="1"/>
      <c r="U797" s="1"/>
      <c r="V797" s="1"/>
      <c r="W797" s="1"/>
      <c r="X797" s="1"/>
      <c r="Y797" s="1"/>
    </row>
    <row r="798">
      <c r="A798" s="1"/>
      <c r="B798" s="83"/>
      <c r="C798" s="91"/>
      <c r="D798" s="1"/>
      <c r="E798" s="1"/>
      <c r="F798" s="1"/>
      <c r="G798" s="1"/>
      <c r="H798" s="1"/>
      <c r="I798" s="1"/>
      <c r="J798" s="1"/>
      <c r="K798" s="1"/>
      <c r="L798" s="1"/>
      <c r="M798" s="1"/>
      <c r="N798" s="1"/>
      <c r="O798" s="1"/>
      <c r="P798" s="82"/>
      <c r="Q798" s="1"/>
      <c r="R798" s="1"/>
      <c r="S798" s="83"/>
      <c r="T798" s="1"/>
      <c r="U798" s="1"/>
      <c r="V798" s="1"/>
      <c r="W798" s="1"/>
      <c r="X798" s="1"/>
      <c r="Y798" s="1"/>
    </row>
    <row r="799">
      <c r="A799" s="1"/>
      <c r="B799" s="83"/>
      <c r="C799" s="91"/>
      <c r="D799" s="1"/>
      <c r="E799" s="1"/>
      <c r="F799" s="1"/>
      <c r="G799" s="1"/>
      <c r="H799" s="1"/>
      <c r="I799" s="1"/>
      <c r="J799" s="1"/>
      <c r="K799" s="1"/>
      <c r="L799" s="1"/>
      <c r="M799" s="1"/>
      <c r="N799" s="1"/>
      <c r="O799" s="1"/>
      <c r="P799" s="82"/>
      <c r="Q799" s="1"/>
      <c r="R799" s="1"/>
      <c r="S799" s="83"/>
      <c r="T799" s="1"/>
      <c r="U799" s="1"/>
      <c r="V799" s="1"/>
      <c r="W799" s="1"/>
      <c r="X799" s="1"/>
      <c r="Y799" s="1"/>
    </row>
    <row r="800">
      <c r="A800" s="1"/>
      <c r="B800" s="83"/>
      <c r="C800" s="91"/>
      <c r="D800" s="1"/>
      <c r="E800" s="1"/>
      <c r="F800" s="1"/>
      <c r="G800" s="1"/>
      <c r="H800" s="1"/>
      <c r="I800" s="1"/>
      <c r="J800" s="1"/>
      <c r="K800" s="1"/>
      <c r="L800" s="1"/>
      <c r="M800" s="1"/>
      <c r="N800" s="1"/>
      <c r="O800" s="1"/>
      <c r="P800" s="82"/>
      <c r="Q800" s="1"/>
      <c r="R800" s="1"/>
      <c r="S800" s="83"/>
      <c r="T800" s="1"/>
      <c r="U800" s="1"/>
      <c r="V800" s="1"/>
      <c r="W800" s="1"/>
      <c r="X800" s="1"/>
      <c r="Y800" s="1"/>
    </row>
    <row r="801">
      <c r="A801" s="1"/>
      <c r="B801" s="83"/>
      <c r="C801" s="91"/>
      <c r="D801" s="1"/>
      <c r="E801" s="1"/>
      <c r="F801" s="1"/>
      <c r="G801" s="1"/>
      <c r="H801" s="1"/>
      <c r="I801" s="1"/>
      <c r="J801" s="1"/>
      <c r="K801" s="1"/>
      <c r="L801" s="1"/>
      <c r="M801" s="1"/>
      <c r="N801" s="1"/>
      <c r="O801" s="1"/>
      <c r="P801" s="82"/>
      <c r="Q801" s="1"/>
      <c r="R801" s="1"/>
      <c r="S801" s="83"/>
      <c r="T801" s="1"/>
      <c r="U801" s="1"/>
      <c r="V801" s="1"/>
      <c r="W801" s="1"/>
      <c r="X801" s="1"/>
      <c r="Y801" s="1"/>
    </row>
    <row r="802">
      <c r="A802" s="1"/>
      <c r="B802" s="83"/>
      <c r="C802" s="91"/>
      <c r="D802" s="1"/>
      <c r="E802" s="1"/>
      <c r="F802" s="1"/>
      <c r="G802" s="1"/>
      <c r="H802" s="1"/>
      <c r="I802" s="1"/>
      <c r="J802" s="1"/>
      <c r="K802" s="1"/>
      <c r="L802" s="1"/>
      <c r="M802" s="1"/>
      <c r="N802" s="1"/>
      <c r="O802" s="1"/>
      <c r="P802" s="82"/>
      <c r="Q802" s="1"/>
      <c r="R802" s="1"/>
      <c r="S802" s="83"/>
      <c r="T802" s="1"/>
      <c r="U802" s="1"/>
      <c r="V802" s="1"/>
      <c r="W802" s="1"/>
      <c r="X802" s="1"/>
      <c r="Y802" s="1"/>
    </row>
    <row r="803">
      <c r="A803" s="1"/>
      <c r="B803" s="83"/>
      <c r="C803" s="91"/>
      <c r="D803" s="1"/>
      <c r="E803" s="1"/>
      <c r="F803" s="1"/>
      <c r="G803" s="1"/>
      <c r="H803" s="1"/>
      <c r="I803" s="1"/>
      <c r="J803" s="1"/>
      <c r="K803" s="1"/>
      <c r="L803" s="1"/>
      <c r="M803" s="1"/>
      <c r="N803" s="1"/>
      <c r="O803" s="1"/>
      <c r="P803" s="82"/>
      <c r="Q803" s="1"/>
      <c r="R803" s="1"/>
      <c r="S803" s="83"/>
      <c r="T803" s="1"/>
      <c r="U803" s="1"/>
      <c r="V803" s="1"/>
      <c r="W803" s="1"/>
      <c r="X803" s="1"/>
      <c r="Y803" s="1"/>
    </row>
    <row r="804">
      <c r="A804" s="1"/>
      <c r="B804" s="83"/>
      <c r="C804" s="91"/>
      <c r="D804" s="1"/>
      <c r="E804" s="1"/>
      <c r="F804" s="1"/>
      <c r="G804" s="1"/>
      <c r="H804" s="1"/>
      <c r="I804" s="1"/>
      <c r="J804" s="1"/>
      <c r="K804" s="1"/>
      <c r="L804" s="1"/>
      <c r="M804" s="1"/>
      <c r="N804" s="1"/>
      <c r="O804" s="1"/>
      <c r="P804" s="82"/>
      <c r="Q804" s="1"/>
      <c r="R804" s="1"/>
      <c r="S804" s="83"/>
      <c r="T804" s="1"/>
      <c r="U804" s="1"/>
      <c r="V804" s="1"/>
      <c r="W804" s="1"/>
      <c r="X804" s="1"/>
      <c r="Y804" s="1"/>
    </row>
    <row r="805">
      <c r="A805" s="1"/>
      <c r="B805" s="83"/>
      <c r="C805" s="91"/>
      <c r="D805" s="1"/>
      <c r="E805" s="1"/>
      <c r="F805" s="1"/>
      <c r="G805" s="1"/>
      <c r="H805" s="1"/>
      <c r="I805" s="1"/>
      <c r="J805" s="1"/>
      <c r="K805" s="1"/>
      <c r="L805" s="1"/>
      <c r="M805" s="1"/>
      <c r="N805" s="1"/>
      <c r="O805" s="1"/>
      <c r="P805" s="82"/>
      <c r="Q805" s="1"/>
      <c r="R805" s="1"/>
      <c r="S805" s="83"/>
      <c r="T805" s="1"/>
      <c r="U805" s="1"/>
      <c r="V805" s="1"/>
      <c r="W805" s="1"/>
      <c r="X805" s="1"/>
      <c r="Y805" s="1"/>
    </row>
    <row r="806">
      <c r="A806" s="1"/>
      <c r="B806" s="83"/>
      <c r="C806" s="91"/>
      <c r="D806" s="1"/>
      <c r="E806" s="1"/>
      <c r="F806" s="1"/>
      <c r="G806" s="1"/>
      <c r="H806" s="1"/>
      <c r="I806" s="1"/>
      <c r="J806" s="1"/>
      <c r="K806" s="1"/>
      <c r="L806" s="1"/>
      <c r="M806" s="1"/>
      <c r="N806" s="1"/>
      <c r="O806" s="1"/>
      <c r="P806" s="82"/>
      <c r="Q806" s="1"/>
      <c r="R806" s="1"/>
      <c r="S806" s="83"/>
      <c r="T806" s="1"/>
      <c r="U806" s="1"/>
      <c r="V806" s="1"/>
      <c r="W806" s="1"/>
      <c r="X806" s="1"/>
      <c r="Y806" s="1"/>
    </row>
    <row r="807">
      <c r="A807" s="1"/>
      <c r="B807" s="83"/>
      <c r="C807" s="91"/>
      <c r="D807" s="1"/>
      <c r="E807" s="1"/>
      <c r="F807" s="1"/>
      <c r="G807" s="1"/>
      <c r="H807" s="1"/>
      <c r="I807" s="1"/>
      <c r="J807" s="1"/>
      <c r="K807" s="1"/>
      <c r="L807" s="1"/>
      <c r="M807" s="1"/>
      <c r="N807" s="1"/>
      <c r="O807" s="1"/>
      <c r="P807" s="82"/>
      <c r="Q807" s="1"/>
      <c r="R807" s="1"/>
      <c r="S807" s="83"/>
      <c r="T807" s="1"/>
      <c r="U807" s="1"/>
      <c r="V807" s="1"/>
      <c r="W807" s="1"/>
      <c r="X807" s="1"/>
      <c r="Y807" s="1"/>
    </row>
    <row r="808">
      <c r="A808" s="1"/>
      <c r="B808" s="83"/>
      <c r="C808" s="91"/>
      <c r="D808" s="1"/>
      <c r="E808" s="1"/>
      <c r="F808" s="1"/>
      <c r="G808" s="1"/>
      <c r="H808" s="1"/>
      <c r="I808" s="1"/>
      <c r="J808" s="1"/>
      <c r="K808" s="1"/>
      <c r="L808" s="1"/>
      <c r="M808" s="1"/>
      <c r="N808" s="1"/>
      <c r="O808" s="1"/>
      <c r="P808" s="82"/>
      <c r="Q808" s="1"/>
      <c r="R808" s="1"/>
      <c r="S808" s="83"/>
      <c r="T808" s="1"/>
      <c r="U808" s="1"/>
      <c r="V808" s="1"/>
      <c r="W808" s="1"/>
      <c r="X808" s="1"/>
      <c r="Y808" s="1"/>
    </row>
    <row r="809">
      <c r="A809" s="1"/>
      <c r="B809" s="83"/>
      <c r="C809" s="91"/>
      <c r="D809" s="1"/>
      <c r="E809" s="1"/>
      <c r="F809" s="1"/>
      <c r="G809" s="1"/>
      <c r="H809" s="1"/>
      <c r="I809" s="1"/>
      <c r="J809" s="1"/>
      <c r="K809" s="1"/>
      <c r="L809" s="1"/>
      <c r="M809" s="1"/>
      <c r="N809" s="1"/>
      <c r="O809" s="1"/>
      <c r="P809" s="82"/>
      <c r="Q809" s="1"/>
      <c r="R809" s="1"/>
      <c r="S809" s="83"/>
      <c r="T809" s="1"/>
      <c r="U809" s="1"/>
      <c r="V809" s="1"/>
      <c r="W809" s="1"/>
      <c r="X809" s="1"/>
      <c r="Y809" s="1"/>
    </row>
    <row r="810">
      <c r="A810" s="1"/>
      <c r="B810" s="83"/>
      <c r="C810" s="91"/>
      <c r="D810" s="1"/>
      <c r="E810" s="1"/>
      <c r="F810" s="1"/>
      <c r="G810" s="1"/>
      <c r="H810" s="1"/>
      <c r="I810" s="1"/>
      <c r="J810" s="1"/>
      <c r="K810" s="1"/>
      <c r="L810" s="1"/>
      <c r="M810" s="1"/>
      <c r="N810" s="1"/>
      <c r="O810" s="1"/>
      <c r="P810" s="82"/>
      <c r="Q810" s="1"/>
      <c r="R810" s="1"/>
      <c r="S810" s="83"/>
      <c r="T810" s="1"/>
      <c r="U810" s="1"/>
      <c r="V810" s="1"/>
      <c r="W810" s="1"/>
      <c r="X810" s="1"/>
      <c r="Y810" s="1"/>
    </row>
    <row r="811">
      <c r="A811" s="1"/>
      <c r="B811" s="83"/>
      <c r="C811" s="91"/>
      <c r="D811" s="1"/>
      <c r="E811" s="1"/>
      <c r="F811" s="1"/>
      <c r="G811" s="1"/>
      <c r="H811" s="1"/>
      <c r="I811" s="1"/>
      <c r="J811" s="1"/>
      <c r="K811" s="1"/>
      <c r="L811" s="1"/>
      <c r="M811" s="1"/>
      <c r="N811" s="1"/>
      <c r="O811" s="1"/>
      <c r="P811" s="82"/>
      <c r="Q811" s="1"/>
      <c r="R811" s="1"/>
      <c r="S811" s="83"/>
      <c r="T811" s="1"/>
      <c r="U811" s="1"/>
      <c r="V811" s="1"/>
      <c r="W811" s="1"/>
      <c r="X811" s="1"/>
      <c r="Y811" s="1"/>
    </row>
    <row r="812">
      <c r="A812" s="1"/>
      <c r="B812" s="83"/>
      <c r="C812" s="91"/>
      <c r="D812" s="1"/>
      <c r="E812" s="1"/>
      <c r="F812" s="1"/>
      <c r="G812" s="1"/>
      <c r="H812" s="1"/>
      <c r="I812" s="1"/>
      <c r="J812" s="1"/>
      <c r="K812" s="1"/>
      <c r="L812" s="1"/>
      <c r="M812" s="1"/>
      <c r="N812" s="1"/>
      <c r="O812" s="1"/>
      <c r="P812" s="82"/>
      <c r="Q812" s="1"/>
      <c r="R812" s="1"/>
      <c r="S812" s="83"/>
      <c r="T812" s="1"/>
      <c r="U812" s="1"/>
      <c r="V812" s="1"/>
      <c r="W812" s="1"/>
      <c r="X812" s="1"/>
      <c r="Y812" s="1"/>
    </row>
    <row r="813">
      <c r="A813" s="1"/>
      <c r="B813" s="83"/>
      <c r="C813" s="91"/>
      <c r="D813" s="1"/>
      <c r="E813" s="1"/>
      <c r="F813" s="1"/>
      <c r="G813" s="1"/>
      <c r="H813" s="1"/>
      <c r="I813" s="1"/>
      <c r="J813" s="1"/>
      <c r="K813" s="1"/>
      <c r="L813" s="1"/>
      <c r="M813" s="1"/>
      <c r="N813" s="1"/>
      <c r="O813" s="1"/>
      <c r="P813" s="82"/>
      <c r="Q813" s="1"/>
      <c r="R813" s="1"/>
      <c r="S813" s="83"/>
      <c r="T813" s="1"/>
      <c r="U813" s="1"/>
      <c r="V813" s="1"/>
      <c r="W813" s="1"/>
      <c r="X813" s="1"/>
      <c r="Y813" s="1"/>
    </row>
    <row r="814">
      <c r="A814" s="1"/>
      <c r="B814" s="83"/>
      <c r="C814" s="91"/>
      <c r="D814" s="1"/>
      <c r="E814" s="1"/>
      <c r="F814" s="1"/>
      <c r="G814" s="1"/>
      <c r="H814" s="1"/>
      <c r="I814" s="1"/>
      <c r="J814" s="1"/>
      <c r="K814" s="1"/>
      <c r="L814" s="1"/>
      <c r="M814" s="1"/>
      <c r="N814" s="1"/>
      <c r="O814" s="1"/>
      <c r="P814" s="82"/>
      <c r="Q814" s="1"/>
      <c r="R814" s="1"/>
      <c r="S814" s="83"/>
      <c r="T814" s="1"/>
      <c r="U814" s="1"/>
      <c r="V814" s="1"/>
      <c r="W814" s="1"/>
      <c r="X814" s="1"/>
      <c r="Y814" s="1"/>
    </row>
    <row r="815">
      <c r="A815" s="1"/>
      <c r="B815" s="83"/>
      <c r="C815" s="91"/>
      <c r="D815" s="1"/>
      <c r="E815" s="1"/>
      <c r="F815" s="1"/>
      <c r="G815" s="1"/>
      <c r="H815" s="1"/>
      <c r="I815" s="1"/>
      <c r="J815" s="1"/>
      <c r="K815" s="1"/>
      <c r="L815" s="1"/>
      <c r="M815" s="1"/>
      <c r="N815" s="1"/>
      <c r="O815" s="1"/>
      <c r="P815" s="82"/>
      <c r="Q815" s="1"/>
      <c r="R815" s="1"/>
      <c r="S815" s="83"/>
      <c r="T815" s="1"/>
      <c r="U815" s="1"/>
      <c r="V815" s="1"/>
      <c r="W815" s="1"/>
      <c r="X815" s="1"/>
      <c r="Y815" s="1"/>
    </row>
    <row r="816">
      <c r="A816" s="1"/>
      <c r="B816" s="83"/>
      <c r="C816" s="91"/>
      <c r="D816" s="1"/>
      <c r="E816" s="1"/>
      <c r="F816" s="1"/>
      <c r="G816" s="1"/>
      <c r="H816" s="1"/>
      <c r="I816" s="1"/>
      <c r="J816" s="1"/>
      <c r="K816" s="1"/>
      <c r="L816" s="1"/>
      <c r="M816" s="1"/>
      <c r="N816" s="1"/>
      <c r="O816" s="1"/>
      <c r="P816" s="82"/>
      <c r="Q816" s="1"/>
      <c r="R816" s="1"/>
      <c r="S816" s="83"/>
      <c r="T816" s="1"/>
      <c r="U816" s="1"/>
      <c r="V816" s="1"/>
      <c r="W816" s="1"/>
      <c r="X816" s="1"/>
      <c r="Y816" s="1"/>
    </row>
    <row r="817">
      <c r="A817" s="1"/>
      <c r="B817" s="83"/>
      <c r="C817" s="91"/>
      <c r="D817" s="1"/>
      <c r="E817" s="1"/>
      <c r="F817" s="1"/>
      <c r="G817" s="1"/>
      <c r="H817" s="1"/>
      <c r="I817" s="1"/>
      <c r="J817" s="1"/>
      <c r="K817" s="1"/>
      <c r="L817" s="1"/>
      <c r="M817" s="1"/>
      <c r="N817" s="1"/>
      <c r="O817" s="1"/>
      <c r="P817" s="82"/>
      <c r="Q817" s="1"/>
      <c r="R817" s="1"/>
      <c r="S817" s="83"/>
      <c r="T817" s="1"/>
      <c r="U817" s="1"/>
      <c r="V817" s="1"/>
      <c r="W817" s="1"/>
      <c r="X817" s="1"/>
      <c r="Y817" s="1"/>
    </row>
    <row r="818">
      <c r="A818" s="1"/>
      <c r="B818" s="83"/>
      <c r="C818" s="91"/>
      <c r="D818" s="1"/>
      <c r="E818" s="1"/>
      <c r="F818" s="1"/>
      <c r="G818" s="1"/>
      <c r="H818" s="1"/>
      <c r="I818" s="1"/>
      <c r="J818" s="1"/>
      <c r="K818" s="1"/>
      <c r="L818" s="1"/>
      <c r="M818" s="1"/>
      <c r="N818" s="1"/>
      <c r="O818" s="1"/>
      <c r="P818" s="82"/>
      <c r="Q818" s="1"/>
      <c r="R818" s="1"/>
      <c r="S818" s="83"/>
      <c r="T818" s="1"/>
      <c r="U818" s="1"/>
      <c r="V818" s="1"/>
      <c r="W818" s="1"/>
      <c r="X818" s="1"/>
      <c r="Y818" s="1"/>
    </row>
    <row r="819">
      <c r="A819" s="1"/>
      <c r="B819" s="83"/>
      <c r="C819" s="91"/>
      <c r="D819" s="1"/>
      <c r="E819" s="1"/>
      <c r="F819" s="1"/>
      <c r="G819" s="1"/>
      <c r="H819" s="1"/>
      <c r="I819" s="1"/>
      <c r="J819" s="1"/>
      <c r="K819" s="1"/>
      <c r="L819" s="1"/>
      <c r="M819" s="1"/>
      <c r="N819" s="1"/>
      <c r="O819" s="1"/>
      <c r="P819" s="82"/>
      <c r="Q819" s="1"/>
      <c r="R819" s="1"/>
      <c r="S819" s="83"/>
      <c r="T819" s="1"/>
      <c r="U819" s="1"/>
      <c r="V819" s="1"/>
      <c r="W819" s="1"/>
      <c r="X819" s="1"/>
      <c r="Y819" s="1"/>
    </row>
    <row r="820">
      <c r="A820" s="1"/>
      <c r="B820" s="83"/>
      <c r="C820" s="91"/>
      <c r="D820" s="1"/>
      <c r="E820" s="1"/>
      <c r="F820" s="1"/>
      <c r="G820" s="1"/>
      <c r="H820" s="1"/>
      <c r="I820" s="1"/>
      <c r="J820" s="1"/>
      <c r="K820" s="1"/>
      <c r="L820" s="1"/>
      <c r="M820" s="1"/>
      <c r="N820" s="1"/>
      <c r="O820" s="1"/>
      <c r="P820" s="82"/>
      <c r="Q820" s="1"/>
      <c r="R820" s="1"/>
      <c r="S820" s="83"/>
      <c r="T820" s="1"/>
      <c r="U820" s="1"/>
      <c r="V820" s="1"/>
      <c r="W820" s="1"/>
      <c r="X820" s="1"/>
      <c r="Y820" s="1"/>
    </row>
    <row r="821">
      <c r="A821" s="1"/>
      <c r="B821" s="83"/>
      <c r="C821" s="91"/>
      <c r="D821" s="1"/>
      <c r="E821" s="1"/>
      <c r="F821" s="1"/>
      <c r="G821" s="1"/>
      <c r="H821" s="1"/>
      <c r="I821" s="1"/>
      <c r="J821" s="1"/>
      <c r="K821" s="1"/>
      <c r="L821" s="1"/>
      <c r="M821" s="1"/>
      <c r="N821" s="1"/>
      <c r="O821" s="1"/>
      <c r="P821" s="82"/>
      <c r="Q821" s="1"/>
      <c r="R821" s="1"/>
      <c r="S821" s="83"/>
      <c r="T821" s="1"/>
      <c r="U821" s="1"/>
      <c r="V821" s="1"/>
      <c r="W821" s="1"/>
      <c r="X821" s="1"/>
      <c r="Y821" s="1"/>
    </row>
    <row r="822">
      <c r="A822" s="1"/>
      <c r="B822" s="83"/>
      <c r="C822" s="91"/>
      <c r="D822" s="1"/>
      <c r="E822" s="1"/>
      <c r="F822" s="1"/>
      <c r="G822" s="1"/>
      <c r="H822" s="1"/>
      <c r="I822" s="1"/>
      <c r="J822" s="1"/>
      <c r="K822" s="1"/>
      <c r="L822" s="1"/>
      <c r="M822" s="1"/>
      <c r="N822" s="1"/>
      <c r="O822" s="1"/>
      <c r="P822" s="82"/>
      <c r="Q822" s="1"/>
      <c r="R822" s="1"/>
      <c r="S822" s="83"/>
      <c r="T822" s="1"/>
      <c r="U822" s="1"/>
      <c r="V822" s="1"/>
      <c r="W822" s="1"/>
      <c r="X822" s="1"/>
      <c r="Y822" s="1"/>
    </row>
    <row r="823">
      <c r="A823" s="1"/>
      <c r="B823" s="83"/>
      <c r="C823" s="91"/>
      <c r="D823" s="1"/>
      <c r="E823" s="1"/>
      <c r="F823" s="1"/>
      <c r="G823" s="1"/>
      <c r="H823" s="1"/>
      <c r="I823" s="1"/>
      <c r="J823" s="1"/>
      <c r="K823" s="1"/>
      <c r="L823" s="1"/>
      <c r="M823" s="1"/>
      <c r="N823" s="1"/>
      <c r="O823" s="1"/>
      <c r="P823" s="82"/>
      <c r="Q823" s="1"/>
      <c r="R823" s="1"/>
      <c r="S823" s="83"/>
      <c r="T823" s="1"/>
      <c r="U823" s="1"/>
      <c r="V823" s="1"/>
      <c r="W823" s="1"/>
      <c r="X823" s="1"/>
      <c r="Y823" s="1"/>
    </row>
    <row r="824">
      <c r="A824" s="1"/>
      <c r="B824" s="83"/>
      <c r="C824" s="91"/>
      <c r="D824" s="1"/>
      <c r="E824" s="1"/>
      <c r="F824" s="1"/>
      <c r="G824" s="1"/>
      <c r="H824" s="1"/>
      <c r="I824" s="1"/>
      <c r="J824" s="1"/>
      <c r="K824" s="1"/>
      <c r="L824" s="1"/>
      <c r="M824" s="1"/>
      <c r="N824" s="1"/>
      <c r="O824" s="1"/>
      <c r="P824" s="82"/>
      <c r="Q824" s="1"/>
      <c r="R824" s="1"/>
      <c r="S824" s="83"/>
      <c r="T824" s="1"/>
      <c r="U824" s="1"/>
      <c r="V824" s="1"/>
      <c r="W824" s="1"/>
      <c r="X824" s="1"/>
      <c r="Y824" s="1"/>
    </row>
    <row r="825">
      <c r="A825" s="1"/>
      <c r="B825" s="83"/>
      <c r="C825" s="91"/>
      <c r="D825" s="1"/>
      <c r="E825" s="1"/>
      <c r="F825" s="1"/>
      <c r="G825" s="1"/>
      <c r="H825" s="1"/>
      <c r="I825" s="1"/>
      <c r="J825" s="1"/>
      <c r="K825" s="1"/>
      <c r="L825" s="1"/>
      <c r="M825" s="1"/>
      <c r="N825" s="1"/>
      <c r="O825" s="1"/>
      <c r="P825" s="82"/>
      <c r="Q825" s="1"/>
      <c r="R825" s="1"/>
      <c r="S825" s="83"/>
      <c r="T825" s="1"/>
      <c r="U825" s="1"/>
      <c r="V825" s="1"/>
      <c r="W825" s="1"/>
      <c r="X825" s="1"/>
      <c r="Y825" s="1"/>
    </row>
    <row r="826">
      <c r="A826" s="1"/>
      <c r="B826" s="83"/>
      <c r="C826" s="91"/>
      <c r="D826" s="1"/>
      <c r="E826" s="1"/>
      <c r="F826" s="1"/>
      <c r="G826" s="1"/>
      <c r="H826" s="1"/>
      <c r="I826" s="1"/>
      <c r="J826" s="1"/>
      <c r="K826" s="1"/>
      <c r="L826" s="1"/>
      <c r="M826" s="1"/>
      <c r="N826" s="1"/>
      <c r="O826" s="1"/>
      <c r="P826" s="82"/>
      <c r="Q826" s="1"/>
      <c r="R826" s="1"/>
      <c r="S826" s="83"/>
      <c r="T826" s="1"/>
      <c r="U826" s="1"/>
      <c r="V826" s="1"/>
      <c r="W826" s="1"/>
      <c r="X826" s="1"/>
      <c r="Y826" s="1"/>
    </row>
    <row r="827">
      <c r="A827" s="1"/>
      <c r="B827" s="83"/>
      <c r="C827" s="91"/>
      <c r="D827" s="1"/>
      <c r="E827" s="1"/>
      <c r="F827" s="1"/>
      <c r="G827" s="1"/>
      <c r="H827" s="1"/>
      <c r="I827" s="1"/>
      <c r="J827" s="1"/>
      <c r="K827" s="1"/>
      <c r="L827" s="1"/>
      <c r="M827" s="1"/>
      <c r="N827" s="1"/>
      <c r="O827" s="1"/>
      <c r="P827" s="82"/>
      <c r="Q827" s="1"/>
      <c r="R827" s="1"/>
      <c r="S827" s="83"/>
      <c r="T827" s="1"/>
      <c r="U827" s="1"/>
      <c r="V827" s="1"/>
      <c r="W827" s="1"/>
      <c r="X827" s="1"/>
      <c r="Y827" s="1"/>
    </row>
    <row r="828">
      <c r="A828" s="1"/>
      <c r="B828" s="83"/>
      <c r="C828" s="91"/>
      <c r="D828" s="1"/>
      <c r="E828" s="1"/>
      <c r="F828" s="1"/>
      <c r="G828" s="1"/>
      <c r="H828" s="1"/>
      <c r="I828" s="1"/>
      <c r="J828" s="1"/>
      <c r="K828" s="1"/>
      <c r="L828" s="1"/>
      <c r="M828" s="1"/>
      <c r="N828" s="1"/>
      <c r="O828" s="1"/>
      <c r="P828" s="82"/>
      <c r="Q828" s="1"/>
      <c r="R828" s="1"/>
      <c r="S828" s="83"/>
      <c r="T828" s="1"/>
      <c r="U828" s="1"/>
      <c r="V828" s="1"/>
      <c r="W828" s="1"/>
      <c r="X828" s="1"/>
      <c r="Y828" s="1"/>
    </row>
    <row r="829">
      <c r="A829" s="1"/>
      <c r="B829" s="83"/>
      <c r="C829" s="91"/>
      <c r="D829" s="1"/>
      <c r="E829" s="1"/>
      <c r="F829" s="1"/>
      <c r="G829" s="1"/>
      <c r="H829" s="1"/>
      <c r="I829" s="1"/>
      <c r="J829" s="1"/>
      <c r="K829" s="1"/>
      <c r="L829" s="1"/>
      <c r="M829" s="1"/>
      <c r="N829" s="1"/>
      <c r="O829" s="1"/>
      <c r="P829" s="82"/>
      <c r="Q829" s="1"/>
      <c r="R829" s="1"/>
      <c r="S829" s="83"/>
      <c r="T829" s="1"/>
      <c r="U829" s="1"/>
      <c r="V829" s="1"/>
      <c r="W829" s="1"/>
      <c r="X829" s="1"/>
      <c r="Y829" s="1"/>
    </row>
    <row r="830">
      <c r="A830" s="1"/>
      <c r="B830" s="83"/>
      <c r="C830" s="91"/>
      <c r="D830" s="1"/>
      <c r="E830" s="1"/>
      <c r="F830" s="1"/>
      <c r="G830" s="1"/>
      <c r="H830" s="1"/>
      <c r="I830" s="1"/>
      <c r="J830" s="1"/>
      <c r="K830" s="1"/>
      <c r="L830" s="1"/>
      <c r="M830" s="1"/>
      <c r="N830" s="1"/>
      <c r="O830" s="1"/>
      <c r="P830" s="82"/>
      <c r="Q830" s="1"/>
      <c r="R830" s="1"/>
      <c r="S830" s="83"/>
      <c r="T830" s="1"/>
      <c r="U830" s="1"/>
      <c r="V830" s="1"/>
      <c r="W830" s="1"/>
      <c r="X830" s="1"/>
      <c r="Y830" s="1"/>
    </row>
    <row r="831">
      <c r="A831" s="1"/>
      <c r="B831" s="83"/>
      <c r="C831" s="91"/>
      <c r="D831" s="1"/>
      <c r="E831" s="1"/>
      <c r="F831" s="1"/>
      <c r="G831" s="1"/>
      <c r="H831" s="1"/>
      <c r="I831" s="1"/>
      <c r="J831" s="1"/>
      <c r="K831" s="1"/>
      <c r="L831" s="1"/>
      <c r="M831" s="1"/>
      <c r="N831" s="1"/>
      <c r="O831" s="1"/>
      <c r="P831" s="82"/>
      <c r="Q831" s="1"/>
      <c r="R831" s="1"/>
      <c r="S831" s="83"/>
      <c r="T831" s="1"/>
      <c r="U831" s="1"/>
      <c r="V831" s="1"/>
      <c r="W831" s="1"/>
      <c r="X831" s="1"/>
      <c r="Y831" s="1"/>
    </row>
    <row r="832">
      <c r="A832" s="1"/>
      <c r="B832" s="83"/>
      <c r="C832" s="91"/>
      <c r="D832" s="1"/>
      <c r="E832" s="1"/>
      <c r="F832" s="1"/>
      <c r="G832" s="1"/>
      <c r="H832" s="1"/>
      <c r="I832" s="1"/>
      <c r="J832" s="1"/>
      <c r="K832" s="1"/>
      <c r="L832" s="1"/>
      <c r="M832" s="1"/>
      <c r="N832" s="1"/>
      <c r="O832" s="1"/>
      <c r="P832" s="82"/>
      <c r="Q832" s="1"/>
      <c r="R832" s="1"/>
      <c r="S832" s="83"/>
      <c r="T832" s="1"/>
      <c r="U832" s="1"/>
      <c r="V832" s="1"/>
      <c r="W832" s="1"/>
      <c r="X832" s="1"/>
      <c r="Y832" s="1"/>
    </row>
    <row r="833">
      <c r="A833" s="1"/>
      <c r="B833" s="83"/>
      <c r="C833" s="91"/>
      <c r="D833" s="1"/>
      <c r="E833" s="1"/>
      <c r="F833" s="1"/>
      <c r="G833" s="1"/>
      <c r="H833" s="1"/>
      <c r="I833" s="1"/>
      <c r="J833" s="1"/>
      <c r="K833" s="1"/>
      <c r="L833" s="1"/>
      <c r="M833" s="1"/>
      <c r="N833" s="1"/>
      <c r="O833" s="1"/>
      <c r="P833" s="82"/>
      <c r="Q833" s="1"/>
      <c r="R833" s="1"/>
      <c r="S833" s="83"/>
      <c r="T833" s="1"/>
      <c r="U833" s="1"/>
      <c r="V833" s="1"/>
      <c r="W833" s="1"/>
      <c r="X833" s="1"/>
      <c r="Y833" s="1"/>
    </row>
    <row r="834">
      <c r="A834" s="1"/>
      <c r="B834" s="83"/>
      <c r="C834" s="91"/>
      <c r="D834" s="1"/>
      <c r="E834" s="1"/>
      <c r="F834" s="1"/>
      <c r="G834" s="1"/>
      <c r="H834" s="1"/>
      <c r="I834" s="1"/>
      <c r="J834" s="1"/>
      <c r="K834" s="1"/>
      <c r="L834" s="1"/>
      <c r="M834" s="1"/>
      <c r="N834" s="1"/>
      <c r="O834" s="1"/>
      <c r="P834" s="82"/>
      <c r="Q834" s="1"/>
      <c r="R834" s="1"/>
      <c r="S834" s="83"/>
      <c r="T834" s="1"/>
      <c r="U834" s="1"/>
      <c r="V834" s="1"/>
      <c r="W834" s="1"/>
      <c r="X834" s="1"/>
      <c r="Y834" s="1"/>
    </row>
    <row r="835">
      <c r="A835" s="1"/>
      <c r="B835" s="83"/>
      <c r="C835" s="91"/>
      <c r="D835" s="1"/>
      <c r="E835" s="1"/>
      <c r="F835" s="1"/>
      <c r="G835" s="1"/>
      <c r="H835" s="1"/>
      <c r="I835" s="1"/>
      <c r="J835" s="1"/>
      <c r="K835" s="1"/>
      <c r="L835" s="1"/>
      <c r="M835" s="1"/>
      <c r="N835" s="1"/>
      <c r="O835" s="1"/>
      <c r="P835" s="82"/>
      <c r="Q835" s="1"/>
      <c r="R835" s="1"/>
      <c r="S835" s="83"/>
      <c r="T835" s="1"/>
      <c r="U835" s="1"/>
      <c r="V835" s="1"/>
      <c r="W835" s="1"/>
      <c r="X835" s="1"/>
      <c r="Y835" s="1"/>
    </row>
    <row r="836">
      <c r="A836" s="1"/>
      <c r="B836" s="83"/>
      <c r="C836" s="91"/>
      <c r="D836" s="1"/>
      <c r="E836" s="1"/>
      <c r="F836" s="1"/>
      <c r="G836" s="1"/>
      <c r="H836" s="1"/>
      <c r="I836" s="1"/>
      <c r="J836" s="1"/>
      <c r="K836" s="1"/>
      <c r="L836" s="1"/>
      <c r="M836" s="1"/>
      <c r="N836" s="1"/>
      <c r="O836" s="1"/>
      <c r="P836" s="82"/>
      <c r="Q836" s="1"/>
      <c r="R836" s="1"/>
      <c r="S836" s="83"/>
      <c r="T836" s="1"/>
      <c r="U836" s="1"/>
      <c r="V836" s="1"/>
      <c r="W836" s="1"/>
      <c r="X836" s="1"/>
      <c r="Y836" s="1"/>
    </row>
    <row r="837">
      <c r="A837" s="1"/>
      <c r="B837" s="83"/>
      <c r="C837" s="91"/>
      <c r="D837" s="1"/>
      <c r="E837" s="1"/>
      <c r="F837" s="1"/>
      <c r="G837" s="1"/>
      <c r="H837" s="1"/>
      <c r="I837" s="1"/>
      <c r="J837" s="1"/>
      <c r="K837" s="1"/>
      <c r="L837" s="1"/>
      <c r="M837" s="1"/>
      <c r="N837" s="1"/>
      <c r="O837" s="1"/>
      <c r="P837" s="82"/>
      <c r="Q837" s="1"/>
      <c r="R837" s="1"/>
      <c r="S837" s="83"/>
      <c r="T837" s="1"/>
      <c r="U837" s="1"/>
      <c r="V837" s="1"/>
      <c r="W837" s="1"/>
      <c r="X837" s="1"/>
      <c r="Y837" s="1"/>
    </row>
    <row r="838">
      <c r="A838" s="1"/>
      <c r="B838" s="83"/>
      <c r="C838" s="91"/>
      <c r="D838" s="1"/>
      <c r="E838" s="1"/>
      <c r="F838" s="1"/>
      <c r="G838" s="1"/>
      <c r="H838" s="1"/>
      <c r="I838" s="1"/>
      <c r="J838" s="1"/>
      <c r="K838" s="1"/>
      <c r="L838" s="1"/>
      <c r="M838" s="1"/>
      <c r="N838" s="1"/>
      <c r="O838" s="1"/>
      <c r="P838" s="82"/>
      <c r="Q838" s="1"/>
      <c r="R838" s="1"/>
      <c r="S838" s="83"/>
      <c r="T838" s="1"/>
      <c r="U838" s="1"/>
      <c r="V838" s="1"/>
      <c r="W838" s="1"/>
      <c r="X838" s="1"/>
      <c r="Y838" s="1"/>
    </row>
    <row r="839">
      <c r="A839" s="1"/>
      <c r="B839" s="83"/>
      <c r="C839" s="91"/>
      <c r="D839" s="1"/>
      <c r="E839" s="1"/>
      <c r="F839" s="1"/>
      <c r="G839" s="1"/>
      <c r="H839" s="1"/>
      <c r="I839" s="1"/>
      <c r="J839" s="1"/>
      <c r="K839" s="1"/>
      <c r="L839" s="1"/>
      <c r="M839" s="1"/>
      <c r="N839" s="1"/>
      <c r="O839" s="1"/>
      <c r="P839" s="82"/>
      <c r="Q839" s="1"/>
      <c r="R839" s="1"/>
      <c r="S839" s="83"/>
      <c r="T839" s="1"/>
      <c r="U839" s="1"/>
      <c r="V839" s="1"/>
      <c r="W839" s="1"/>
      <c r="X839" s="1"/>
      <c r="Y839" s="1"/>
    </row>
    <row r="840">
      <c r="A840" s="1"/>
      <c r="B840" s="83"/>
      <c r="C840" s="91"/>
      <c r="D840" s="1"/>
      <c r="E840" s="1"/>
      <c r="F840" s="1"/>
      <c r="G840" s="1"/>
      <c r="H840" s="1"/>
      <c r="I840" s="1"/>
      <c r="J840" s="1"/>
      <c r="K840" s="1"/>
      <c r="L840" s="1"/>
      <c r="M840" s="1"/>
      <c r="N840" s="1"/>
      <c r="O840" s="1"/>
      <c r="P840" s="82"/>
      <c r="Q840" s="1"/>
      <c r="R840" s="1"/>
      <c r="S840" s="83"/>
      <c r="T840" s="1"/>
      <c r="U840" s="1"/>
      <c r="V840" s="1"/>
      <c r="W840" s="1"/>
      <c r="X840" s="1"/>
      <c r="Y840" s="1"/>
    </row>
    <row r="841">
      <c r="A841" s="1"/>
      <c r="B841" s="83"/>
      <c r="C841" s="91"/>
      <c r="D841" s="1"/>
      <c r="E841" s="1"/>
      <c r="F841" s="1"/>
      <c r="G841" s="1"/>
      <c r="H841" s="1"/>
      <c r="I841" s="1"/>
      <c r="J841" s="1"/>
      <c r="K841" s="1"/>
      <c r="L841" s="1"/>
      <c r="M841" s="1"/>
      <c r="N841" s="1"/>
      <c r="O841" s="1"/>
      <c r="P841" s="82"/>
      <c r="Q841" s="1"/>
      <c r="R841" s="1"/>
      <c r="S841" s="83"/>
      <c r="T841" s="1"/>
      <c r="U841" s="1"/>
      <c r="V841" s="1"/>
      <c r="W841" s="1"/>
      <c r="X841" s="1"/>
      <c r="Y841" s="1"/>
    </row>
    <row r="842">
      <c r="A842" s="1"/>
      <c r="B842" s="83"/>
      <c r="C842" s="91"/>
      <c r="D842" s="1"/>
      <c r="E842" s="1"/>
      <c r="F842" s="1"/>
      <c r="G842" s="1"/>
      <c r="H842" s="1"/>
      <c r="I842" s="1"/>
      <c r="J842" s="1"/>
      <c r="K842" s="1"/>
      <c r="L842" s="1"/>
      <c r="M842" s="1"/>
      <c r="N842" s="1"/>
      <c r="O842" s="1"/>
      <c r="P842" s="82"/>
      <c r="Q842" s="1"/>
      <c r="R842" s="1"/>
      <c r="S842" s="83"/>
      <c r="T842" s="1"/>
      <c r="U842" s="1"/>
      <c r="V842" s="1"/>
      <c r="W842" s="1"/>
      <c r="X842" s="1"/>
      <c r="Y842" s="1"/>
    </row>
    <row r="843">
      <c r="A843" s="1"/>
      <c r="B843" s="83"/>
      <c r="C843" s="91"/>
      <c r="D843" s="1"/>
      <c r="E843" s="1"/>
      <c r="F843" s="1"/>
      <c r="G843" s="1"/>
      <c r="H843" s="1"/>
      <c r="I843" s="1"/>
      <c r="J843" s="1"/>
      <c r="K843" s="1"/>
      <c r="L843" s="1"/>
      <c r="M843" s="1"/>
      <c r="N843" s="1"/>
      <c r="O843" s="1"/>
      <c r="P843" s="82"/>
      <c r="Q843" s="1"/>
      <c r="R843" s="1"/>
      <c r="S843" s="83"/>
      <c r="T843" s="1"/>
      <c r="U843" s="1"/>
      <c r="V843" s="1"/>
      <c r="W843" s="1"/>
      <c r="X843" s="1"/>
      <c r="Y843" s="1"/>
    </row>
    <row r="844">
      <c r="A844" s="1"/>
      <c r="B844" s="83"/>
      <c r="C844" s="91"/>
      <c r="D844" s="1"/>
      <c r="E844" s="1"/>
      <c r="F844" s="1"/>
      <c r="G844" s="1"/>
      <c r="H844" s="1"/>
      <c r="I844" s="1"/>
      <c r="J844" s="1"/>
      <c r="K844" s="1"/>
      <c r="L844" s="1"/>
      <c r="M844" s="1"/>
      <c r="N844" s="1"/>
      <c r="O844" s="1"/>
      <c r="P844" s="82"/>
      <c r="Q844" s="1"/>
      <c r="R844" s="1"/>
      <c r="S844" s="83"/>
      <c r="T844" s="1"/>
      <c r="U844" s="1"/>
      <c r="V844" s="1"/>
      <c r="W844" s="1"/>
      <c r="X844" s="1"/>
      <c r="Y844" s="1"/>
    </row>
    <row r="845">
      <c r="A845" s="1"/>
      <c r="B845" s="83"/>
      <c r="C845" s="91"/>
      <c r="D845" s="1"/>
      <c r="E845" s="1"/>
      <c r="F845" s="1"/>
      <c r="G845" s="1"/>
      <c r="H845" s="1"/>
      <c r="I845" s="1"/>
      <c r="J845" s="1"/>
      <c r="K845" s="1"/>
      <c r="L845" s="1"/>
      <c r="M845" s="1"/>
      <c r="N845" s="1"/>
      <c r="O845" s="1"/>
      <c r="P845" s="82"/>
      <c r="Q845" s="1"/>
      <c r="R845" s="1"/>
      <c r="S845" s="83"/>
      <c r="T845" s="1"/>
      <c r="U845" s="1"/>
      <c r="V845" s="1"/>
      <c r="W845" s="1"/>
      <c r="X845" s="1"/>
      <c r="Y845" s="1"/>
    </row>
    <row r="846">
      <c r="A846" s="1"/>
      <c r="B846" s="83"/>
      <c r="C846" s="91"/>
      <c r="D846" s="1"/>
      <c r="E846" s="1"/>
      <c r="F846" s="1"/>
      <c r="G846" s="1"/>
      <c r="H846" s="1"/>
      <c r="I846" s="1"/>
      <c r="J846" s="1"/>
      <c r="K846" s="1"/>
      <c r="L846" s="1"/>
      <c r="M846" s="1"/>
      <c r="N846" s="1"/>
      <c r="O846" s="1"/>
      <c r="P846" s="82"/>
      <c r="Q846" s="1"/>
      <c r="R846" s="1"/>
      <c r="S846" s="83"/>
      <c r="T846" s="1"/>
      <c r="U846" s="1"/>
      <c r="V846" s="1"/>
      <c r="W846" s="1"/>
      <c r="X846" s="1"/>
      <c r="Y846" s="1"/>
    </row>
    <row r="847">
      <c r="A847" s="1"/>
      <c r="B847" s="83"/>
      <c r="C847" s="91"/>
      <c r="D847" s="1"/>
      <c r="E847" s="1"/>
      <c r="F847" s="1"/>
      <c r="G847" s="1"/>
      <c r="H847" s="1"/>
      <c r="I847" s="1"/>
      <c r="J847" s="1"/>
      <c r="K847" s="1"/>
      <c r="L847" s="1"/>
      <c r="M847" s="1"/>
      <c r="N847" s="1"/>
      <c r="O847" s="1"/>
      <c r="P847" s="82"/>
      <c r="Q847" s="1"/>
      <c r="R847" s="1"/>
      <c r="S847" s="83"/>
      <c r="T847" s="1"/>
      <c r="U847" s="1"/>
      <c r="V847" s="1"/>
      <c r="W847" s="1"/>
      <c r="X847" s="1"/>
      <c r="Y847" s="1"/>
    </row>
    <row r="848">
      <c r="A848" s="1"/>
      <c r="B848" s="83"/>
      <c r="C848" s="91"/>
      <c r="D848" s="1"/>
      <c r="E848" s="1"/>
      <c r="F848" s="1"/>
      <c r="G848" s="1"/>
      <c r="H848" s="1"/>
      <c r="I848" s="1"/>
      <c r="J848" s="1"/>
      <c r="K848" s="1"/>
      <c r="L848" s="1"/>
      <c r="M848" s="1"/>
      <c r="N848" s="1"/>
      <c r="O848" s="1"/>
      <c r="P848" s="82"/>
      <c r="Q848" s="1"/>
      <c r="R848" s="1"/>
      <c r="S848" s="83"/>
      <c r="T848" s="1"/>
      <c r="U848" s="1"/>
      <c r="V848" s="1"/>
      <c r="W848" s="1"/>
      <c r="X848" s="1"/>
      <c r="Y848" s="1"/>
    </row>
    <row r="849">
      <c r="A849" s="1"/>
      <c r="B849" s="83"/>
      <c r="C849" s="91"/>
      <c r="D849" s="1"/>
      <c r="E849" s="1"/>
      <c r="F849" s="1"/>
      <c r="G849" s="1"/>
      <c r="H849" s="1"/>
      <c r="I849" s="1"/>
      <c r="J849" s="1"/>
      <c r="K849" s="1"/>
      <c r="L849" s="1"/>
      <c r="M849" s="1"/>
      <c r="N849" s="1"/>
      <c r="O849" s="1"/>
      <c r="P849" s="82"/>
      <c r="Q849" s="1"/>
      <c r="R849" s="1"/>
      <c r="S849" s="83"/>
      <c r="T849" s="1"/>
      <c r="U849" s="1"/>
      <c r="V849" s="1"/>
      <c r="W849" s="1"/>
      <c r="X849" s="1"/>
      <c r="Y849" s="1"/>
    </row>
    <row r="850">
      <c r="A850" s="1"/>
      <c r="B850" s="83"/>
      <c r="C850" s="91"/>
      <c r="D850" s="1"/>
      <c r="E850" s="1"/>
      <c r="F850" s="1"/>
      <c r="G850" s="1"/>
      <c r="H850" s="1"/>
      <c r="I850" s="1"/>
      <c r="J850" s="1"/>
      <c r="K850" s="1"/>
      <c r="L850" s="1"/>
      <c r="M850" s="1"/>
      <c r="N850" s="1"/>
      <c r="O850" s="1"/>
      <c r="P850" s="82"/>
      <c r="Q850" s="1"/>
      <c r="R850" s="1"/>
      <c r="S850" s="83"/>
      <c r="T850" s="1"/>
      <c r="U850" s="1"/>
      <c r="V850" s="1"/>
      <c r="W850" s="1"/>
      <c r="X850" s="1"/>
      <c r="Y850" s="1"/>
    </row>
    <row r="851">
      <c r="A851" s="1"/>
      <c r="B851" s="83"/>
      <c r="C851" s="91"/>
      <c r="D851" s="1"/>
      <c r="E851" s="1"/>
      <c r="F851" s="1"/>
      <c r="G851" s="1"/>
      <c r="H851" s="1"/>
      <c r="I851" s="1"/>
      <c r="J851" s="1"/>
      <c r="K851" s="1"/>
      <c r="L851" s="1"/>
      <c r="M851" s="1"/>
      <c r="N851" s="1"/>
      <c r="O851" s="1"/>
      <c r="P851" s="82"/>
      <c r="Q851" s="1"/>
      <c r="R851" s="1"/>
      <c r="S851" s="83"/>
      <c r="T851" s="1"/>
      <c r="U851" s="1"/>
      <c r="V851" s="1"/>
      <c r="W851" s="1"/>
      <c r="X851" s="1"/>
      <c r="Y851" s="1"/>
    </row>
    <row r="852">
      <c r="A852" s="1"/>
      <c r="B852" s="83"/>
      <c r="C852" s="91"/>
      <c r="D852" s="1"/>
      <c r="E852" s="1"/>
      <c r="F852" s="1"/>
      <c r="G852" s="1"/>
      <c r="H852" s="1"/>
      <c r="I852" s="1"/>
      <c r="J852" s="1"/>
      <c r="K852" s="1"/>
      <c r="L852" s="1"/>
      <c r="M852" s="1"/>
      <c r="N852" s="1"/>
      <c r="O852" s="1"/>
      <c r="P852" s="82"/>
      <c r="Q852" s="1"/>
      <c r="R852" s="1"/>
      <c r="S852" s="83"/>
      <c r="T852" s="1"/>
      <c r="U852" s="1"/>
      <c r="V852" s="1"/>
      <c r="W852" s="1"/>
      <c r="X852" s="1"/>
      <c r="Y852" s="1"/>
    </row>
    <row r="853">
      <c r="A853" s="1"/>
      <c r="B853" s="83"/>
      <c r="C853" s="91"/>
      <c r="D853" s="1"/>
      <c r="E853" s="1"/>
      <c r="F853" s="1"/>
      <c r="G853" s="1"/>
      <c r="H853" s="1"/>
      <c r="I853" s="1"/>
      <c r="J853" s="1"/>
      <c r="K853" s="1"/>
      <c r="L853" s="1"/>
      <c r="M853" s="1"/>
      <c r="N853" s="1"/>
      <c r="O853" s="1"/>
      <c r="P853" s="82"/>
      <c r="Q853" s="1"/>
      <c r="R853" s="1"/>
      <c r="S853" s="83"/>
      <c r="T853" s="1"/>
      <c r="U853" s="1"/>
      <c r="V853" s="1"/>
      <c r="W853" s="1"/>
      <c r="X853" s="1"/>
      <c r="Y853" s="1"/>
    </row>
    <row r="854">
      <c r="A854" s="1"/>
      <c r="B854" s="83"/>
      <c r="C854" s="91"/>
      <c r="D854" s="1"/>
      <c r="E854" s="1"/>
      <c r="F854" s="1"/>
      <c r="G854" s="1"/>
      <c r="H854" s="1"/>
      <c r="I854" s="1"/>
      <c r="J854" s="1"/>
      <c r="K854" s="1"/>
      <c r="L854" s="1"/>
      <c r="M854" s="1"/>
      <c r="N854" s="1"/>
      <c r="O854" s="1"/>
      <c r="P854" s="82"/>
      <c r="Q854" s="1"/>
      <c r="R854" s="1"/>
      <c r="S854" s="83"/>
      <c r="T854" s="1"/>
      <c r="U854" s="1"/>
      <c r="V854" s="1"/>
      <c r="W854" s="1"/>
      <c r="X854" s="1"/>
      <c r="Y854" s="1"/>
    </row>
    <row r="855">
      <c r="A855" s="1"/>
      <c r="B855" s="83"/>
      <c r="C855" s="91"/>
      <c r="D855" s="1"/>
      <c r="E855" s="1"/>
      <c r="F855" s="1"/>
      <c r="G855" s="1"/>
      <c r="H855" s="1"/>
      <c r="I855" s="1"/>
      <c r="J855" s="1"/>
      <c r="K855" s="1"/>
      <c r="L855" s="1"/>
      <c r="M855" s="1"/>
      <c r="N855" s="1"/>
      <c r="O855" s="1"/>
      <c r="P855" s="82"/>
      <c r="Q855" s="1"/>
      <c r="R855" s="1"/>
      <c r="S855" s="83"/>
      <c r="T855" s="1"/>
      <c r="U855" s="1"/>
      <c r="V855" s="1"/>
      <c r="W855" s="1"/>
      <c r="X855" s="1"/>
      <c r="Y855" s="1"/>
    </row>
    <row r="856">
      <c r="A856" s="1"/>
      <c r="B856" s="83"/>
      <c r="C856" s="91"/>
      <c r="D856" s="1"/>
      <c r="E856" s="1"/>
      <c r="F856" s="1"/>
      <c r="G856" s="1"/>
      <c r="H856" s="1"/>
      <c r="I856" s="1"/>
      <c r="J856" s="1"/>
      <c r="K856" s="1"/>
      <c r="L856" s="1"/>
      <c r="M856" s="1"/>
      <c r="N856" s="1"/>
      <c r="O856" s="1"/>
      <c r="P856" s="82"/>
      <c r="Q856" s="1"/>
      <c r="R856" s="1"/>
      <c r="S856" s="83"/>
      <c r="T856" s="1"/>
      <c r="U856" s="1"/>
      <c r="V856" s="1"/>
      <c r="W856" s="1"/>
      <c r="X856" s="1"/>
      <c r="Y856" s="1"/>
    </row>
    <row r="857">
      <c r="A857" s="1"/>
      <c r="B857" s="83"/>
      <c r="C857" s="91"/>
      <c r="D857" s="1"/>
      <c r="E857" s="1"/>
      <c r="F857" s="1"/>
      <c r="G857" s="1"/>
      <c r="H857" s="1"/>
      <c r="I857" s="1"/>
      <c r="J857" s="1"/>
      <c r="K857" s="1"/>
      <c r="L857" s="1"/>
      <c r="M857" s="1"/>
      <c r="N857" s="1"/>
      <c r="O857" s="1"/>
      <c r="P857" s="82"/>
      <c r="Q857" s="1"/>
      <c r="R857" s="1"/>
      <c r="S857" s="83"/>
      <c r="T857" s="1"/>
      <c r="U857" s="1"/>
      <c r="V857" s="1"/>
      <c r="W857" s="1"/>
      <c r="X857" s="1"/>
      <c r="Y857" s="1"/>
    </row>
    <row r="858">
      <c r="A858" s="1"/>
      <c r="B858" s="83"/>
      <c r="C858" s="91"/>
      <c r="D858" s="1"/>
      <c r="E858" s="1"/>
      <c r="F858" s="1"/>
      <c r="G858" s="1"/>
      <c r="H858" s="1"/>
      <c r="I858" s="1"/>
      <c r="J858" s="1"/>
      <c r="K858" s="1"/>
      <c r="L858" s="1"/>
      <c r="M858" s="1"/>
      <c r="N858" s="1"/>
      <c r="O858" s="1"/>
      <c r="P858" s="82"/>
      <c r="Q858" s="1"/>
      <c r="R858" s="1"/>
      <c r="S858" s="83"/>
      <c r="T858" s="1"/>
      <c r="U858" s="1"/>
      <c r="V858" s="1"/>
      <c r="W858" s="1"/>
      <c r="X858" s="1"/>
      <c r="Y858" s="1"/>
    </row>
    <row r="859">
      <c r="A859" s="1"/>
      <c r="B859" s="83"/>
      <c r="C859" s="91"/>
      <c r="D859" s="1"/>
      <c r="E859" s="1"/>
      <c r="F859" s="1"/>
      <c r="G859" s="1"/>
      <c r="H859" s="1"/>
      <c r="I859" s="1"/>
      <c r="J859" s="1"/>
      <c r="K859" s="1"/>
      <c r="L859" s="1"/>
      <c r="M859" s="1"/>
      <c r="N859" s="1"/>
      <c r="O859" s="1"/>
      <c r="P859" s="82"/>
      <c r="Q859" s="1"/>
      <c r="R859" s="1"/>
      <c r="S859" s="83"/>
      <c r="T859" s="1"/>
      <c r="U859" s="1"/>
      <c r="V859" s="1"/>
      <c r="W859" s="1"/>
      <c r="X859" s="1"/>
      <c r="Y859" s="1"/>
    </row>
    <row r="860">
      <c r="A860" s="1"/>
      <c r="B860" s="83"/>
      <c r="C860" s="91"/>
      <c r="D860" s="1"/>
      <c r="E860" s="1"/>
      <c r="F860" s="1"/>
      <c r="G860" s="1"/>
      <c r="H860" s="1"/>
      <c r="I860" s="1"/>
      <c r="J860" s="1"/>
      <c r="K860" s="1"/>
      <c r="L860" s="1"/>
      <c r="M860" s="1"/>
      <c r="N860" s="1"/>
      <c r="O860" s="1"/>
      <c r="P860" s="82"/>
      <c r="Q860" s="1"/>
      <c r="R860" s="1"/>
      <c r="S860" s="83"/>
      <c r="T860" s="1"/>
      <c r="U860" s="1"/>
      <c r="V860" s="1"/>
      <c r="W860" s="1"/>
      <c r="X860" s="1"/>
      <c r="Y860" s="1"/>
    </row>
    <row r="861">
      <c r="A861" s="1"/>
      <c r="B861" s="83"/>
      <c r="C861" s="91"/>
      <c r="D861" s="1"/>
      <c r="E861" s="1"/>
      <c r="F861" s="1"/>
      <c r="G861" s="1"/>
      <c r="H861" s="1"/>
      <c r="I861" s="1"/>
      <c r="J861" s="1"/>
      <c r="K861" s="1"/>
      <c r="L861" s="1"/>
      <c r="M861" s="1"/>
      <c r="N861" s="1"/>
      <c r="O861" s="1"/>
      <c r="P861" s="82"/>
      <c r="Q861" s="1"/>
      <c r="R861" s="1"/>
      <c r="S861" s="83"/>
      <c r="T861" s="1"/>
      <c r="U861" s="1"/>
      <c r="V861" s="1"/>
      <c r="W861" s="1"/>
      <c r="X861" s="1"/>
      <c r="Y861" s="1"/>
    </row>
    <row r="862">
      <c r="A862" s="1"/>
      <c r="B862" s="83"/>
      <c r="C862" s="91"/>
      <c r="D862" s="1"/>
      <c r="E862" s="1"/>
      <c r="F862" s="1"/>
      <c r="G862" s="1"/>
      <c r="H862" s="1"/>
      <c r="I862" s="1"/>
      <c r="J862" s="1"/>
      <c r="K862" s="1"/>
      <c r="L862" s="1"/>
      <c r="M862" s="1"/>
      <c r="N862" s="1"/>
      <c r="O862" s="1"/>
      <c r="P862" s="82"/>
      <c r="Q862" s="1"/>
      <c r="R862" s="1"/>
      <c r="S862" s="83"/>
      <c r="T862" s="1"/>
      <c r="U862" s="1"/>
      <c r="V862" s="1"/>
      <c r="W862" s="1"/>
      <c r="X862" s="1"/>
      <c r="Y862" s="1"/>
    </row>
    <row r="863">
      <c r="A863" s="1"/>
      <c r="B863" s="83"/>
      <c r="C863" s="91"/>
      <c r="D863" s="1"/>
      <c r="E863" s="1"/>
      <c r="F863" s="1"/>
      <c r="G863" s="1"/>
      <c r="H863" s="1"/>
      <c r="I863" s="1"/>
      <c r="J863" s="1"/>
      <c r="K863" s="1"/>
      <c r="L863" s="1"/>
      <c r="M863" s="1"/>
      <c r="N863" s="1"/>
      <c r="O863" s="1"/>
      <c r="P863" s="82"/>
      <c r="Q863" s="1"/>
      <c r="R863" s="1"/>
      <c r="S863" s="83"/>
      <c r="T863" s="1"/>
      <c r="U863" s="1"/>
      <c r="V863" s="1"/>
      <c r="W863" s="1"/>
      <c r="X863" s="1"/>
      <c r="Y863" s="1"/>
    </row>
    <row r="864">
      <c r="A864" s="1"/>
      <c r="B864" s="83"/>
      <c r="C864" s="91"/>
      <c r="D864" s="1"/>
      <c r="E864" s="1"/>
      <c r="F864" s="1"/>
      <c r="G864" s="1"/>
      <c r="H864" s="1"/>
      <c r="I864" s="1"/>
      <c r="J864" s="1"/>
      <c r="K864" s="1"/>
      <c r="L864" s="1"/>
      <c r="M864" s="1"/>
      <c r="N864" s="1"/>
      <c r="O864" s="1"/>
      <c r="P864" s="82"/>
      <c r="Q864" s="1"/>
      <c r="R864" s="1"/>
      <c r="S864" s="83"/>
      <c r="T864" s="1"/>
      <c r="U864" s="1"/>
      <c r="V864" s="1"/>
      <c r="W864" s="1"/>
      <c r="X864" s="1"/>
      <c r="Y864" s="1"/>
    </row>
    <row r="865">
      <c r="A865" s="1"/>
      <c r="B865" s="83"/>
      <c r="C865" s="91"/>
      <c r="D865" s="1"/>
      <c r="E865" s="1"/>
      <c r="F865" s="1"/>
      <c r="G865" s="1"/>
      <c r="H865" s="1"/>
      <c r="I865" s="1"/>
      <c r="J865" s="1"/>
      <c r="K865" s="1"/>
      <c r="L865" s="1"/>
      <c r="M865" s="1"/>
      <c r="N865" s="1"/>
      <c r="O865" s="1"/>
      <c r="P865" s="82"/>
      <c r="Q865" s="1"/>
      <c r="R865" s="1"/>
      <c r="S865" s="83"/>
      <c r="T865" s="1"/>
      <c r="U865" s="1"/>
      <c r="V865" s="1"/>
      <c r="W865" s="1"/>
      <c r="X865" s="1"/>
      <c r="Y865" s="1"/>
    </row>
    <row r="866">
      <c r="A866" s="1"/>
      <c r="B866" s="83"/>
      <c r="C866" s="91"/>
      <c r="D866" s="1"/>
      <c r="E866" s="1"/>
      <c r="F866" s="1"/>
      <c r="G866" s="1"/>
      <c r="H866" s="1"/>
      <c r="I866" s="1"/>
      <c r="J866" s="1"/>
      <c r="K866" s="1"/>
      <c r="L866" s="1"/>
      <c r="M866" s="1"/>
      <c r="N866" s="1"/>
      <c r="O866" s="1"/>
      <c r="P866" s="82"/>
      <c r="Q866" s="1"/>
      <c r="R866" s="1"/>
      <c r="S866" s="83"/>
      <c r="T866" s="1"/>
      <c r="U866" s="1"/>
      <c r="V866" s="1"/>
      <c r="W866" s="1"/>
      <c r="X866" s="1"/>
      <c r="Y866" s="1"/>
    </row>
    <row r="867">
      <c r="A867" s="1"/>
      <c r="B867" s="83"/>
      <c r="C867" s="91"/>
      <c r="D867" s="1"/>
      <c r="E867" s="1"/>
      <c r="F867" s="1"/>
      <c r="G867" s="1"/>
      <c r="H867" s="1"/>
      <c r="I867" s="1"/>
      <c r="J867" s="1"/>
      <c r="K867" s="1"/>
      <c r="L867" s="1"/>
      <c r="M867" s="1"/>
      <c r="N867" s="1"/>
      <c r="O867" s="1"/>
      <c r="P867" s="82"/>
      <c r="Q867" s="1"/>
      <c r="R867" s="1"/>
      <c r="S867" s="83"/>
      <c r="T867" s="1"/>
      <c r="U867" s="1"/>
      <c r="V867" s="1"/>
      <c r="W867" s="1"/>
      <c r="X867" s="1"/>
      <c r="Y867" s="1"/>
    </row>
    <row r="868">
      <c r="A868" s="1"/>
      <c r="B868" s="83"/>
      <c r="C868" s="91"/>
      <c r="D868" s="1"/>
      <c r="E868" s="1"/>
      <c r="F868" s="1"/>
      <c r="G868" s="1"/>
      <c r="H868" s="1"/>
      <c r="I868" s="1"/>
      <c r="J868" s="1"/>
      <c r="K868" s="1"/>
      <c r="L868" s="1"/>
      <c r="M868" s="1"/>
      <c r="N868" s="1"/>
      <c r="O868" s="1"/>
      <c r="P868" s="82"/>
      <c r="Q868" s="1"/>
      <c r="R868" s="1"/>
      <c r="S868" s="83"/>
      <c r="T868" s="1"/>
      <c r="U868" s="1"/>
      <c r="V868" s="1"/>
      <c r="W868" s="1"/>
      <c r="X868" s="1"/>
      <c r="Y868" s="1"/>
    </row>
    <row r="869">
      <c r="A869" s="1"/>
      <c r="B869" s="83"/>
      <c r="C869" s="91"/>
      <c r="D869" s="1"/>
      <c r="E869" s="1"/>
      <c r="F869" s="1"/>
      <c r="G869" s="1"/>
      <c r="H869" s="1"/>
      <c r="I869" s="1"/>
      <c r="J869" s="1"/>
      <c r="K869" s="1"/>
      <c r="L869" s="1"/>
      <c r="M869" s="1"/>
      <c r="N869" s="1"/>
      <c r="O869" s="1"/>
      <c r="P869" s="82"/>
      <c r="Q869" s="1"/>
      <c r="R869" s="1"/>
      <c r="S869" s="83"/>
      <c r="T869" s="1"/>
      <c r="U869" s="1"/>
      <c r="V869" s="1"/>
      <c r="W869" s="1"/>
      <c r="X869" s="1"/>
      <c r="Y869" s="1"/>
    </row>
    <row r="870">
      <c r="A870" s="1"/>
      <c r="B870" s="83"/>
      <c r="C870" s="91"/>
      <c r="D870" s="1"/>
      <c r="E870" s="1"/>
      <c r="F870" s="1"/>
      <c r="G870" s="1"/>
      <c r="H870" s="1"/>
      <c r="I870" s="1"/>
      <c r="J870" s="1"/>
      <c r="K870" s="1"/>
      <c r="L870" s="1"/>
      <c r="M870" s="1"/>
      <c r="N870" s="1"/>
      <c r="O870" s="1"/>
      <c r="P870" s="82"/>
      <c r="Q870" s="1"/>
      <c r="R870" s="1"/>
      <c r="S870" s="83"/>
      <c r="T870" s="1"/>
      <c r="U870" s="1"/>
      <c r="V870" s="1"/>
      <c r="W870" s="1"/>
      <c r="X870" s="1"/>
      <c r="Y870" s="1"/>
    </row>
    <row r="871">
      <c r="A871" s="1"/>
      <c r="B871" s="83"/>
      <c r="C871" s="91"/>
      <c r="D871" s="1"/>
      <c r="E871" s="1"/>
      <c r="F871" s="1"/>
      <c r="G871" s="1"/>
      <c r="H871" s="1"/>
      <c r="I871" s="1"/>
      <c r="J871" s="1"/>
      <c r="K871" s="1"/>
      <c r="L871" s="1"/>
      <c r="M871" s="1"/>
      <c r="N871" s="1"/>
      <c r="O871" s="1"/>
      <c r="P871" s="82"/>
      <c r="Q871" s="1"/>
      <c r="R871" s="1"/>
      <c r="S871" s="83"/>
      <c r="T871" s="1"/>
      <c r="U871" s="1"/>
      <c r="V871" s="1"/>
      <c r="W871" s="1"/>
      <c r="X871" s="1"/>
      <c r="Y871" s="1"/>
    </row>
    <row r="872">
      <c r="A872" s="1"/>
      <c r="B872" s="83"/>
      <c r="C872" s="91"/>
      <c r="D872" s="1"/>
      <c r="E872" s="1"/>
      <c r="F872" s="1"/>
      <c r="G872" s="1"/>
      <c r="H872" s="1"/>
      <c r="I872" s="1"/>
      <c r="J872" s="1"/>
      <c r="K872" s="1"/>
      <c r="L872" s="1"/>
      <c r="M872" s="1"/>
      <c r="N872" s="1"/>
      <c r="O872" s="1"/>
      <c r="P872" s="82"/>
      <c r="Q872" s="1"/>
      <c r="R872" s="1"/>
      <c r="S872" s="83"/>
      <c r="T872" s="1"/>
      <c r="U872" s="1"/>
      <c r="V872" s="1"/>
      <c r="W872" s="1"/>
      <c r="X872" s="1"/>
      <c r="Y872" s="1"/>
    </row>
    <row r="873">
      <c r="A873" s="1"/>
      <c r="B873" s="83"/>
      <c r="C873" s="91"/>
      <c r="D873" s="1"/>
      <c r="E873" s="1"/>
      <c r="F873" s="1"/>
      <c r="G873" s="1"/>
      <c r="H873" s="1"/>
      <c r="I873" s="1"/>
      <c r="J873" s="1"/>
      <c r="K873" s="1"/>
      <c r="L873" s="1"/>
      <c r="M873" s="1"/>
      <c r="N873" s="1"/>
      <c r="O873" s="1"/>
      <c r="P873" s="82"/>
      <c r="Q873" s="1"/>
      <c r="R873" s="1"/>
      <c r="S873" s="83"/>
      <c r="T873" s="1"/>
      <c r="U873" s="1"/>
      <c r="V873" s="1"/>
      <c r="W873" s="1"/>
      <c r="X873" s="1"/>
      <c r="Y873" s="1"/>
    </row>
    <row r="874">
      <c r="A874" s="1"/>
      <c r="B874" s="83"/>
      <c r="C874" s="91"/>
      <c r="D874" s="1"/>
      <c r="E874" s="1"/>
      <c r="F874" s="1"/>
      <c r="G874" s="1"/>
      <c r="H874" s="1"/>
      <c r="I874" s="1"/>
      <c r="J874" s="1"/>
      <c r="K874" s="1"/>
      <c r="L874" s="1"/>
      <c r="M874" s="1"/>
      <c r="N874" s="1"/>
      <c r="O874" s="1"/>
      <c r="P874" s="82"/>
      <c r="Q874" s="1"/>
      <c r="R874" s="1"/>
      <c r="S874" s="83"/>
      <c r="T874" s="1"/>
      <c r="U874" s="1"/>
      <c r="V874" s="1"/>
      <c r="W874" s="1"/>
      <c r="X874" s="1"/>
      <c r="Y874" s="1"/>
    </row>
    <row r="875">
      <c r="A875" s="1"/>
      <c r="B875" s="83"/>
      <c r="C875" s="91"/>
      <c r="D875" s="1"/>
      <c r="E875" s="1"/>
      <c r="F875" s="1"/>
      <c r="G875" s="1"/>
      <c r="H875" s="1"/>
      <c r="I875" s="1"/>
      <c r="J875" s="1"/>
      <c r="K875" s="1"/>
      <c r="L875" s="1"/>
      <c r="M875" s="1"/>
      <c r="N875" s="1"/>
      <c r="O875" s="1"/>
      <c r="P875" s="82"/>
      <c r="Q875" s="1"/>
      <c r="R875" s="1"/>
      <c r="S875" s="83"/>
      <c r="T875" s="1"/>
      <c r="U875" s="1"/>
      <c r="V875" s="1"/>
      <c r="W875" s="1"/>
      <c r="X875" s="1"/>
      <c r="Y875" s="1"/>
    </row>
    <row r="876">
      <c r="A876" s="1"/>
      <c r="B876" s="83"/>
      <c r="C876" s="91"/>
      <c r="D876" s="1"/>
      <c r="E876" s="1"/>
      <c r="F876" s="1"/>
      <c r="G876" s="1"/>
      <c r="H876" s="1"/>
      <c r="I876" s="1"/>
      <c r="J876" s="1"/>
      <c r="K876" s="1"/>
      <c r="L876" s="1"/>
      <c r="M876" s="1"/>
      <c r="N876" s="1"/>
      <c r="O876" s="1"/>
      <c r="P876" s="82"/>
      <c r="Q876" s="1"/>
      <c r="R876" s="1"/>
      <c r="S876" s="83"/>
      <c r="T876" s="1"/>
      <c r="U876" s="1"/>
      <c r="V876" s="1"/>
      <c r="W876" s="1"/>
      <c r="X876" s="1"/>
      <c r="Y876" s="1"/>
    </row>
    <row r="877">
      <c r="A877" s="1"/>
      <c r="B877" s="83"/>
      <c r="C877" s="91"/>
      <c r="D877" s="1"/>
      <c r="E877" s="1"/>
      <c r="F877" s="1"/>
      <c r="G877" s="1"/>
      <c r="H877" s="1"/>
      <c r="I877" s="1"/>
      <c r="J877" s="1"/>
      <c r="K877" s="1"/>
      <c r="L877" s="1"/>
      <c r="M877" s="1"/>
      <c r="N877" s="1"/>
      <c r="O877" s="1"/>
      <c r="P877" s="82"/>
      <c r="Q877" s="1"/>
      <c r="R877" s="1"/>
      <c r="S877" s="83"/>
      <c r="T877" s="1"/>
      <c r="U877" s="1"/>
      <c r="V877" s="1"/>
      <c r="W877" s="1"/>
      <c r="X877" s="1"/>
      <c r="Y877" s="1"/>
    </row>
    <row r="878">
      <c r="A878" s="1"/>
      <c r="B878" s="83"/>
      <c r="C878" s="91"/>
      <c r="D878" s="1"/>
      <c r="E878" s="1"/>
      <c r="F878" s="1"/>
      <c r="G878" s="1"/>
      <c r="H878" s="1"/>
      <c r="I878" s="1"/>
      <c r="J878" s="1"/>
      <c r="K878" s="1"/>
      <c r="L878" s="1"/>
      <c r="M878" s="1"/>
      <c r="N878" s="1"/>
      <c r="O878" s="1"/>
      <c r="P878" s="82"/>
      <c r="Q878" s="1"/>
      <c r="R878" s="1"/>
      <c r="S878" s="83"/>
      <c r="T878" s="1"/>
      <c r="U878" s="1"/>
      <c r="V878" s="1"/>
      <c r="W878" s="1"/>
      <c r="X878" s="1"/>
      <c r="Y878" s="1"/>
    </row>
    <row r="879">
      <c r="A879" s="1"/>
      <c r="B879" s="83"/>
      <c r="C879" s="91"/>
      <c r="D879" s="1"/>
      <c r="E879" s="1"/>
      <c r="F879" s="1"/>
      <c r="G879" s="1"/>
      <c r="H879" s="1"/>
      <c r="I879" s="1"/>
      <c r="J879" s="1"/>
      <c r="K879" s="1"/>
      <c r="L879" s="1"/>
      <c r="M879" s="1"/>
      <c r="N879" s="1"/>
      <c r="O879" s="1"/>
      <c r="P879" s="82"/>
      <c r="Q879" s="1"/>
      <c r="R879" s="1"/>
      <c r="S879" s="83"/>
      <c r="T879" s="1"/>
      <c r="U879" s="1"/>
      <c r="V879" s="1"/>
      <c r="W879" s="1"/>
      <c r="X879" s="1"/>
      <c r="Y879" s="1"/>
    </row>
    <row r="880">
      <c r="A880" s="1"/>
      <c r="B880" s="83"/>
      <c r="C880" s="91"/>
      <c r="D880" s="1"/>
      <c r="E880" s="1"/>
      <c r="F880" s="1"/>
      <c r="G880" s="1"/>
      <c r="H880" s="1"/>
      <c r="I880" s="1"/>
      <c r="J880" s="1"/>
      <c r="K880" s="1"/>
      <c r="L880" s="1"/>
      <c r="M880" s="1"/>
      <c r="N880" s="1"/>
      <c r="O880" s="1"/>
      <c r="P880" s="82"/>
      <c r="Q880" s="1"/>
      <c r="R880" s="1"/>
      <c r="S880" s="83"/>
      <c r="T880" s="1"/>
      <c r="U880" s="1"/>
      <c r="V880" s="1"/>
      <c r="W880" s="1"/>
      <c r="X880" s="1"/>
      <c r="Y880" s="1"/>
    </row>
    <row r="881">
      <c r="A881" s="1"/>
      <c r="B881" s="83"/>
      <c r="C881" s="91"/>
      <c r="D881" s="1"/>
      <c r="E881" s="1"/>
      <c r="F881" s="1"/>
      <c r="G881" s="1"/>
      <c r="H881" s="1"/>
      <c r="I881" s="1"/>
      <c r="J881" s="1"/>
      <c r="K881" s="1"/>
      <c r="L881" s="1"/>
      <c r="M881" s="1"/>
      <c r="N881" s="1"/>
      <c r="O881" s="1"/>
      <c r="P881" s="82"/>
      <c r="Q881" s="1"/>
      <c r="R881" s="1"/>
      <c r="S881" s="83"/>
      <c r="T881" s="1"/>
      <c r="U881" s="1"/>
      <c r="V881" s="1"/>
      <c r="W881" s="1"/>
      <c r="X881" s="1"/>
      <c r="Y881" s="1"/>
    </row>
    <row r="882">
      <c r="A882" s="1"/>
      <c r="B882" s="83"/>
      <c r="C882" s="91"/>
      <c r="D882" s="1"/>
      <c r="E882" s="1"/>
      <c r="F882" s="1"/>
      <c r="G882" s="1"/>
      <c r="H882" s="1"/>
      <c r="I882" s="1"/>
      <c r="J882" s="1"/>
      <c r="K882" s="1"/>
      <c r="L882" s="1"/>
      <c r="M882" s="1"/>
      <c r="N882" s="1"/>
      <c r="O882" s="1"/>
      <c r="P882" s="82"/>
      <c r="Q882" s="1"/>
      <c r="R882" s="1"/>
      <c r="S882" s="83"/>
      <c r="T882" s="1"/>
      <c r="U882" s="1"/>
      <c r="V882" s="1"/>
      <c r="W882" s="1"/>
      <c r="X882" s="1"/>
      <c r="Y882" s="1"/>
    </row>
    <row r="883">
      <c r="A883" s="1"/>
      <c r="B883" s="83"/>
      <c r="C883" s="91"/>
      <c r="D883" s="1"/>
      <c r="E883" s="1"/>
      <c r="F883" s="1"/>
      <c r="G883" s="1"/>
      <c r="H883" s="1"/>
      <c r="I883" s="1"/>
      <c r="J883" s="1"/>
      <c r="K883" s="1"/>
      <c r="L883" s="1"/>
      <c r="M883" s="1"/>
      <c r="N883" s="1"/>
      <c r="O883" s="1"/>
      <c r="P883" s="82"/>
      <c r="Q883" s="1"/>
      <c r="R883" s="1"/>
      <c r="S883" s="83"/>
      <c r="T883" s="1"/>
      <c r="U883" s="1"/>
      <c r="V883" s="1"/>
      <c r="W883" s="1"/>
      <c r="X883" s="1"/>
      <c r="Y883" s="1"/>
    </row>
    <row r="884">
      <c r="A884" s="1"/>
      <c r="B884" s="83"/>
      <c r="C884" s="91"/>
      <c r="D884" s="1"/>
      <c r="E884" s="1"/>
      <c r="F884" s="1"/>
      <c r="G884" s="1"/>
      <c r="H884" s="1"/>
      <c r="I884" s="1"/>
      <c r="J884" s="1"/>
      <c r="K884" s="1"/>
      <c r="L884" s="1"/>
      <c r="M884" s="1"/>
      <c r="N884" s="1"/>
      <c r="O884" s="1"/>
      <c r="P884" s="82"/>
      <c r="Q884" s="1"/>
      <c r="R884" s="1"/>
      <c r="S884" s="83"/>
      <c r="T884" s="1"/>
      <c r="U884" s="1"/>
      <c r="V884" s="1"/>
      <c r="W884" s="1"/>
      <c r="X884" s="1"/>
      <c r="Y884" s="1"/>
    </row>
    <row r="885">
      <c r="A885" s="1"/>
      <c r="B885" s="83"/>
      <c r="C885" s="91"/>
      <c r="D885" s="1"/>
      <c r="E885" s="1"/>
      <c r="F885" s="1"/>
      <c r="G885" s="1"/>
      <c r="H885" s="1"/>
      <c r="I885" s="1"/>
      <c r="J885" s="1"/>
      <c r="K885" s="1"/>
      <c r="L885" s="1"/>
      <c r="M885" s="1"/>
      <c r="N885" s="1"/>
      <c r="O885" s="1"/>
      <c r="P885" s="82"/>
      <c r="Q885" s="1"/>
      <c r="R885" s="1"/>
      <c r="S885" s="83"/>
      <c r="T885" s="1"/>
      <c r="U885" s="1"/>
      <c r="V885" s="1"/>
      <c r="W885" s="1"/>
      <c r="X885" s="1"/>
      <c r="Y885" s="1"/>
    </row>
    <row r="886">
      <c r="A886" s="1"/>
      <c r="B886" s="83"/>
      <c r="C886" s="91"/>
      <c r="D886" s="1"/>
      <c r="E886" s="1"/>
      <c r="F886" s="1"/>
      <c r="G886" s="1"/>
      <c r="H886" s="1"/>
      <c r="I886" s="1"/>
      <c r="J886" s="1"/>
      <c r="K886" s="1"/>
      <c r="L886" s="1"/>
      <c r="M886" s="1"/>
      <c r="N886" s="1"/>
      <c r="O886" s="1"/>
      <c r="P886" s="82"/>
      <c r="Q886" s="1"/>
      <c r="R886" s="1"/>
      <c r="S886" s="83"/>
      <c r="T886" s="1"/>
      <c r="U886" s="1"/>
      <c r="V886" s="1"/>
      <c r="W886" s="1"/>
      <c r="X886" s="1"/>
      <c r="Y886" s="1"/>
    </row>
    <row r="887">
      <c r="A887" s="1"/>
      <c r="B887" s="83"/>
      <c r="C887" s="91"/>
      <c r="D887" s="1"/>
      <c r="E887" s="1"/>
      <c r="F887" s="1"/>
      <c r="G887" s="1"/>
      <c r="H887" s="1"/>
      <c r="I887" s="1"/>
      <c r="J887" s="1"/>
      <c r="K887" s="1"/>
      <c r="L887" s="1"/>
      <c r="M887" s="1"/>
      <c r="N887" s="1"/>
      <c r="O887" s="1"/>
      <c r="P887" s="82"/>
      <c r="Q887" s="1"/>
      <c r="R887" s="1"/>
      <c r="S887" s="83"/>
      <c r="T887" s="1"/>
      <c r="U887" s="1"/>
      <c r="V887" s="1"/>
      <c r="W887" s="1"/>
      <c r="X887" s="1"/>
      <c r="Y887" s="1"/>
    </row>
    <row r="888">
      <c r="A888" s="1"/>
      <c r="B888" s="83"/>
      <c r="C888" s="91"/>
      <c r="D888" s="1"/>
      <c r="E888" s="1"/>
      <c r="F888" s="1"/>
      <c r="G888" s="1"/>
      <c r="H888" s="1"/>
      <c r="I888" s="1"/>
      <c r="J888" s="1"/>
      <c r="K888" s="1"/>
      <c r="L888" s="1"/>
      <c r="M888" s="1"/>
      <c r="N888" s="1"/>
      <c r="O888" s="1"/>
      <c r="P888" s="82"/>
      <c r="Q888" s="1"/>
      <c r="R888" s="1"/>
      <c r="S888" s="83"/>
      <c r="T888" s="1"/>
      <c r="U888" s="1"/>
      <c r="V888" s="1"/>
      <c r="W888" s="1"/>
      <c r="X888" s="1"/>
      <c r="Y888" s="1"/>
    </row>
    <row r="889">
      <c r="A889" s="1"/>
      <c r="B889" s="83"/>
      <c r="C889" s="91"/>
      <c r="D889" s="1"/>
      <c r="E889" s="1"/>
      <c r="F889" s="1"/>
      <c r="G889" s="1"/>
      <c r="H889" s="1"/>
      <c r="I889" s="1"/>
      <c r="J889" s="1"/>
      <c r="K889" s="1"/>
      <c r="L889" s="1"/>
      <c r="M889" s="1"/>
      <c r="N889" s="1"/>
      <c r="O889" s="1"/>
      <c r="P889" s="82"/>
      <c r="Q889" s="1"/>
      <c r="R889" s="1"/>
      <c r="S889" s="83"/>
      <c r="T889" s="1"/>
      <c r="U889" s="1"/>
      <c r="V889" s="1"/>
      <c r="W889" s="1"/>
      <c r="X889" s="1"/>
      <c r="Y889" s="1"/>
    </row>
    <row r="890">
      <c r="A890" s="1"/>
      <c r="B890" s="83"/>
      <c r="C890" s="91"/>
      <c r="D890" s="1"/>
      <c r="E890" s="1"/>
      <c r="F890" s="1"/>
      <c r="G890" s="1"/>
      <c r="H890" s="1"/>
      <c r="I890" s="1"/>
      <c r="J890" s="1"/>
      <c r="K890" s="1"/>
      <c r="L890" s="1"/>
      <c r="M890" s="1"/>
      <c r="N890" s="1"/>
      <c r="O890" s="1"/>
      <c r="P890" s="82"/>
      <c r="Q890" s="1"/>
      <c r="R890" s="1"/>
      <c r="S890" s="83"/>
      <c r="T890" s="1"/>
      <c r="U890" s="1"/>
      <c r="V890" s="1"/>
      <c r="W890" s="1"/>
      <c r="X890" s="1"/>
      <c r="Y890" s="1"/>
    </row>
    <row r="891">
      <c r="A891" s="1"/>
      <c r="B891" s="83"/>
      <c r="C891" s="91"/>
      <c r="D891" s="1"/>
      <c r="E891" s="1"/>
      <c r="F891" s="1"/>
      <c r="G891" s="1"/>
      <c r="H891" s="1"/>
      <c r="I891" s="1"/>
      <c r="J891" s="1"/>
      <c r="K891" s="1"/>
      <c r="L891" s="1"/>
      <c r="M891" s="1"/>
      <c r="N891" s="1"/>
      <c r="O891" s="1"/>
      <c r="P891" s="82"/>
      <c r="Q891" s="1"/>
      <c r="R891" s="1"/>
      <c r="S891" s="83"/>
      <c r="T891" s="1"/>
      <c r="U891" s="1"/>
      <c r="V891" s="1"/>
      <c r="W891" s="1"/>
      <c r="X891" s="1"/>
      <c r="Y891" s="1"/>
    </row>
    <row r="892">
      <c r="A892" s="1"/>
      <c r="B892" s="83"/>
      <c r="C892" s="91"/>
      <c r="D892" s="1"/>
      <c r="E892" s="1"/>
      <c r="F892" s="1"/>
      <c r="G892" s="1"/>
      <c r="H892" s="1"/>
      <c r="I892" s="1"/>
      <c r="J892" s="1"/>
      <c r="K892" s="1"/>
      <c r="L892" s="1"/>
      <c r="M892" s="1"/>
      <c r="N892" s="1"/>
      <c r="O892" s="1"/>
      <c r="P892" s="82"/>
      <c r="Q892" s="1"/>
      <c r="R892" s="1"/>
      <c r="S892" s="83"/>
      <c r="T892" s="1"/>
      <c r="U892" s="1"/>
      <c r="V892" s="1"/>
      <c r="W892" s="1"/>
      <c r="X892" s="1"/>
      <c r="Y892" s="1"/>
    </row>
    <row r="893">
      <c r="A893" s="1"/>
      <c r="B893" s="83"/>
      <c r="C893" s="91"/>
      <c r="D893" s="1"/>
      <c r="E893" s="1"/>
      <c r="F893" s="1"/>
      <c r="G893" s="1"/>
      <c r="H893" s="1"/>
      <c r="I893" s="1"/>
      <c r="J893" s="1"/>
      <c r="K893" s="1"/>
      <c r="L893" s="1"/>
      <c r="M893" s="1"/>
      <c r="N893" s="1"/>
      <c r="O893" s="1"/>
      <c r="P893" s="82"/>
      <c r="Q893" s="1"/>
      <c r="R893" s="1"/>
      <c r="S893" s="83"/>
      <c r="T893" s="1"/>
      <c r="U893" s="1"/>
      <c r="V893" s="1"/>
      <c r="W893" s="1"/>
      <c r="X893" s="1"/>
      <c r="Y893" s="1"/>
    </row>
    <row r="894">
      <c r="A894" s="1"/>
      <c r="B894" s="83"/>
      <c r="C894" s="91"/>
      <c r="D894" s="1"/>
      <c r="E894" s="1"/>
      <c r="F894" s="1"/>
      <c r="G894" s="1"/>
      <c r="H894" s="1"/>
      <c r="I894" s="1"/>
      <c r="J894" s="1"/>
      <c r="K894" s="1"/>
      <c r="L894" s="1"/>
      <c r="M894" s="1"/>
      <c r="N894" s="1"/>
      <c r="O894" s="1"/>
      <c r="P894" s="82"/>
      <c r="Q894" s="1"/>
      <c r="R894" s="1"/>
      <c r="S894" s="83"/>
      <c r="T894" s="1"/>
      <c r="U894" s="1"/>
      <c r="V894" s="1"/>
      <c r="W894" s="1"/>
      <c r="X894" s="1"/>
      <c r="Y894" s="1"/>
    </row>
    <row r="895">
      <c r="A895" s="1"/>
      <c r="B895" s="83"/>
      <c r="C895" s="91"/>
      <c r="D895" s="1"/>
      <c r="E895" s="1"/>
      <c r="F895" s="1"/>
      <c r="G895" s="1"/>
      <c r="H895" s="1"/>
      <c r="I895" s="1"/>
      <c r="J895" s="1"/>
      <c r="K895" s="1"/>
      <c r="L895" s="1"/>
      <c r="M895" s="1"/>
      <c r="N895" s="1"/>
      <c r="O895" s="1"/>
      <c r="P895" s="82"/>
      <c r="Q895" s="1"/>
      <c r="R895" s="1"/>
      <c r="S895" s="83"/>
      <c r="T895" s="1"/>
      <c r="U895" s="1"/>
      <c r="V895" s="1"/>
      <c r="W895" s="1"/>
      <c r="X895" s="1"/>
      <c r="Y895" s="1"/>
    </row>
    <row r="896">
      <c r="A896" s="1"/>
      <c r="B896" s="83"/>
      <c r="C896" s="91"/>
      <c r="D896" s="1"/>
      <c r="E896" s="1"/>
      <c r="F896" s="1"/>
      <c r="G896" s="1"/>
      <c r="H896" s="1"/>
      <c r="I896" s="1"/>
      <c r="J896" s="1"/>
      <c r="K896" s="1"/>
      <c r="L896" s="1"/>
      <c r="M896" s="1"/>
      <c r="N896" s="1"/>
      <c r="O896" s="1"/>
      <c r="P896" s="82"/>
      <c r="Q896" s="1"/>
      <c r="R896" s="1"/>
      <c r="S896" s="83"/>
      <c r="T896" s="1"/>
      <c r="U896" s="1"/>
      <c r="V896" s="1"/>
      <c r="W896" s="1"/>
      <c r="X896" s="1"/>
      <c r="Y896" s="1"/>
    </row>
    <row r="897">
      <c r="A897" s="1"/>
      <c r="B897" s="83"/>
      <c r="C897" s="91"/>
      <c r="D897" s="1"/>
      <c r="E897" s="1"/>
      <c r="F897" s="1"/>
      <c r="G897" s="1"/>
      <c r="H897" s="1"/>
      <c r="I897" s="1"/>
      <c r="J897" s="1"/>
      <c r="K897" s="1"/>
      <c r="L897" s="1"/>
      <c r="M897" s="1"/>
      <c r="N897" s="1"/>
      <c r="O897" s="1"/>
      <c r="P897" s="82"/>
      <c r="Q897" s="1"/>
      <c r="R897" s="1"/>
      <c r="S897" s="83"/>
      <c r="T897" s="1"/>
      <c r="U897" s="1"/>
      <c r="V897" s="1"/>
      <c r="W897" s="1"/>
      <c r="X897" s="1"/>
      <c r="Y897" s="1"/>
    </row>
    <row r="898">
      <c r="A898" s="1"/>
      <c r="B898" s="83"/>
      <c r="C898" s="91"/>
      <c r="D898" s="1"/>
      <c r="E898" s="1"/>
      <c r="F898" s="1"/>
      <c r="G898" s="1"/>
      <c r="H898" s="1"/>
      <c r="I898" s="1"/>
      <c r="J898" s="1"/>
      <c r="K898" s="1"/>
      <c r="L898" s="1"/>
      <c r="M898" s="1"/>
      <c r="N898" s="1"/>
      <c r="O898" s="1"/>
      <c r="P898" s="82"/>
      <c r="Q898" s="1"/>
      <c r="R898" s="1"/>
      <c r="S898" s="83"/>
      <c r="T898" s="1"/>
      <c r="U898" s="1"/>
      <c r="V898" s="1"/>
      <c r="W898" s="1"/>
      <c r="X898" s="1"/>
      <c r="Y898" s="1"/>
    </row>
    <row r="899">
      <c r="A899" s="1"/>
      <c r="B899" s="83"/>
      <c r="C899" s="91"/>
      <c r="D899" s="1"/>
      <c r="E899" s="1"/>
      <c r="F899" s="1"/>
      <c r="G899" s="1"/>
      <c r="H899" s="1"/>
      <c r="I899" s="1"/>
      <c r="J899" s="1"/>
      <c r="K899" s="1"/>
      <c r="L899" s="1"/>
      <c r="M899" s="1"/>
      <c r="N899" s="1"/>
      <c r="O899" s="1"/>
      <c r="P899" s="82"/>
      <c r="Q899" s="1"/>
      <c r="R899" s="1"/>
      <c r="S899" s="83"/>
      <c r="T899" s="1"/>
      <c r="U899" s="1"/>
      <c r="V899" s="1"/>
      <c r="W899" s="1"/>
      <c r="X899" s="1"/>
      <c r="Y899" s="1"/>
    </row>
    <row r="900">
      <c r="A900" s="1"/>
      <c r="B900" s="83"/>
      <c r="C900" s="91"/>
      <c r="D900" s="1"/>
      <c r="E900" s="1"/>
      <c r="F900" s="1"/>
      <c r="G900" s="1"/>
      <c r="H900" s="1"/>
      <c r="I900" s="1"/>
      <c r="J900" s="1"/>
      <c r="K900" s="1"/>
      <c r="L900" s="1"/>
      <c r="M900" s="1"/>
      <c r="N900" s="1"/>
      <c r="O900" s="1"/>
      <c r="P900" s="82"/>
      <c r="Q900" s="1"/>
      <c r="R900" s="1"/>
      <c r="S900" s="83"/>
      <c r="T900" s="1"/>
      <c r="U900" s="1"/>
      <c r="V900" s="1"/>
      <c r="W900" s="1"/>
      <c r="X900" s="1"/>
      <c r="Y900" s="1"/>
    </row>
    <row r="901">
      <c r="A901" s="1"/>
      <c r="B901" s="83"/>
      <c r="C901" s="91"/>
      <c r="D901" s="1"/>
      <c r="E901" s="1"/>
      <c r="F901" s="1"/>
      <c r="G901" s="1"/>
      <c r="H901" s="1"/>
      <c r="I901" s="1"/>
      <c r="J901" s="1"/>
      <c r="K901" s="1"/>
      <c r="L901" s="1"/>
      <c r="M901" s="1"/>
      <c r="N901" s="1"/>
      <c r="O901" s="1"/>
      <c r="P901" s="82"/>
      <c r="Q901" s="1"/>
      <c r="R901" s="1"/>
      <c r="S901" s="83"/>
      <c r="T901" s="1"/>
      <c r="U901" s="1"/>
      <c r="V901" s="1"/>
      <c r="W901" s="1"/>
      <c r="X901" s="1"/>
      <c r="Y901" s="1"/>
    </row>
    <row r="902">
      <c r="A902" s="1"/>
      <c r="B902" s="83"/>
      <c r="C902" s="91"/>
      <c r="D902" s="1"/>
      <c r="E902" s="1"/>
      <c r="F902" s="1"/>
      <c r="G902" s="1"/>
      <c r="H902" s="1"/>
      <c r="I902" s="1"/>
      <c r="J902" s="1"/>
      <c r="K902" s="1"/>
      <c r="L902" s="1"/>
      <c r="M902" s="1"/>
      <c r="N902" s="1"/>
      <c r="O902" s="1"/>
      <c r="P902" s="82"/>
      <c r="Q902" s="1"/>
      <c r="R902" s="1"/>
      <c r="S902" s="83"/>
      <c r="T902" s="1"/>
      <c r="U902" s="1"/>
      <c r="V902" s="1"/>
      <c r="W902" s="1"/>
      <c r="X902" s="1"/>
      <c r="Y902" s="1"/>
    </row>
    <row r="903">
      <c r="A903" s="1"/>
      <c r="B903" s="83"/>
      <c r="C903" s="91"/>
      <c r="D903" s="1"/>
      <c r="E903" s="1"/>
      <c r="F903" s="1"/>
      <c r="G903" s="1"/>
      <c r="H903" s="1"/>
      <c r="I903" s="1"/>
      <c r="J903" s="1"/>
      <c r="K903" s="1"/>
      <c r="L903" s="1"/>
      <c r="M903" s="1"/>
      <c r="N903" s="1"/>
      <c r="O903" s="1"/>
      <c r="P903" s="82"/>
      <c r="Q903" s="1"/>
      <c r="R903" s="1"/>
      <c r="S903" s="83"/>
      <c r="T903" s="1"/>
      <c r="U903" s="1"/>
      <c r="V903" s="1"/>
      <c r="W903" s="1"/>
      <c r="X903" s="1"/>
      <c r="Y903" s="1"/>
    </row>
    <row r="904">
      <c r="A904" s="1"/>
      <c r="B904" s="83"/>
      <c r="C904" s="91"/>
      <c r="D904" s="1"/>
      <c r="E904" s="1"/>
      <c r="F904" s="1"/>
      <c r="G904" s="1"/>
      <c r="H904" s="1"/>
      <c r="I904" s="1"/>
      <c r="J904" s="1"/>
      <c r="K904" s="1"/>
      <c r="L904" s="1"/>
      <c r="M904" s="1"/>
      <c r="N904" s="1"/>
      <c r="O904" s="1"/>
      <c r="P904" s="82"/>
      <c r="Q904" s="1"/>
      <c r="R904" s="1"/>
      <c r="S904" s="83"/>
      <c r="T904" s="1"/>
      <c r="U904" s="1"/>
      <c r="V904" s="1"/>
      <c r="W904" s="1"/>
      <c r="X904" s="1"/>
      <c r="Y904" s="1"/>
    </row>
    <row r="905">
      <c r="A905" s="1"/>
      <c r="B905" s="83"/>
      <c r="C905" s="91"/>
      <c r="D905" s="1"/>
      <c r="E905" s="1"/>
      <c r="F905" s="1"/>
      <c r="G905" s="1"/>
      <c r="H905" s="1"/>
      <c r="I905" s="1"/>
      <c r="J905" s="1"/>
      <c r="K905" s="1"/>
      <c r="L905" s="1"/>
      <c r="M905" s="1"/>
      <c r="N905" s="1"/>
      <c r="O905" s="1"/>
      <c r="P905" s="82"/>
      <c r="Q905" s="1"/>
      <c r="R905" s="1"/>
      <c r="S905" s="83"/>
      <c r="T905" s="1"/>
      <c r="U905" s="1"/>
      <c r="V905" s="1"/>
      <c r="W905" s="1"/>
      <c r="X905" s="1"/>
      <c r="Y905" s="1"/>
    </row>
    <row r="906">
      <c r="A906" s="1"/>
      <c r="B906" s="83"/>
      <c r="C906" s="91"/>
      <c r="D906" s="1"/>
      <c r="E906" s="1"/>
      <c r="F906" s="1"/>
      <c r="G906" s="1"/>
      <c r="H906" s="1"/>
      <c r="I906" s="1"/>
      <c r="J906" s="1"/>
      <c r="K906" s="1"/>
      <c r="L906" s="1"/>
      <c r="M906" s="1"/>
      <c r="N906" s="1"/>
      <c r="O906" s="1"/>
      <c r="P906" s="82"/>
      <c r="Q906" s="1"/>
      <c r="R906" s="1"/>
      <c r="S906" s="83"/>
      <c r="T906" s="1"/>
      <c r="U906" s="1"/>
      <c r="V906" s="1"/>
      <c r="W906" s="1"/>
      <c r="X906" s="1"/>
      <c r="Y906" s="1"/>
    </row>
    <row r="907">
      <c r="A907" s="1"/>
      <c r="B907" s="83"/>
      <c r="C907" s="91"/>
      <c r="D907" s="1"/>
      <c r="E907" s="1"/>
      <c r="F907" s="1"/>
      <c r="G907" s="1"/>
      <c r="H907" s="1"/>
      <c r="I907" s="1"/>
      <c r="J907" s="1"/>
      <c r="K907" s="1"/>
      <c r="L907" s="1"/>
      <c r="M907" s="1"/>
      <c r="N907" s="1"/>
      <c r="O907" s="1"/>
      <c r="P907" s="82"/>
      <c r="Q907" s="1"/>
      <c r="R907" s="1"/>
      <c r="S907" s="83"/>
      <c r="T907" s="1"/>
      <c r="U907" s="1"/>
      <c r="V907" s="1"/>
      <c r="W907" s="1"/>
      <c r="X907" s="1"/>
      <c r="Y907" s="1"/>
    </row>
    <row r="908">
      <c r="A908" s="1"/>
      <c r="B908" s="83"/>
      <c r="C908" s="91"/>
      <c r="D908" s="1"/>
      <c r="E908" s="1"/>
      <c r="F908" s="1"/>
      <c r="G908" s="1"/>
      <c r="H908" s="1"/>
      <c r="I908" s="1"/>
      <c r="J908" s="1"/>
      <c r="K908" s="1"/>
      <c r="L908" s="1"/>
      <c r="M908" s="1"/>
      <c r="N908" s="1"/>
      <c r="O908" s="1"/>
      <c r="P908" s="82"/>
      <c r="Q908" s="1"/>
      <c r="R908" s="1"/>
      <c r="S908" s="83"/>
      <c r="T908" s="1"/>
      <c r="U908" s="1"/>
      <c r="V908" s="1"/>
      <c r="W908" s="1"/>
      <c r="X908" s="1"/>
      <c r="Y908" s="1"/>
    </row>
    <row r="909">
      <c r="A909" s="1"/>
      <c r="B909" s="83"/>
      <c r="C909" s="91"/>
      <c r="D909" s="1"/>
      <c r="E909" s="1"/>
      <c r="F909" s="1"/>
      <c r="G909" s="1"/>
      <c r="H909" s="1"/>
      <c r="I909" s="1"/>
      <c r="J909" s="1"/>
      <c r="K909" s="1"/>
      <c r="L909" s="1"/>
      <c r="M909" s="1"/>
      <c r="N909" s="1"/>
      <c r="O909" s="1"/>
      <c r="P909" s="82"/>
      <c r="Q909" s="1"/>
      <c r="R909" s="1"/>
      <c r="S909" s="83"/>
      <c r="T909" s="1"/>
      <c r="U909" s="1"/>
      <c r="V909" s="1"/>
      <c r="W909" s="1"/>
      <c r="X909" s="1"/>
      <c r="Y909" s="1"/>
    </row>
    <row r="910">
      <c r="A910" s="1"/>
      <c r="B910" s="83"/>
      <c r="C910" s="91"/>
      <c r="D910" s="1"/>
      <c r="E910" s="1"/>
      <c r="F910" s="1"/>
      <c r="G910" s="1"/>
      <c r="H910" s="1"/>
      <c r="I910" s="1"/>
      <c r="J910" s="1"/>
      <c r="K910" s="1"/>
      <c r="L910" s="1"/>
      <c r="M910" s="1"/>
      <c r="N910" s="1"/>
      <c r="O910" s="1"/>
      <c r="P910" s="82"/>
      <c r="Q910" s="1"/>
      <c r="R910" s="1"/>
      <c r="S910" s="83"/>
      <c r="T910" s="1"/>
      <c r="U910" s="1"/>
      <c r="V910" s="1"/>
      <c r="W910" s="1"/>
      <c r="X910" s="1"/>
      <c r="Y910" s="1"/>
    </row>
    <row r="911">
      <c r="A911" s="1"/>
      <c r="B911" s="83"/>
      <c r="C911" s="91"/>
      <c r="D911" s="1"/>
      <c r="E911" s="1"/>
      <c r="F911" s="1"/>
      <c r="G911" s="1"/>
      <c r="H911" s="1"/>
      <c r="I911" s="1"/>
      <c r="J911" s="1"/>
      <c r="K911" s="1"/>
      <c r="L911" s="1"/>
      <c r="M911" s="1"/>
      <c r="N911" s="1"/>
      <c r="O911" s="1"/>
      <c r="P911" s="82"/>
      <c r="Q911" s="1"/>
      <c r="R911" s="1"/>
      <c r="S911" s="83"/>
      <c r="T911" s="1"/>
      <c r="U911" s="1"/>
      <c r="V911" s="1"/>
      <c r="W911" s="1"/>
      <c r="X911" s="1"/>
      <c r="Y911" s="1"/>
    </row>
    <row r="912">
      <c r="A912" s="1"/>
      <c r="B912" s="83"/>
      <c r="C912" s="91"/>
      <c r="D912" s="1"/>
      <c r="E912" s="1"/>
      <c r="F912" s="1"/>
      <c r="G912" s="1"/>
      <c r="H912" s="1"/>
      <c r="I912" s="1"/>
      <c r="J912" s="1"/>
      <c r="K912" s="1"/>
      <c r="L912" s="1"/>
      <c r="M912" s="1"/>
      <c r="N912" s="1"/>
      <c r="O912" s="1"/>
      <c r="P912" s="82"/>
      <c r="Q912" s="1"/>
      <c r="R912" s="1"/>
      <c r="S912" s="83"/>
      <c r="T912" s="1"/>
      <c r="U912" s="1"/>
      <c r="V912" s="1"/>
      <c r="W912" s="1"/>
      <c r="X912" s="1"/>
      <c r="Y912" s="1"/>
    </row>
    <row r="913">
      <c r="A913" s="1"/>
      <c r="B913" s="83"/>
      <c r="C913" s="91"/>
      <c r="D913" s="1"/>
      <c r="E913" s="1"/>
      <c r="F913" s="1"/>
      <c r="G913" s="1"/>
      <c r="H913" s="1"/>
      <c r="I913" s="1"/>
      <c r="J913" s="1"/>
      <c r="K913" s="1"/>
      <c r="L913" s="1"/>
      <c r="M913" s="1"/>
      <c r="N913" s="1"/>
      <c r="O913" s="1"/>
      <c r="P913" s="82"/>
      <c r="Q913" s="1"/>
      <c r="R913" s="1"/>
      <c r="S913" s="83"/>
      <c r="T913" s="1"/>
      <c r="U913" s="1"/>
      <c r="V913" s="1"/>
      <c r="W913" s="1"/>
      <c r="X913" s="1"/>
      <c r="Y913" s="1"/>
    </row>
    <row r="914">
      <c r="A914" s="1"/>
      <c r="B914" s="83"/>
      <c r="C914" s="91"/>
      <c r="D914" s="1"/>
      <c r="E914" s="1"/>
      <c r="F914" s="1"/>
      <c r="G914" s="1"/>
      <c r="H914" s="1"/>
      <c r="I914" s="1"/>
      <c r="J914" s="1"/>
      <c r="K914" s="1"/>
      <c r="L914" s="1"/>
      <c r="M914" s="1"/>
      <c r="N914" s="1"/>
      <c r="O914" s="1"/>
      <c r="P914" s="82"/>
      <c r="Q914" s="1"/>
      <c r="R914" s="1"/>
      <c r="S914" s="83"/>
      <c r="T914" s="1"/>
      <c r="U914" s="1"/>
      <c r="V914" s="1"/>
      <c r="W914" s="1"/>
      <c r="X914" s="1"/>
      <c r="Y914" s="1"/>
    </row>
    <row r="915">
      <c r="A915" s="1"/>
      <c r="B915" s="83"/>
      <c r="C915" s="91"/>
      <c r="D915" s="1"/>
      <c r="E915" s="1"/>
      <c r="F915" s="1"/>
      <c r="G915" s="1"/>
      <c r="H915" s="1"/>
      <c r="I915" s="1"/>
      <c r="J915" s="1"/>
      <c r="K915" s="1"/>
      <c r="L915" s="1"/>
      <c r="M915" s="1"/>
      <c r="N915" s="1"/>
      <c r="O915" s="1"/>
      <c r="P915" s="82"/>
      <c r="Q915" s="1"/>
      <c r="R915" s="1"/>
      <c r="S915" s="83"/>
      <c r="T915" s="1"/>
      <c r="U915" s="1"/>
      <c r="V915" s="1"/>
      <c r="W915" s="1"/>
      <c r="X915" s="1"/>
      <c r="Y915" s="1"/>
    </row>
    <row r="916">
      <c r="A916" s="1"/>
      <c r="B916" s="83"/>
      <c r="C916" s="91"/>
      <c r="D916" s="1"/>
      <c r="E916" s="1"/>
      <c r="F916" s="1"/>
      <c r="G916" s="1"/>
      <c r="H916" s="1"/>
      <c r="I916" s="1"/>
      <c r="J916" s="1"/>
      <c r="K916" s="1"/>
      <c r="L916" s="1"/>
      <c r="M916" s="1"/>
      <c r="N916" s="1"/>
      <c r="O916" s="1"/>
      <c r="P916" s="82"/>
      <c r="Q916" s="1"/>
      <c r="R916" s="1"/>
      <c r="S916" s="83"/>
      <c r="T916" s="1"/>
      <c r="U916" s="1"/>
      <c r="V916" s="1"/>
      <c r="W916" s="1"/>
      <c r="X916" s="1"/>
      <c r="Y916" s="1"/>
    </row>
    <row r="917">
      <c r="A917" s="1"/>
      <c r="B917" s="83"/>
      <c r="C917" s="91"/>
      <c r="D917" s="1"/>
      <c r="E917" s="1"/>
      <c r="F917" s="1"/>
      <c r="G917" s="1"/>
      <c r="H917" s="1"/>
      <c r="I917" s="1"/>
      <c r="J917" s="1"/>
      <c r="K917" s="1"/>
      <c r="L917" s="1"/>
      <c r="M917" s="1"/>
      <c r="N917" s="1"/>
      <c r="O917" s="1"/>
      <c r="P917" s="82"/>
      <c r="Q917" s="1"/>
      <c r="R917" s="1"/>
      <c r="S917" s="83"/>
      <c r="T917" s="1"/>
      <c r="U917" s="1"/>
      <c r="V917" s="1"/>
      <c r="W917" s="1"/>
      <c r="X917" s="1"/>
      <c r="Y917" s="1"/>
    </row>
    <row r="918">
      <c r="A918" s="1"/>
      <c r="B918" s="83"/>
      <c r="C918" s="91"/>
      <c r="D918" s="1"/>
      <c r="E918" s="1"/>
      <c r="F918" s="1"/>
      <c r="G918" s="1"/>
      <c r="H918" s="1"/>
      <c r="I918" s="1"/>
      <c r="J918" s="1"/>
      <c r="K918" s="1"/>
      <c r="L918" s="1"/>
      <c r="M918" s="1"/>
      <c r="N918" s="1"/>
      <c r="O918" s="1"/>
      <c r="P918" s="82"/>
      <c r="Q918" s="1"/>
      <c r="R918" s="1"/>
      <c r="S918" s="83"/>
      <c r="T918" s="1"/>
      <c r="U918" s="1"/>
      <c r="V918" s="1"/>
      <c r="W918" s="1"/>
      <c r="X918" s="1"/>
      <c r="Y918" s="1"/>
    </row>
    <row r="919">
      <c r="A919" s="1"/>
      <c r="B919" s="83"/>
      <c r="C919" s="91"/>
      <c r="D919" s="1"/>
      <c r="E919" s="1"/>
      <c r="F919" s="1"/>
      <c r="G919" s="1"/>
      <c r="H919" s="1"/>
      <c r="I919" s="1"/>
      <c r="J919" s="1"/>
      <c r="K919" s="1"/>
      <c r="L919" s="1"/>
      <c r="M919" s="1"/>
      <c r="N919" s="1"/>
      <c r="O919" s="1"/>
      <c r="P919" s="82"/>
      <c r="Q919" s="1"/>
      <c r="R919" s="1"/>
      <c r="S919" s="83"/>
      <c r="T919" s="1"/>
      <c r="U919" s="1"/>
      <c r="V919" s="1"/>
      <c r="W919" s="1"/>
      <c r="X919" s="1"/>
      <c r="Y919" s="1"/>
    </row>
    <row r="920">
      <c r="A920" s="1"/>
      <c r="B920" s="83"/>
      <c r="C920" s="91"/>
      <c r="D920" s="1"/>
      <c r="E920" s="1"/>
      <c r="F920" s="1"/>
      <c r="G920" s="1"/>
      <c r="H920" s="1"/>
      <c r="I920" s="1"/>
      <c r="J920" s="1"/>
      <c r="K920" s="1"/>
      <c r="L920" s="1"/>
      <c r="M920" s="1"/>
      <c r="N920" s="1"/>
      <c r="O920" s="1"/>
      <c r="P920" s="82"/>
      <c r="Q920" s="1"/>
      <c r="R920" s="1"/>
      <c r="S920" s="83"/>
      <c r="T920" s="1"/>
      <c r="U920" s="1"/>
      <c r="V920" s="1"/>
      <c r="W920" s="1"/>
      <c r="X920" s="1"/>
      <c r="Y920" s="1"/>
    </row>
    <row r="921">
      <c r="G921" s="1"/>
      <c r="H921" s="1"/>
      <c r="I921" s="1"/>
      <c r="J921" s="1"/>
      <c r="K921" s="1"/>
      <c r="L921" s="1"/>
      <c r="M921" s="1"/>
      <c r="N921" s="1"/>
      <c r="O921" s="1"/>
      <c r="P921" s="82"/>
      <c r="Q921" s="1"/>
      <c r="R921" s="1"/>
      <c r="S921" s="83"/>
      <c r="T921" s="1"/>
      <c r="U921" s="1"/>
      <c r="V921" s="1"/>
      <c r="W921" s="1"/>
      <c r="X921" s="1"/>
      <c r="Y921" s="1"/>
    </row>
    <row r="922">
      <c r="G922" s="1"/>
      <c r="H922" s="1"/>
      <c r="I922" s="1"/>
      <c r="J922" s="1"/>
      <c r="K922" s="1"/>
      <c r="L922" s="1"/>
      <c r="M922" s="1"/>
      <c r="N922" s="1"/>
      <c r="O922" s="1"/>
      <c r="P922" s="82"/>
      <c r="Q922" s="1"/>
      <c r="R922" s="1"/>
      <c r="S922" s="83"/>
      <c r="T922" s="1"/>
      <c r="U922" s="1"/>
      <c r="V922" s="1"/>
      <c r="W922" s="1"/>
      <c r="X922" s="1"/>
      <c r="Y922" s="1"/>
    </row>
    <row r="923">
      <c r="G923" s="1"/>
      <c r="H923" s="1"/>
      <c r="I923" s="1"/>
      <c r="J923" s="1"/>
      <c r="K923" s="1"/>
      <c r="L923" s="1"/>
      <c r="M923" s="1"/>
      <c r="N923" s="1"/>
      <c r="O923" s="1"/>
      <c r="P923" s="82"/>
      <c r="Q923" s="1"/>
      <c r="R923" s="1"/>
      <c r="S923" s="83"/>
      <c r="T923" s="1"/>
      <c r="U923" s="1"/>
      <c r="V923" s="1"/>
      <c r="W923" s="1"/>
      <c r="X923" s="1"/>
      <c r="Y923" s="1"/>
    </row>
    <row r="924">
      <c r="G924" s="1"/>
      <c r="H924" s="1"/>
      <c r="I924" s="1"/>
      <c r="J924" s="1"/>
      <c r="K924" s="1"/>
      <c r="L924" s="1"/>
      <c r="M924" s="1"/>
      <c r="N924" s="1"/>
      <c r="O924" s="1"/>
      <c r="P924" s="82"/>
      <c r="Q924" s="1"/>
      <c r="R924" s="1"/>
      <c r="S924" s="83"/>
      <c r="T924" s="1"/>
      <c r="U924" s="1"/>
      <c r="V924" s="1"/>
      <c r="W924" s="1"/>
      <c r="X924" s="1"/>
      <c r="Y924" s="1"/>
    </row>
    <row r="925">
      <c r="G925" s="1"/>
      <c r="H925" s="1"/>
      <c r="I925" s="1"/>
      <c r="J925" s="1"/>
      <c r="K925" s="1"/>
      <c r="L925" s="1"/>
      <c r="M925" s="1"/>
      <c r="N925" s="1"/>
      <c r="O925" s="1"/>
      <c r="P925" s="82"/>
      <c r="Q925" s="1"/>
      <c r="R925" s="1"/>
      <c r="S925" s="83"/>
      <c r="T925" s="1"/>
      <c r="U925" s="1"/>
      <c r="V925" s="1"/>
      <c r="W925" s="1"/>
      <c r="X925" s="1"/>
      <c r="Y925" s="1"/>
    </row>
    <row r="926">
      <c r="G926" s="1"/>
      <c r="H926" s="1"/>
      <c r="I926" s="1"/>
      <c r="J926" s="1"/>
      <c r="K926" s="1"/>
      <c r="L926" s="1"/>
      <c r="M926" s="1"/>
      <c r="N926" s="1"/>
      <c r="O926" s="1"/>
      <c r="P926" s="82"/>
      <c r="Q926" s="1"/>
      <c r="R926" s="1"/>
      <c r="S926" s="83"/>
      <c r="T926" s="1"/>
      <c r="U926" s="1"/>
      <c r="V926" s="1"/>
      <c r="W926" s="1"/>
      <c r="X926" s="1"/>
      <c r="Y926" s="1"/>
    </row>
    <row r="927">
      <c r="G927" s="1"/>
      <c r="H927" s="1"/>
      <c r="I927" s="1"/>
      <c r="J927" s="1"/>
      <c r="K927" s="1"/>
      <c r="L927" s="1"/>
      <c r="M927" s="1"/>
      <c r="N927" s="1"/>
      <c r="O927" s="1"/>
      <c r="P927" s="82"/>
      <c r="Q927" s="1"/>
      <c r="R927" s="1"/>
      <c r="S927" s="83"/>
      <c r="T927" s="1"/>
      <c r="U927" s="1"/>
      <c r="V927" s="1"/>
      <c r="W927" s="1"/>
      <c r="X927" s="1"/>
      <c r="Y927" s="1"/>
    </row>
    <row r="928">
      <c r="G928" s="1"/>
      <c r="H928" s="1"/>
      <c r="I928" s="1"/>
      <c r="J928" s="1"/>
      <c r="K928" s="1"/>
      <c r="L928" s="1"/>
      <c r="M928" s="1"/>
      <c r="N928" s="1"/>
      <c r="O928" s="1"/>
      <c r="P928" s="82"/>
      <c r="Q928" s="1"/>
      <c r="R928" s="1"/>
      <c r="S928" s="83"/>
      <c r="T928" s="1"/>
      <c r="U928" s="1"/>
      <c r="V928" s="1"/>
      <c r="W928" s="1"/>
      <c r="X928" s="1"/>
      <c r="Y928" s="1"/>
    </row>
    <row r="929">
      <c r="G929" s="1"/>
      <c r="H929" s="1"/>
      <c r="I929" s="1"/>
      <c r="J929" s="1"/>
      <c r="K929" s="1"/>
      <c r="L929" s="1"/>
      <c r="M929" s="1"/>
      <c r="N929" s="1"/>
      <c r="O929" s="1"/>
      <c r="P929" s="82"/>
      <c r="Q929" s="1"/>
      <c r="R929" s="1"/>
      <c r="S929" s="83"/>
      <c r="T929" s="1"/>
      <c r="U929" s="1"/>
      <c r="V929" s="1"/>
      <c r="W929" s="1"/>
      <c r="X929" s="1"/>
      <c r="Y929" s="1"/>
    </row>
    <row r="930">
      <c r="G930" s="1"/>
      <c r="H930" s="1"/>
      <c r="I930" s="1"/>
      <c r="J930" s="1"/>
      <c r="K930" s="1"/>
      <c r="L930" s="1"/>
      <c r="M930" s="1"/>
      <c r="N930" s="1"/>
      <c r="O930" s="1"/>
      <c r="P930" s="82"/>
      <c r="Q930" s="1"/>
      <c r="R930" s="1"/>
      <c r="S930" s="83"/>
      <c r="T930" s="1"/>
      <c r="U930" s="1"/>
      <c r="V930" s="1"/>
      <c r="W930" s="1"/>
      <c r="X930" s="1"/>
      <c r="Y930" s="1"/>
    </row>
    <row r="931">
      <c r="G931" s="1"/>
      <c r="H931" s="1"/>
      <c r="I931" s="1"/>
      <c r="J931" s="1"/>
      <c r="K931" s="1"/>
      <c r="L931" s="1"/>
      <c r="M931" s="1"/>
      <c r="N931" s="1"/>
      <c r="O931" s="1"/>
      <c r="P931" s="82"/>
      <c r="Q931" s="1"/>
      <c r="R931" s="1"/>
      <c r="S931" s="83"/>
      <c r="T931" s="1"/>
      <c r="U931" s="1"/>
      <c r="V931" s="1"/>
      <c r="W931" s="1"/>
      <c r="X931" s="1"/>
      <c r="Y931" s="1"/>
    </row>
    <row r="932">
      <c r="G932" s="1"/>
      <c r="H932" s="1"/>
      <c r="I932" s="1"/>
      <c r="J932" s="1"/>
      <c r="K932" s="1"/>
      <c r="L932" s="1"/>
      <c r="M932" s="1"/>
      <c r="N932" s="1"/>
      <c r="O932" s="1"/>
      <c r="P932" s="82"/>
      <c r="Q932" s="1"/>
      <c r="R932" s="1"/>
      <c r="S932" s="83"/>
      <c r="T932" s="1"/>
      <c r="U932" s="1"/>
      <c r="V932" s="1"/>
      <c r="W932" s="1"/>
      <c r="X932" s="1"/>
      <c r="Y932" s="1"/>
    </row>
    <row r="933">
      <c r="G933" s="1"/>
      <c r="H933" s="1"/>
      <c r="I933" s="1"/>
      <c r="J933" s="1"/>
      <c r="K933" s="1"/>
      <c r="L933" s="1"/>
      <c r="M933" s="1"/>
      <c r="N933" s="1"/>
      <c r="O933" s="1"/>
      <c r="P933" s="82"/>
      <c r="Q933" s="1"/>
      <c r="R933" s="1"/>
      <c r="S933" s="83"/>
      <c r="T933" s="1"/>
      <c r="U933" s="1"/>
      <c r="V933" s="1"/>
      <c r="W933" s="1"/>
      <c r="X933" s="1"/>
      <c r="Y933" s="1"/>
    </row>
    <row r="934">
      <c r="G934" s="1"/>
      <c r="H934" s="1"/>
      <c r="I934" s="1"/>
      <c r="J934" s="1"/>
      <c r="K934" s="1"/>
      <c r="L934" s="1"/>
      <c r="M934" s="1"/>
      <c r="N934" s="1"/>
      <c r="O934" s="1"/>
      <c r="P934" s="82"/>
      <c r="Q934" s="1"/>
      <c r="R934" s="1"/>
      <c r="S934" s="83"/>
      <c r="T934" s="1"/>
      <c r="U934" s="1"/>
      <c r="V934" s="1"/>
      <c r="W934" s="1"/>
      <c r="X934" s="1"/>
      <c r="Y934" s="1"/>
    </row>
    <row r="935">
      <c r="G935" s="1"/>
      <c r="H935" s="1"/>
      <c r="I935" s="1"/>
      <c r="J935" s="1"/>
      <c r="K935" s="1"/>
      <c r="L935" s="1"/>
      <c r="M935" s="1"/>
      <c r="N935" s="1"/>
      <c r="O935" s="1"/>
      <c r="P935" s="82"/>
      <c r="Q935" s="1"/>
      <c r="R935" s="1"/>
      <c r="S935" s="83"/>
      <c r="T935" s="1"/>
      <c r="U935" s="1"/>
      <c r="V935" s="1"/>
      <c r="W935" s="1"/>
      <c r="X935" s="1"/>
      <c r="Y935" s="1"/>
    </row>
    <row r="936">
      <c r="G936" s="1"/>
      <c r="H936" s="1"/>
      <c r="I936" s="1"/>
      <c r="J936" s="1"/>
      <c r="K936" s="1"/>
      <c r="L936" s="1"/>
      <c r="M936" s="1"/>
      <c r="N936" s="1"/>
      <c r="O936" s="1"/>
      <c r="P936" s="82"/>
      <c r="Q936" s="1"/>
      <c r="R936" s="1"/>
      <c r="S936" s="83"/>
      <c r="T936" s="1"/>
      <c r="U936" s="1"/>
      <c r="V936" s="1"/>
      <c r="W936" s="1"/>
      <c r="X936" s="1"/>
      <c r="Y936" s="1"/>
    </row>
    <row r="937">
      <c r="G937" s="1"/>
      <c r="H937" s="1"/>
      <c r="I937" s="1"/>
      <c r="J937" s="1"/>
      <c r="K937" s="1"/>
      <c r="L937" s="1"/>
      <c r="M937" s="1"/>
      <c r="N937" s="1"/>
      <c r="O937" s="1"/>
      <c r="P937" s="82"/>
      <c r="Q937" s="1"/>
      <c r="R937" s="1"/>
      <c r="S937" s="83"/>
      <c r="T937" s="1"/>
      <c r="U937" s="1"/>
      <c r="V937" s="1"/>
      <c r="W937" s="1"/>
      <c r="X937" s="1"/>
      <c r="Y937" s="1"/>
    </row>
    <row r="938">
      <c r="G938" s="1"/>
      <c r="H938" s="1"/>
      <c r="I938" s="1"/>
      <c r="J938" s="1"/>
      <c r="K938" s="1"/>
      <c r="L938" s="1"/>
      <c r="M938" s="1"/>
      <c r="N938" s="1"/>
      <c r="O938" s="1"/>
      <c r="P938" s="82"/>
      <c r="Q938" s="1"/>
      <c r="R938" s="1"/>
      <c r="S938" s="83"/>
      <c r="T938" s="1"/>
      <c r="U938" s="1"/>
      <c r="V938" s="1"/>
      <c r="W938" s="1"/>
      <c r="X938" s="1"/>
      <c r="Y938" s="1"/>
    </row>
    <row r="939">
      <c r="G939" s="1"/>
      <c r="H939" s="1"/>
      <c r="I939" s="1"/>
      <c r="J939" s="1"/>
      <c r="K939" s="1"/>
      <c r="L939" s="1"/>
      <c r="M939" s="1"/>
      <c r="N939" s="1"/>
      <c r="O939" s="1"/>
      <c r="P939" s="82"/>
      <c r="Q939" s="1"/>
      <c r="R939" s="1"/>
      <c r="S939" s="83"/>
      <c r="T939" s="1"/>
      <c r="U939" s="1"/>
      <c r="V939" s="1"/>
      <c r="W939" s="1"/>
      <c r="X939" s="1"/>
      <c r="Y939" s="1"/>
    </row>
    <row r="940">
      <c r="G940" s="1"/>
      <c r="H940" s="1"/>
      <c r="I940" s="1"/>
      <c r="J940" s="1"/>
      <c r="K940" s="1"/>
      <c r="L940" s="1"/>
      <c r="M940" s="1"/>
      <c r="N940" s="1"/>
      <c r="O940" s="1"/>
      <c r="P940" s="82"/>
      <c r="Q940" s="1"/>
      <c r="R940" s="1"/>
      <c r="S940" s="83"/>
      <c r="T940" s="1"/>
      <c r="U940" s="1"/>
      <c r="V940" s="1"/>
      <c r="W940" s="1"/>
      <c r="X940" s="1"/>
      <c r="Y940" s="1"/>
    </row>
    <row r="941">
      <c r="G941" s="1"/>
      <c r="H941" s="1"/>
      <c r="I941" s="1"/>
      <c r="J941" s="1"/>
      <c r="K941" s="1"/>
      <c r="L941" s="1"/>
      <c r="M941" s="1"/>
      <c r="N941" s="1"/>
      <c r="O941" s="1"/>
      <c r="P941" s="82"/>
      <c r="Q941" s="1"/>
      <c r="R941" s="1"/>
      <c r="S941" s="83"/>
      <c r="T941" s="1"/>
      <c r="U941" s="1"/>
      <c r="V941" s="1"/>
      <c r="W941" s="1"/>
      <c r="X941" s="1"/>
      <c r="Y941" s="1"/>
    </row>
    <row r="942">
      <c r="G942" s="1"/>
      <c r="H942" s="1"/>
      <c r="I942" s="1"/>
      <c r="J942" s="1"/>
      <c r="K942" s="1"/>
      <c r="L942" s="1"/>
      <c r="M942" s="1"/>
      <c r="N942" s="1"/>
      <c r="O942" s="1"/>
      <c r="P942" s="82"/>
      <c r="Q942" s="1"/>
      <c r="R942" s="1"/>
      <c r="S942" s="83"/>
      <c r="T942" s="1"/>
      <c r="U942" s="1"/>
      <c r="V942" s="1"/>
      <c r="W942" s="1"/>
      <c r="X942" s="1"/>
      <c r="Y942" s="1"/>
    </row>
    <row r="943">
      <c r="G943" s="1"/>
      <c r="H943" s="1"/>
      <c r="I943" s="1"/>
      <c r="J943" s="1"/>
      <c r="K943" s="1"/>
      <c r="L943" s="1"/>
      <c r="M943" s="1"/>
      <c r="N943" s="1"/>
      <c r="O943" s="1"/>
      <c r="P943" s="82"/>
      <c r="Q943" s="1"/>
      <c r="R943" s="1"/>
      <c r="S943" s="83"/>
      <c r="T943" s="1"/>
      <c r="U943" s="1"/>
      <c r="V943" s="1"/>
      <c r="W943" s="1"/>
      <c r="X943" s="1"/>
      <c r="Y943" s="1"/>
    </row>
    <row r="944">
      <c r="G944" s="1"/>
      <c r="H944" s="1"/>
      <c r="I944" s="1"/>
      <c r="J944" s="1"/>
      <c r="K944" s="1"/>
      <c r="L944" s="1"/>
      <c r="M944" s="1"/>
      <c r="N944" s="1"/>
      <c r="O944" s="1"/>
      <c r="P944" s="82"/>
      <c r="Q944" s="1"/>
      <c r="R944" s="1"/>
      <c r="S944" s="83"/>
      <c r="T944" s="1"/>
      <c r="U944" s="1"/>
      <c r="V944" s="1"/>
      <c r="W944" s="1"/>
      <c r="X944" s="1"/>
      <c r="Y944" s="1"/>
    </row>
    <row r="945">
      <c r="G945" s="1"/>
      <c r="H945" s="1"/>
      <c r="I945" s="1"/>
      <c r="J945" s="1"/>
      <c r="K945" s="1"/>
      <c r="L945" s="1"/>
      <c r="M945" s="1"/>
      <c r="N945" s="1"/>
      <c r="O945" s="1"/>
      <c r="P945" s="82"/>
      <c r="Q945" s="1"/>
      <c r="R945" s="1"/>
      <c r="S945" s="83"/>
      <c r="T945" s="1"/>
      <c r="U945" s="1"/>
      <c r="V945" s="1"/>
      <c r="W945" s="1"/>
      <c r="X945" s="1"/>
      <c r="Y945" s="1"/>
    </row>
    <row r="946">
      <c r="G946" s="1"/>
      <c r="H946" s="1"/>
      <c r="I946" s="1"/>
      <c r="J946" s="1"/>
      <c r="K946" s="1"/>
      <c r="L946" s="1"/>
      <c r="M946" s="1"/>
      <c r="N946" s="1"/>
      <c r="O946" s="1"/>
      <c r="P946" s="82"/>
      <c r="Q946" s="1"/>
      <c r="R946" s="1"/>
      <c r="S946" s="83"/>
      <c r="T946" s="1"/>
      <c r="U946" s="1"/>
      <c r="V946" s="1"/>
      <c r="W946" s="1"/>
      <c r="X946" s="1"/>
      <c r="Y946" s="1"/>
    </row>
    <row r="947">
      <c r="G947" s="1"/>
      <c r="H947" s="1"/>
      <c r="I947" s="1"/>
      <c r="J947" s="1"/>
      <c r="K947" s="1"/>
      <c r="L947" s="1"/>
      <c r="M947" s="1"/>
      <c r="N947" s="1"/>
      <c r="O947" s="1"/>
      <c r="P947" s="82"/>
      <c r="Q947" s="1"/>
      <c r="R947" s="1"/>
      <c r="S947" s="83"/>
      <c r="T947" s="1"/>
      <c r="U947" s="1"/>
      <c r="V947" s="1"/>
      <c r="W947" s="1"/>
      <c r="X947" s="1"/>
      <c r="Y947" s="1"/>
    </row>
    <row r="948">
      <c r="G948" s="1"/>
      <c r="H948" s="1"/>
      <c r="I948" s="1"/>
      <c r="J948" s="1"/>
      <c r="K948" s="1"/>
      <c r="L948" s="1"/>
      <c r="M948" s="1"/>
      <c r="N948" s="1"/>
      <c r="O948" s="1"/>
      <c r="P948" s="82"/>
      <c r="Q948" s="1"/>
      <c r="R948" s="1"/>
      <c r="S948" s="83"/>
      <c r="T948" s="1"/>
      <c r="U948" s="1"/>
      <c r="V948" s="1"/>
      <c r="W948" s="1"/>
      <c r="X948" s="1"/>
      <c r="Y948" s="1"/>
    </row>
    <row r="949">
      <c r="G949" s="1"/>
      <c r="H949" s="1"/>
      <c r="I949" s="1"/>
      <c r="J949" s="1"/>
      <c r="K949" s="1"/>
      <c r="L949" s="1"/>
      <c r="M949" s="1"/>
      <c r="N949" s="1"/>
      <c r="O949" s="1"/>
      <c r="P949" s="82"/>
      <c r="Q949" s="1"/>
      <c r="R949" s="1"/>
      <c r="S949" s="83"/>
      <c r="T949" s="1"/>
      <c r="U949" s="1"/>
      <c r="V949" s="1"/>
      <c r="W949" s="1"/>
      <c r="X949" s="1"/>
      <c r="Y949" s="1"/>
    </row>
    <row r="950">
      <c r="G950" s="1"/>
      <c r="H950" s="1"/>
      <c r="I950" s="1"/>
      <c r="J950" s="1"/>
      <c r="K950" s="1"/>
      <c r="L950" s="1"/>
      <c r="M950" s="1"/>
      <c r="N950" s="1"/>
      <c r="O950" s="1"/>
      <c r="P950" s="82"/>
      <c r="Q950" s="1"/>
      <c r="R950" s="1"/>
      <c r="S950" s="83"/>
      <c r="T950" s="1"/>
      <c r="U950" s="1"/>
      <c r="V950" s="1"/>
      <c r="W950" s="1"/>
      <c r="X950" s="1"/>
      <c r="Y950" s="1"/>
    </row>
  </sheetData>
  <mergeCells count="120">
    <mergeCell ref="F102:F111"/>
    <mergeCell ref="F112:F121"/>
    <mergeCell ref="F122:F131"/>
    <mergeCell ref="F132:F141"/>
    <mergeCell ref="F142:F151"/>
    <mergeCell ref="F152:F161"/>
    <mergeCell ref="F162:F171"/>
    <mergeCell ref="F172:F181"/>
    <mergeCell ref="F182:F191"/>
    <mergeCell ref="F222:F231"/>
    <mergeCell ref="F232:F241"/>
    <mergeCell ref="F242:F251"/>
    <mergeCell ref="F252:F261"/>
    <mergeCell ref="F262:F271"/>
    <mergeCell ref="F272:F281"/>
    <mergeCell ref="F282:F291"/>
    <mergeCell ref="F292:F301"/>
    <mergeCell ref="F302:F311"/>
    <mergeCell ref="F312:F321"/>
    <mergeCell ref="F322:F331"/>
    <mergeCell ref="F332:F341"/>
    <mergeCell ref="F342:F351"/>
    <mergeCell ref="F352:F361"/>
    <mergeCell ref="F362:F371"/>
    <mergeCell ref="F372:F381"/>
    <mergeCell ref="F382:F391"/>
    <mergeCell ref="F392:F401"/>
    <mergeCell ref="F402:F411"/>
    <mergeCell ref="F482:F491"/>
    <mergeCell ref="F492:F501"/>
    <mergeCell ref="F502:F511"/>
    <mergeCell ref="F512:F521"/>
    <mergeCell ref="F412:F421"/>
    <mergeCell ref="F422:F431"/>
    <mergeCell ref="F432:F441"/>
    <mergeCell ref="F442:F451"/>
    <mergeCell ref="F452:F461"/>
    <mergeCell ref="F462:F471"/>
    <mergeCell ref="F472:F481"/>
    <mergeCell ref="A42:A51"/>
    <mergeCell ref="A52:A61"/>
    <mergeCell ref="A62:A71"/>
    <mergeCell ref="A72:A81"/>
    <mergeCell ref="A82:A91"/>
    <mergeCell ref="A92:A101"/>
    <mergeCell ref="A102:A111"/>
    <mergeCell ref="A112:A121"/>
    <mergeCell ref="A122:A131"/>
    <mergeCell ref="A132:A141"/>
    <mergeCell ref="A142:A151"/>
    <mergeCell ref="A152:A161"/>
    <mergeCell ref="A162:A171"/>
    <mergeCell ref="A172:A181"/>
    <mergeCell ref="A222:A231"/>
    <mergeCell ref="A232:A241"/>
    <mergeCell ref="A242:A251"/>
    <mergeCell ref="A252:A261"/>
    <mergeCell ref="A262:A271"/>
    <mergeCell ref="A272:A281"/>
    <mergeCell ref="A282:A291"/>
    <mergeCell ref="A292:A301"/>
    <mergeCell ref="A302:A311"/>
    <mergeCell ref="A312:A321"/>
    <mergeCell ref="A322:A331"/>
    <mergeCell ref="A332:A341"/>
    <mergeCell ref="A342:A351"/>
    <mergeCell ref="A352:A361"/>
    <mergeCell ref="A362:A371"/>
    <mergeCell ref="A372:A381"/>
    <mergeCell ref="A382:A391"/>
    <mergeCell ref="A392:A401"/>
    <mergeCell ref="A402:A411"/>
    <mergeCell ref="A412:A421"/>
    <mergeCell ref="A422:A431"/>
    <mergeCell ref="A502:A511"/>
    <mergeCell ref="A512:A521"/>
    <mergeCell ref="A432:A441"/>
    <mergeCell ref="A442:A451"/>
    <mergeCell ref="A452:A461"/>
    <mergeCell ref="A462:A471"/>
    <mergeCell ref="A472:A481"/>
    <mergeCell ref="A482:A491"/>
    <mergeCell ref="A492:A501"/>
    <mergeCell ref="A2:A11"/>
    <mergeCell ref="F2:F11"/>
    <mergeCell ref="I2:I11"/>
    <mergeCell ref="M2:M11"/>
    <mergeCell ref="F12:F21"/>
    <mergeCell ref="I12:I21"/>
    <mergeCell ref="M12:M21"/>
    <mergeCell ref="M22:M31"/>
    <mergeCell ref="M32:M41"/>
    <mergeCell ref="M42:M51"/>
    <mergeCell ref="M52:M61"/>
    <mergeCell ref="M62:M71"/>
    <mergeCell ref="M72:M81"/>
    <mergeCell ref="I52:I61"/>
    <mergeCell ref="I62:I71"/>
    <mergeCell ref="I72:I81"/>
    <mergeCell ref="A12:A21"/>
    <mergeCell ref="A22:A31"/>
    <mergeCell ref="F22:F31"/>
    <mergeCell ref="I22:I31"/>
    <mergeCell ref="A32:A41"/>
    <mergeCell ref="I32:I41"/>
    <mergeCell ref="I42:I51"/>
    <mergeCell ref="F32:F41"/>
    <mergeCell ref="F42:F51"/>
    <mergeCell ref="F52:F61"/>
    <mergeCell ref="F62:F71"/>
    <mergeCell ref="F72:F81"/>
    <mergeCell ref="F82:F91"/>
    <mergeCell ref="F92:F101"/>
    <mergeCell ref="A182:A191"/>
    <mergeCell ref="A192:A201"/>
    <mergeCell ref="F192:F201"/>
    <mergeCell ref="F202:F211"/>
    <mergeCell ref="F212:F221"/>
    <mergeCell ref="A202:A211"/>
    <mergeCell ref="A212:A221"/>
  </mergeCells>
  <conditionalFormatting sqref="F2:F561 M2:M47 M52:M67 M72:M81">
    <cfRule type="cellIs" dxfId="0" priority="1" operator="equal">
      <formula>"Đủ"</formula>
    </cfRule>
  </conditionalFormatting>
  <conditionalFormatting sqref="F2:F561 M2:M47 M52:M67 M72:M81">
    <cfRule type="containsText" dxfId="1" priority="2" operator="containsText" text="Thiếu">
      <formula>NOT(ISERROR(SEARCH(("Thiếu"),(F2))))</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88"/>
    <col customWidth="1" min="2" max="2" width="26.13"/>
    <col customWidth="1" min="3" max="3" width="32.25"/>
    <col customWidth="1" min="4" max="4" width="25.25"/>
    <col customWidth="1" min="5" max="5" width="32.25"/>
    <col customWidth="1" min="6" max="10" width="16.38"/>
    <col customWidth="1" min="11" max="11" width="24.5"/>
    <col customWidth="1" min="12" max="12" width="21.63"/>
    <col customWidth="1" min="13" max="13" width="41.5"/>
    <col customWidth="1" min="14" max="17" width="21.63"/>
  </cols>
  <sheetData>
    <row r="1" ht="60.75" customHeight="1">
      <c r="A1" s="92"/>
      <c r="B1" s="93" t="s">
        <v>594</v>
      </c>
      <c r="C1" s="93" t="s">
        <v>16</v>
      </c>
      <c r="D1" s="93" t="s">
        <v>595</v>
      </c>
      <c r="E1" s="93" t="s">
        <v>17</v>
      </c>
      <c r="F1" s="93" t="s">
        <v>596</v>
      </c>
      <c r="G1" s="93" t="s">
        <v>597</v>
      </c>
      <c r="H1" s="93" t="s">
        <v>598</v>
      </c>
      <c r="I1" s="93" t="s">
        <v>599</v>
      </c>
      <c r="J1" s="93">
        <f>COUNTIF(F2:F1056, TRUE)</f>
        <v>444</v>
      </c>
      <c r="K1" s="94" t="s">
        <v>600</v>
      </c>
      <c r="L1" s="94" t="s">
        <v>601</v>
      </c>
      <c r="M1" s="94" t="s">
        <v>17</v>
      </c>
      <c r="N1" s="94" t="s">
        <v>601</v>
      </c>
      <c r="O1" s="94" t="s">
        <v>602</v>
      </c>
      <c r="P1" s="94" t="s">
        <v>601</v>
      </c>
      <c r="Q1" s="95"/>
    </row>
    <row r="2">
      <c r="A2" s="96" t="s">
        <v>603</v>
      </c>
      <c r="B2" s="97" t="s">
        <v>604</v>
      </c>
      <c r="C2" s="97" t="s">
        <v>605</v>
      </c>
      <c r="D2" s="97" t="s">
        <v>606</v>
      </c>
      <c r="E2" s="97" t="s">
        <v>607</v>
      </c>
      <c r="F2" s="97" t="b">
        <v>0</v>
      </c>
      <c r="G2" s="97" t="b">
        <v>0</v>
      </c>
      <c r="H2" s="98">
        <f>IF(A2:A2055="", "", COUNTIF(Check!H:H, A1:A2055))</f>
        <v>0</v>
      </c>
      <c r="I2" s="98"/>
      <c r="J2" s="98"/>
      <c r="K2" s="99"/>
      <c r="L2" s="99"/>
      <c r="M2" s="100"/>
      <c r="N2" s="101"/>
      <c r="O2" s="98"/>
      <c r="P2" s="98"/>
      <c r="Q2" s="98"/>
    </row>
    <row r="3">
      <c r="A3" s="96" t="s">
        <v>146</v>
      </c>
      <c r="B3" s="97" t="s">
        <v>608</v>
      </c>
      <c r="C3" s="97" t="s">
        <v>609</v>
      </c>
      <c r="D3" s="97" t="s">
        <v>610</v>
      </c>
      <c r="E3" s="97" t="s">
        <v>611</v>
      </c>
      <c r="F3" s="97" t="b">
        <v>1</v>
      </c>
      <c r="G3" s="97" t="b">
        <v>1</v>
      </c>
      <c r="H3" s="98">
        <f>IF(A3:A2055="", "", COUNTIF(Check!H:H, A2:A2055))</f>
        <v>1</v>
      </c>
      <c r="I3" s="98"/>
      <c r="J3" s="98"/>
      <c r="K3" s="99"/>
      <c r="L3" s="99"/>
      <c r="M3" s="102"/>
      <c r="N3" s="102"/>
      <c r="O3" s="98"/>
      <c r="P3" s="98"/>
      <c r="Q3" s="98"/>
    </row>
    <row r="4">
      <c r="A4" s="96" t="s">
        <v>612</v>
      </c>
      <c r="B4" s="97" t="s">
        <v>613</v>
      </c>
      <c r="C4" s="97" t="s">
        <v>614</v>
      </c>
      <c r="D4" s="97" t="s">
        <v>615</v>
      </c>
      <c r="E4" s="97" t="s">
        <v>616</v>
      </c>
      <c r="F4" s="97" t="b">
        <v>0</v>
      </c>
      <c r="G4" s="97" t="b">
        <v>0</v>
      </c>
      <c r="H4" s="98"/>
      <c r="I4" s="98"/>
      <c r="J4" s="98"/>
      <c r="K4" s="99"/>
      <c r="L4" s="99"/>
      <c r="M4" s="103"/>
      <c r="N4" s="104"/>
      <c r="O4" s="105"/>
      <c r="P4" s="105"/>
      <c r="Q4" s="98"/>
    </row>
    <row r="5">
      <c r="A5" s="96" t="s">
        <v>415</v>
      </c>
      <c r="B5" s="97" t="s">
        <v>617</v>
      </c>
      <c r="C5" s="97" t="s">
        <v>618</v>
      </c>
      <c r="D5" s="97" t="s">
        <v>619</v>
      </c>
      <c r="E5" s="97" t="s">
        <v>620</v>
      </c>
      <c r="F5" s="97" t="b">
        <v>1</v>
      </c>
      <c r="G5" s="97" t="b">
        <v>1</v>
      </c>
      <c r="H5" s="98">
        <f>IF(A5:A2055="", "", COUNTIF(Check!H:H, A4:A2055))</f>
        <v>1</v>
      </c>
      <c r="I5" s="98"/>
      <c r="J5" s="98"/>
      <c r="K5" s="102"/>
      <c r="L5" s="102"/>
      <c r="M5" s="102"/>
      <c r="N5" s="102"/>
      <c r="O5" s="98"/>
      <c r="P5" s="98"/>
      <c r="Q5" s="98"/>
    </row>
    <row r="6">
      <c r="A6" s="96" t="s">
        <v>621</v>
      </c>
      <c r="B6" s="97" t="s">
        <v>622</v>
      </c>
      <c r="C6" s="97" t="s">
        <v>623</v>
      </c>
      <c r="D6" s="97" t="s">
        <v>624</v>
      </c>
      <c r="E6" s="97" t="s">
        <v>625</v>
      </c>
      <c r="F6" s="97" t="b">
        <v>0</v>
      </c>
      <c r="G6" s="97" t="b">
        <v>0</v>
      </c>
      <c r="H6" s="98"/>
      <c r="I6" s="98"/>
      <c r="J6" s="98"/>
      <c r="K6" s="99"/>
      <c r="L6" s="99"/>
      <c r="M6" s="100"/>
      <c r="N6" s="101"/>
      <c r="O6" s="98"/>
      <c r="P6" s="98"/>
      <c r="Q6" s="98"/>
    </row>
    <row r="7">
      <c r="A7" s="96" t="s">
        <v>626</v>
      </c>
      <c r="B7" s="97" t="s">
        <v>627</v>
      </c>
      <c r="C7" s="97" t="s">
        <v>628</v>
      </c>
      <c r="D7" s="97" t="s">
        <v>629</v>
      </c>
      <c r="E7" s="97" t="s">
        <v>630</v>
      </c>
      <c r="F7" s="97" t="b">
        <v>0</v>
      </c>
      <c r="G7" s="97" t="b">
        <v>0</v>
      </c>
      <c r="H7" s="98"/>
      <c r="I7" s="98"/>
      <c r="J7" s="98"/>
      <c r="K7" s="99"/>
      <c r="L7" s="99"/>
      <c r="M7" s="102"/>
      <c r="N7" s="102"/>
      <c r="O7" s="98"/>
      <c r="P7" s="98"/>
      <c r="Q7" s="106"/>
    </row>
    <row r="8">
      <c r="A8" s="96" t="s">
        <v>523</v>
      </c>
      <c r="B8" s="97" t="s">
        <v>631</v>
      </c>
      <c r="C8" s="97" t="s">
        <v>632</v>
      </c>
      <c r="D8" s="97" t="s">
        <v>633</v>
      </c>
      <c r="E8" s="97" t="s">
        <v>616</v>
      </c>
      <c r="F8" s="97" t="b">
        <v>1</v>
      </c>
      <c r="G8" s="97" t="b">
        <v>1</v>
      </c>
      <c r="H8" s="98">
        <f>IF(A8:A2055="", "", COUNTIF(Check!H:H, A7:A2055))</f>
        <v>1</v>
      </c>
      <c r="I8" s="98"/>
      <c r="J8" s="98"/>
      <c r="K8" s="99"/>
      <c r="L8" s="99"/>
      <c r="M8" s="102"/>
      <c r="N8" s="102"/>
      <c r="O8" s="98"/>
      <c r="P8" s="98"/>
      <c r="Q8" s="106"/>
    </row>
    <row r="9">
      <c r="A9" s="96" t="s">
        <v>163</v>
      </c>
      <c r="B9" s="97" t="s">
        <v>634</v>
      </c>
      <c r="C9" s="97" t="s">
        <v>635</v>
      </c>
      <c r="D9" s="97"/>
      <c r="E9" s="97"/>
      <c r="F9" s="97" t="b">
        <v>1</v>
      </c>
      <c r="G9" s="97" t="b">
        <v>1</v>
      </c>
      <c r="H9" s="98">
        <f>IF(A9:A2055="", "", COUNTIF(Check!H:H, A8:A2055))</f>
        <v>1</v>
      </c>
      <c r="I9" s="98"/>
      <c r="J9" s="98"/>
      <c r="K9" s="102"/>
      <c r="L9" s="102"/>
      <c r="M9" s="102"/>
      <c r="N9" s="102"/>
      <c r="O9" s="98"/>
      <c r="P9" s="98"/>
      <c r="Q9" s="98"/>
    </row>
    <row r="10">
      <c r="A10" s="96" t="s">
        <v>636</v>
      </c>
      <c r="B10" s="97" t="s">
        <v>637</v>
      </c>
      <c r="C10" s="97" t="s">
        <v>638</v>
      </c>
      <c r="D10" s="97" t="s">
        <v>639</v>
      </c>
      <c r="E10" s="97" t="s">
        <v>640</v>
      </c>
      <c r="F10" s="97" t="b">
        <v>0</v>
      </c>
      <c r="G10" s="97" t="b">
        <v>0</v>
      </c>
      <c r="H10" s="98"/>
      <c r="I10" s="98"/>
      <c r="J10" s="98"/>
      <c r="K10" s="99"/>
      <c r="L10" s="99"/>
      <c r="M10" s="103"/>
      <c r="N10" s="104"/>
      <c r="O10" s="106"/>
      <c r="P10" s="106"/>
      <c r="Q10" s="98"/>
    </row>
    <row r="11">
      <c r="A11" s="96" t="s">
        <v>512</v>
      </c>
      <c r="B11" s="97" t="s">
        <v>641</v>
      </c>
      <c r="C11" s="97" t="s">
        <v>642</v>
      </c>
      <c r="D11" s="97" t="s">
        <v>643</v>
      </c>
      <c r="E11" s="97" t="s">
        <v>644</v>
      </c>
      <c r="F11" s="97" t="b">
        <v>1</v>
      </c>
      <c r="G11" s="97" t="b">
        <v>1</v>
      </c>
      <c r="H11" s="98">
        <f>IF(A11:A2055="", "", COUNTIF(Check!H:H, A10:A2055))</f>
        <v>1</v>
      </c>
      <c r="I11" s="98"/>
      <c r="J11" s="98"/>
      <c r="K11" s="100"/>
      <c r="L11" s="101"/>
      <c r="M11" s="100"/>
      <c r="N11" s="101"/>
      <c r="O11" s="98"/>
      <c r="P11" s="98"/>
      <c r="Q11" s="98"/>
    </row>
    <row r="12">
      <c r="A12" s="96" t="s">
        <v>645</v>
      </c>
      <c r="B12" s="97" t="s">
        <v>646</v>
      </c>
      <c r="C12" s="97" t="s">
        <v>647</v>
      </c>
      <c r="D12" s="97" t="s">
        <v>648</v>
      </c>
      <c r="E12" s="97" t="s">
        <v>649</v>
      </c>
      <c r="F12" s="97" t="b">
        <v>0</v>
      </c>
      <c r="G12" s="97" t="b">
        <v>0</v>
      </c>
      <c r="H12" s="98"/>
      <c r="I12" s="98"/>
      <c r="J12" s="98"/>
      <c r="K12" s="100" t="s">
        <v>650</v>
      </c>
      <c r="L12" s="107">
        <f>COUNTIFS($D$2:$D$1039, K12, $F$2:$F$1039, TRUE)</f>
        <v>0</v>
      </c>
      <c r="M12" s="100" t="s">
        <v>651</v>
      </c>
      <c r="N12" s="101">
        <f>COUNTIFS($E$2:$E$1039, M12, $F$2:$F$1039, TRUE)</f>
        <v>0</v>
      </c>
      <c r="O12" s="98"/>
      <c r="P12" s="98"/>
      <c r="Q12" s="98"/>
    </row>
    <row r="13">
      <c r="A13" s="96" t="s">
        <v>652</v>
      </c>
      <c r="B13" s="97" t="s">
        <v>653</v>
      </c>
      <c r="C13" s="97" t="s">
        <v>654</v>
      </c>
      <c r="D13" s="97" t="s">
        <v>655</v>
      </c>
      <c r="E13" s="97" t="s">
        <v>586</v>
      </c>
      <c r="F13" s="97" t="b">
        <v>0</v>
      </c>
      <c r="G13" s="97" t="b">
        <v>0</v>
      </c>
      <c r="H13" s="98"/>
      <c r="I13" s="98"/>
      <c r="J13" s="98"/>
      <c r="K13" s="99"/>
      <c r="L13" s="99"/>
      <c r="M13" s="102"/>
      <c r="N13" s="102"/>
      <c r="O13" s="98"/>
      <c r="P13" s="98"/>
      <c r="Q13" s="98"/>
    </row>
    <row r="14">
      <c r="A14" s="96" t="s">
        <v>367</v>
      </c>
      <c r="B14" s="97" t="s">
        <v>656</v>
      </c>
      <c r="C14" s="97" t="s">
        <v>657</v>
      </c>
      <c r="D14" s="97" t="s">
        <v>658</v>
      </c>
      <c r="E14" s="97" t="s">
        <v>659</v>
      </c>
      <c r="F14" s="97" t="b">
        <v>0</v>
      </c>
      <c r="G14" s="97" t="b">
        <v>0</v>
      </c>
      <c r="H14" s="98"/>
      <c r="I14" s="98"/>
      <c r="J14" s="98"/>
      <c r="K14" s="99"/>
      <c r="L14" s="99"/>
      <c r="M14" s="100"/>
      <c r="N14" s="101"/>
      <c r="O14" s="98"/>
      <c r="P14" s="98"/>
      <c r="Q14" s="98"/>
    </row>
    <row r="15">
      <c r="A15" s="96" t="s">
        <v>168</v>
      </c>
      <c r="B15" s="97" t="s">
        <v>660</v>
      </c>
      <c r="C15" s="97" t="s">
        <v>661</v>
      </c>
      <c r="D15" s="97" t="s">
        <v>662</v>
      </c>
      <c r="E15" s="97" t="s">
        <v>663</v>
      </c>
      <c r="F15" s="97" t="b">
        <v>1</v>
      </c>
      <c r="G15" s="97" t="b">
        <v>1</v>
      </c>
      <c r="H15" s="98">
        <f>IF(A15:A2055="", "", COUNTIF(Check!H:H, A14:A2055))</f>
        <v>1</v>
      </c>
      <c r="I15" s="98"/>
      <c r="J15" s="98"/>
      <c r="K15" s="100"/>
      <c r="L15" s="101"/>
      <c r="M15" s="100"/>
      <c r="N15" s="101"/>
      <c r="O15" s="98"/>
      <c r="P15" s="98"/>
      <c r="Q15" s="98"/>
    </row>
    <row r="16">
      <c r="A16" s="96" t="s">
        <v>168</v>
      </c>
      <c r="B16" s="97" t="s">
        <v>660</v>
      </c>
      <c r="C16" s="97" t="s">
        <v>661</v>
      </c>
      <c r="D16" s="97" t="s">
        <v>662</v>
      </c>
      <c r="E16" s="97" t="s">
        <v>663</v>
      </c>
      <c r="F16" s="97" t="b">
        <v>0</v>
      </c>
      <c r="G16" s="97" t="b">
        <v>0</v>
      </c>
      <c r="H16" s="98"/>
      <c r="I16" s="98"/>
      <c r="J16" s="98"/>
      <c r="K16" s="100"/>
      <c r="L16" s="107"/>
      <c r="M16" s="100"/>
      <c r="N16" s="101"/>
      <c r="O16" s="98"/>
      <c r="P16" s="98"/>
      <c r="Q16" s="98"/>
    </row>
    <row r="17">
      <c r="A17" s="96" t="s">
        <v>664</v>
      </c>
      <c r="B17" s="97" t="s">
        <v>665</v>
      </c>
      <c r="C17" s="97" t="s">
        <v>666</v>
      </c>
      <c r="D17" s="97" t="s">
        <v>667</v>
      </c>
      <c r="E17" s="97" t="s">
        <v>582</v>
      </c>
      <c r="F17" s="97" t="b">
        <v>0</v>
      </c>
      <c r="G17" s="97" t="b">
        <v>0</v>
      </c>
      <c r="H17" s="98"/>
      <c r="I17" s="98"/>
      <c r="J17" s="98"/>
      <c r="K17" s="99"/>
      <c r="L17" s="99"/>
      <c r="M17" s="102"/>
      <c r="N17" s="102"/>
      <c r="O17" s="98"/>
      <c r="P17" s="98"/>
      <c r="Q17" s="98"/>
    </row>
    <row r="18">
      <c r="A18" s="96" t="s">
        <v>668</v>
      </c>
      <c r="B18" s="97" t="s">
        <v>669</v>
      </c>
      <c r="C18" s="97" t="s">
        <v>670</v>
      </c>
      <c r="D18" s="97" t="s">
        <v>671</v>
      </c>
      <c r="E18" s="97" t="s">
        <v>630</v>
      </c>
      <c r="F18" s="97" t="b">
        <v>0</v>
      </c>
      <c r="G18" s="97" t="b">
        <v>0</v>
      </c>
      <c r="H18" s="98"/>
      <c r="I18" s="98"/>
      <c r="J18" s="98"/>
      <c r="K18" s="99"/>
      <c r="L18" s="99"/>
      <c r="M18" s="102"/>
      <c r="N18" s="102"/>
      <c r="O18" s="98"/>
      <c r="P18" s="98"/>
      <c r="Q18" s="98"/>
    </row>
    <row r="19">
      <c r="A19" s="96" t="s">
        <v>419</v>
      </c>
      <c r="B19" s="97" t="s">
        <v>672</v>
      </c>
      <c r="C19" s="97" t="s">
        <v>673</v>
      </c>
      <c r="D19" s="97" t="s">
        <v>674</v>
      </c>
      <c r="E19" s="97" t="s">
        <v>586</v>
      </c>
      <c r="F19" s="97" t="b">
        <v>1</v>
      </c>
      <c r="G19" s="97" t="b">
        <v>1</v>
      </c>
      <c r="H19" s="98">
        <f>IF(A19:A2055="", "", COUNTIF(Check!H:H, A18:A2055))</f>
        <v>1</v>
      </c>
      <c r="I19" s="98"/>
      <c r="J19" s="98"/>
      <c r="K19" s="99"/>
      <c r="L19" s="99"/>
      <c r="M19" s="102"/>
      <c r="N19" s="102"/>
      <c r="O19" s="98"/>
      <c r="P19" s="98"/>
      <c r="Q19" s="98"/>
    </row>
    <row r="20">
      <c r="A20" s="96" t="s">
        <v>675</v>
      </c>
      <c r="B20" s="97" t="s">
        <v>676</v>
      </c>
      <c r="C20" s="97" t="s">
        <v>677</v>
      </c>
      <c r="D20" s="97" t="s">
        <v>655</v>
      </c>
      <c r="E20" s="97" t="s">
        <v>678</v>
      </c>
      <c r="F20" s="97" t="b">
        <v>0</v>
      </c>
      <c r="G20" s="97" t="b">
        <v>0</v>
      </c>
      <c r="H20" s="98"/>
      <c r="I20" s="98"/>
      <c r="J20" s="98"/>
      <c r="K20" s="99"/>
      <c r="L20" s="99"/>
      <c r="M20" s="102"/>
      <c r="N20" s="102"/>
      <c r="O20" s="98"/>
      <c r="P20" s="98"/>
      <c r="Q20" s="98"/>
    </row>
    <row r="21">
      <c r="A21" s="96" t="s">
        <v>384</v>
      </c>
      <c r="B21" s="97" t="s">
        <v>679</v>
      </c>
      <c r="C21" s="97" t="s">
        <v>680</v>
      </c>
      <c r="D21" s="97" t="s">
        <v>681</v>
      </c>
      <c r="E21" s="97" t="s">
        <v>616</v>
      </c>
      <c r="F21" s="97" t="b">
        <v>1</v>
      </c>
      <c r="G21" s="97" t="b">
        <v>1</v>
      </c>
      <c r="H21" s="98">
        <f>IF(A21:A2055="", "", COUNTIF(Check!H:H, A20:A2055))</f>
        <v>1</v>
      </c>
      <c r="I21" s="98"/>
      <c r="J21" s="98"/>
      <c r="K21" s="99"/>
      <c r="L21" s="99"/>
      <c r="M21" s="102"/>
      <c r="N21" s="102"/>
      <c r="O21" s="98"/>
      <c r="P21" s="98"/>
      <c r="Q21" s="98"/>
    </row>
    <row r="22">
      <c r="A22" s="96" t="s">
        <v>255</v>
      </c>
      <c r="B22" s="97" t="s">
        <v>682</v>
      </c>
      <c r="C22" s="97" t="s">
        <v>683</v>
      </c>
      <c r="D22" s="97" t="s">
        <v>684</v>
      </c>
      <c r="E22" s="97" t="s">
        <v>685</v>
      </c>
      <c r="F22" s="97" t="b">
        <v>1</v>
      </c>
      <c r="G22" s="97" t="b">
        <v>1</v>
      </c>
      <c r="H22" s="98">
        <f>IF(A22:A2055="", "", COUNTIF(Check!H:H, A21:A2055))</f>
        <v>1</v>
      </c>
      <c r="I22" s="98"/>
      <c r="J22" s="98"/>
      <c r="K22" s="108"/>
      <c r="L22" s="109"/>
      <c r="M22" s="102"/>
      <c r="N22" s="102"/>
      <c r="O22" s="98"/>
      <c r="P22" s="98"/>
      <c r="Q22" s="98"/>
    </row>
    <row r="23">
      <c r="A23" s="96" t="s">
        <v>254</v>
      </c>
      <c r="B23" s="97" t="s">
        <v>686</v>
      </c>
      <c r="C23" s="97" t="s">
        <v>687</v>
      </c>
      <c r="D23" s="97" t="s">
        <v>684</v>
      </c>
      <c r="E23" s="97" t="s">
        <v>688</v>
      </c>
      <c r="F23" s="97" t="b">
        <v>1</v>
      </c>
      <c r="G23" s="97" t="b">
        <v>1</v>
      </c>
      <c r="H23" s="98">
        <f>IF(A23:A2055="", "", COUNTIF(Check!H:H, A22:A2055))</f>
        <v>1</v>
      </c>
      <c r="I23" s="98"/>
      <c r="J23" s="98"/>
      <c r="K23" s="99"/>
      <c r="L23" s="99"/>
      <c r="M23" s="102"/>
      <c r="N23" s="102"/>
      <c r="O23" s="98"/>
      <c r="P23" s="98"/>
      <c r="Q23" s="98"/>
    </row>
    <row r="24">
      <c r="A24" s="96" t="s">
        <v>689</v>
      </c>
      <c r="B24" s="97" t="s">
        <v>690</v>
      </c>
      <c r="C24" s="97" t="s">
        <v>691</v>
      </c>
      <c r="D24" s="97" t="s">
        <v>692</v>
      </c>
      <c r="E24" s="97" t="s">
        <v>693</v>
      </c>
      <c r="F24" s="97" t="b">
        <v>0</v>
      </c>
      <c r="G24" s="97" t="b">
        <v>0</v>
      </c>
      <c r="H24" s="98"/>
      <c r="I24" s="98"/>
      <c r="J24" s="98"/>
      <c r="K24" s="99"/>
      <c r="L24" s="99"/>
      <c r="M24" s="102"/>
      <c r="N24" s="102"/>
      <c r="O24" s="98"/>
      <c r="P24" s="98"/>
      <c r="Q24" s="98"/>
    </row>
    <row r="25">
      <c r="A25" s="96" t="s">
        <v>533</v>
      </c>
      <c r="B25" s="97" t="s">
        <v>694</v>
      </c>
      <c r="C25" s="97" t="s">
        <v>695</v>
      </c>
      <c r="D25" s="97" t="s">
        <v>696</v>
      </c>
      <c r="E25" s="97" t="s">
        <v>697</v>
      </c>
      <c r="F25" s="97" t="b">
        <v>0</v>
      </c>
      <c r="G25" s="97" t="b">
        <v>0</v>
      </c>
      <c r="H25" s="98"/>
      <c r="I25" s="98"/>
      <c r="J25" s="98"/>
      <c r="K25" s="100" t="s">
        <v>698</v>
      </c>
      <c r="L25" s="107">
        <f>COUNTIFS($D$2:$D$1039, K25, $F$2:$F$1039, TRUE)</f>
        <v>2</v>
      </c>
      <c r="M25" s="108" t="s">
        <v>699</v>
      </c>
      <c r="N25" s="109">
        <f>COUNTIFS($E$2:$E$1039, M25, $F$2:$F$1039, TRUE)</f>
        <v>1</v>
      </c>
      <c r="O25" s="106"/>
      <c r="P25" s="106"/>
      <c r="Q25" s="98"/>
    </row>
    <row r="26">
      <c r="A26" s="96" t="s">
        <v>234</v>
      </c>
      <c r="B26" s="97" t="s">
        <v>700</v>
      </c>
      <c r="C26" s="97" t="s">
        <v>701</v>
      </c>
      <c r="D26" s="97"/>
      <c r="E26" s="97"/>
      <c r="F26" s="97" t="b">
        <v>1</v>
      </c>
      <c r="G26" s="97" t="b">
        <v>1</v>
      </c>
      <c r="H26" s="98">
        <f>IF(A26:A2055="", "", COUNTIF(Check!H:H, A25:A2055))</f>
        <v>1</v>
      </c>
      <c r="I26" s="98"/>
      <c r="J26" s="98"/>
      <c r="K26" s="102"/>
      <c r="L26" s="102"/>
      <c r="M26" s="102"/>
      <c r="N26" s="102"/>
      <c r="O26" s="98"/>
      <c r="P26" s="98"/>
      <c r="Q26" s="98"/>
    </row>
    <row r="27">
      <c r="A27" s="96" t="s">
        <v>171</v>
      </c>
      <c r="B27" s="97" t="s">
        <v>702</v>
      </c>
      <c r="C27" s="97" t="s">
        <v>703</v>
      </c>
      <c r="D27" s="97" t="s">
        <v>704</v>
      </c>
      <c r="E27" s="97" t="s">
        <v>663</v>
      </c>
      <c r="F27" s="97" t="b">
        <v>1</v>
      </c>
      <c r="G27" s="97" t="b">
        <v>1</v>
      </c>
      <c r="H27" s="98">
        <f>IF(A27:A2055="", "", COUNTIF(Check!H:H, A26:A2055))</f>
        <v>1</v>
      </c>
      <c r="I27" s="98"/>
      <c r="J27" s="98"/>
      <c r="K27" s="99"/>
      <c r="L27" s="99"/>
      <c r="M27" s="102"/>
      <c r="N27" s="102"/>
      <c r="O27" s="98"/>
      <c r="P27" s="98"/>
      <c r="Q27" s="98"/>
    </row>
    <row r="28">
      <c r="A28" s="96" t="s">
        <v>705</v>
      </c>
      <c r="B28" s="97" t="s">
        <v>706</v>
      </c>
      <c r="C28" s="97" t="s">
        <v>707</v>
      </c>
      <c r="D28" s="97" t="s">
        <v>708</v>
      </c>
      <c r="E28" s="97" t="s">
        <v>644</v>
      </c>
      <c r="F28" s="97" t="b">
        <v>0</v>
      </c>
      <c r="G28" s="97" t="b">
        <v>0</v>
      </c>
      <c r="H28" s="98"/>
      <c r="I28" s="98"/>
      <c r="J28" s="98"/>
      <c r="K28" s="99"/>
      <c r="L28" s="99"/>
      <c r="M28" s="102"/>
      <c r="N28" s="102"/>
      <c r="O28" s="98"/>
      <c r="P28" s="98"/>
      <c r="Q28" s="105"/>
    </row>
    <row r="29">
      <c r="A29" s="96" t="s">
        <v>308</v>
      </c>
      <c r="B29" s="97" t="s">
        <v>709</v>
      </c>
      <c r="C29" s="97" t="s">
        <v>710</v>
      </c>
      <c r="D29" s="97" t="s">
        <v>615</v>
      </c>
      <c r="E29" s="97" t="s">
        <v>711</v>
      </c>
      <c r="F29" s="97" t="b">
        <v>1</v>
      </c>
      <c r="G29" s="97" t="b">
        <v>1</v>
      </c>
      <c r="H29" s="98">
        <f>IF(A29:A2055="", "", COUNTIF(Check!H:H, A28:A2055))</f>
        <v>1</v>
      </c>
      <c r="I29" s="98"/>
      <c r="J29" s="98"/>
      <c r="K29" s="99"/>
      <c r="L29" s="99"/>
      <c r="M29" s="103"/>
      <c r="N29" s="104"/>
      <c r="O29" s="106"/>
      <c r="P29" s="106"/>
      <c r="Q29" s="106"/>
    </row>
    <row r="30">
      <c r="A30" s="96" t="s">
        <v>130</v>
      </c>
      <c r="B30" s="97" t="s">
        <v>712</v>
      </c>
      <c r="C30" s="97" t="s">
        <v>713</v>
      </c>
      <c r="D30" s="97" t="s">
        <v>696</v>
      </c>
      <c r="E30" s="97" t="s">
        <v>586</v>
      </c>
      <c r="F30" s="97" t="b">
        <v>1</v>
      </c>
      <c r="G30" s="97" t="b">
        <v>1</v>
      </c>
      <c r="H30" s="98">
        <f>IF(A30:A2055="", "", COUNTIF(Check!H:H, A29:A2055))</f>
        <v>1</v>
      </c>
      <c r="I30" s="98"/>
      <c r="J30" s="98"/>
      <c r="K30" s="108"/>
      <c r="L30" s="109"/>
      <c r="M30" s="108"/>
      <c r="N30" s="109"/>
      <c r="O30" s="98"/>
      <c r="P30" s="98"/>
      <c r="Q30" s="105"/>
    </row>
    <row r="31">
      <c r="A31" s="96" t="s">
        <v>714</v>
      </c>
      <c r="B31" s="97" t="s">
        <v>715</v>
      </c>
      <c r="C31" s="97" t="s">
        <v>716</v>
      </c>
      <c r="D31" s="97" t="s">
        <v>717</v>
      </c>
      <c r="E31" s="97" t="s">
        <v>718</v>
      </c>
      <c r="F31" s="97" t="b">
        <v>0</v>
      </c>
      <c r="G31" s="97" t="b">
        <v>0</v>
      </c>
      <c r="H31" s="98"/>
      <c r="I31" s="98"/>
      <c r="J31" s="98"/>
      <c r="K31" s="99"/>
      <c r="L31" s="99"/>
      <c r="M31" s="102"/>
      <c r="N31" s="102"/>
      <c r="O31" s="98"/>
      <c r="P31" s="98"/>
      <c r="Q31" s="106"/>
    </row>
    <row r="32">
      <c r="A32" s="96" t="s">
        <v>188</v>
      </c>
      <c r="B32" s="97" t="s">
        <v>719</v>
      </c>
      <c r="C32" s="97" t="s">
        <v>720</v>
      </c>
      <c r="D32" s="97" t="s">
        <v>721</v>
      </c>
      <c r="E32" s="97" t="s">
        <v>722</v>
      </c>
      <c r="F32" s="97" t="b">
        <v>1</v>
      </c>
      <c r="G32" s="97" t="b">
        <v>1</v>
      </c>
      <c r="H32" s="98">
        <f>IF(A32:A2055="", "", COUNTIF(Check!H:H, A31:A2055))</f>
        <v>1</v>
      </c>
      <c r="I32" s="98"/>
      <c r="J32" s="98"/>
      <c r="K32" s="102"/>
      <c r="L32" s="102"/>
      <c r="M32" s="100"/>
      <c r="N32" s="101"/>
      <c r="O32" s="98"/>
      <c r="P32" s="98"/>
      <c r="Q32" s="106"/>
    </row>
    <row r="33">
      <c r="A33" s="96" t="s">
        <v>78</v>
      </c>
      <c r="B33" s="97" t="s">
        <v>723</v>
      </c>
      <c r="C33" s="97" t="s">
        <v>724</v>
      </c>
      <c r="D33" s="97" t="s">
        <v>725</v>
      </c>
      <c r="E33" s="97" t="s">
        <v>697</v>
      </c>
      <c r="F33" s="97" t="b">
        <v>1</v>
      </c>
      <c r="G33" s="97" t="b">
        <v>1</v>
      </c>
      <c r="H33" s="98">
        <f>IF(A33:A2055="", "", COUNTIF(Check!H:H, A32:A2055))</f>
        <v>1</v>
      </c>
      <c r="I33" s="98"/>
      <c r="J33" s="98"/>
      <c r="K33" s="100" t="s">
        <v>726</v>
      </c>
      <c r="L33" s="107">
        <f>COUNTIFS($D$2:$D$1039, K33, $F$2:$F$1039, TRUE)</f>
        <v>2</v>
      </c>
      <c r="M33" s="100" t="s">
        <v>727</v>
      </c>
      <c r="N33" s="101">
        <f>COUNTIFS($E$2:$E$1039, M33, $F$2:$F$1039, TRUE)</f>
        <v>20</v>
      </c>
      <c r="O33" s="98"/>
      <c r="P33" s="98"/>
      <c r="Q33" s="105"/>
    </row>
    <row r="34">
      <c r="A34" s="96" t="s">
        <v>237</v>
      </c>
      <c r="B34" s="97" t="s">
        <v>728</v>
      </c>
      <c r="C34" s="97" t="s">
        <v>729</v>
      </c>
      <c r="D34" s="97"/>
      <c r="E34" s="97"/>
      <c r="F34" s="97" t="b">
        <v>1</v>
      </c>
      <c r="G34" s="97" t="b">
        <v>1</v>
      </c>
      <c r="H34" s="98">
        <f>IF(A34:A2055="", "", COUNTIF(Check!H:H, A33:A2055))</f>
        <v>1</v>
      </c>
      <c r="I34" s="98"/>
      <c r="J34" s="98"/>
      <c r="K34" s="102"/>
      <c r="L34" s="102"/>
      <c r="M34" s="102"/>
      <c r="N34" s="102"/>
      <c r="O34" s="98"/>
      <c r="P34" s="98"/>
      <c r="Q34" s="98"/>
    </row>
    <row r="35">
      <c r="A35" s="96" t="s">
        <v>412</v>
      </c>
      <c r="B35" s="97" t="s">
        <v>730</v>
      </c>
      <c r="C35" s="97" t="s">
        <v>731</v>
      </c>
      <c r="D35" s="97" t="s">
        <v>732</v>
      </c>
      <c r="E35" s="97" t="s">
        <v>733</v>
      </c>
      <c r="F35" s="97" t="b">
        <v>1</v>
      </c>
      <c r="G35" s="97" t="b">
        <v>1</v>
      </c>
      <c r="H35" s="98">
        <f>IF(A35:A2055="", "", COUNTIF(Check!H:H, A34:A2055))</f>
        <v>1</v>
      </c>
      <c r="I35" s="98"/>
      <c r="J35" s="98"/>
      <c r="K35" s="100"/>
      <c r="L35" s="101"/>
      <c r="M35" s="100"/>
      <c r="N35" s="101"/>
      <c r="O35" s="98"/>
      <c r="P35" s="98"/>
      <c r="Q35" s="98"/>
    </row>
    <row r="36">
      <c r="A36" s="96" t="s">
        <v>734</v>
      </c>
      <c r="B36" s="97" t="s">
        <v>735</v>
      </c>
      <c r="C36" s="97" t="s">
        <v>736</v>
      </c>
      <c r="D36" s="97" t="s">
        <v>737</v>
      </c>
      <c r="E36" s="97" t="s">
        <v>688</v>
      </c>
      <c r="F36" s="97" t="b">
        <v>0</v>
      </c>
      <c r="G36" s="97" t="b">
        <v>0</v>
      </c>
      <c r="H36" s="98"/>
      <c r="I36" s="98"/>
      <c r="J36" s="98"/>
      <c r="K36" s="99"/>
      <c r="L36" s="99"/>
      <c r="M36" s="102"/>
      <c r="N36" s="102"/>
      <c r="O36" s="98"/>
      <c r="P36" s="98"/>
      <c r="Q36" s="98"/>
    </row>
    <row r="37">
      <c r="A37" s="96" t="s">
        <v>179</v>
      </c>
      <c r="B37" s="97" t="s">
        <v>738</v>
      </c>
      <c r="C37" s="97" t="s">
        <v>739</v>
      </c>
      <c r="D37" s="97" t="s">
        <v>740</v>
      </c>
      <c r="E37" s="97" t="s">
        <v>733</v>
      </c>
      <c r="F37" s="97" t="b">
        <v>1</v>
      </c>
      <c r="G37" s="97" t="b">
        <v>1</v>
      </c>
      <c r="H37" s="98">
        <f>IF(A37:A2055="", "", COUNTIF(Check!H:H, A36:A2055))</f>
        <v>1</v>
      </c>
      <c r="I37" s="98"/>
      <c r="J37" s="98"/>
      <c r="K37" s="100"/>
      <c r="L37" s="107"/>
      <c r="M37" s="108"/>
      <c r="N37" s="109"/>
      <c r="O37" s="98"/>
      <c r="P37" s="98"/>
      <c r="Q37" s="98"/>
    </row>
    <row r="38">
      <c r="A38" s="96" t="s">
        <v>741</v>
      </c>
      <c r="B38" s="97" t="s">
        <v>742</v>
      </c>
      <c r="C38" s="97" t="s">
        <v>743</v>
      </c>
      <c r="D38" s="97" t="s">
        <v>662</v>
      </c>
      <c r="E38" s="97" t="s">
        <v>727</v>
      </c>
      <c r="F38" s="97" t="b">
        <v>0</v>
      </c>
      <c r="G38" s="97" t="b">
        <v>0</v>
      </c>
      <c r="H38" s="98"/>
      <c r="I38" s="98"/>
      <c r="J38" s="98"/>
      <c r="K38" s="99"/>
      <c r="L38" s="99"/>
      <c r="M38" s="100"/>
      <c r="N38" s="101"/>
      <c r="O38" s="98"/>
      <c r="P38" s="98"/>
      <c r="Q38" s="98"/>
    </row>
    <row r="39">
      <c r="A39" s="96" t="s">
        <v>744</v>
      </c>
      <c r="B39" s="97" t="s">
        <v>745</v>
      </c>
      <c r="C39" s="97" t="s">
        <v>746</v>
      </c>
      <c r="D39" s="97" t="s">
        <v>747</v>
      </c>
      <c r="E39" s="97" t="s">
        <v>748</v>
      </c>
      <c r="F39" s="97" t="b">
        <v>0</v>
      </c>
      <c r="G39" s="97" t="b">
        <v>0</v>
      </c>
      <c r="H39" s="98"/>
      <c r="I39" s="98"/>
      <c r="J39" s="98"/>
      <c r="K39" s="99"/>
      <c r="L39" s="99"/>
      <c r="M39" s="102"/>
      <c r="N39" s="102"/>
      <c r="O39" s="98"/>
      <c r="P39" s="98"/>
      <c r="Q39" s="98"/>
    </row>
    <row r="40">
      <c r="A40" s="96" t="s">
        <v>749</v>
      </c>
      <c r="B40" s="97" t="s">
        <v>750</v>
      </c>
      <c r="C40" s="97" t="s">
        <v>751</v>
      </c>
      <c r="D40" s="97" t="s">
        <v>717</v>
      </c>
      <c r="E40" s="97" t="s">
        <v>752</v>
      </c>
      <c r="F40" s="97" t="b">
        <v>0</v>
      </c>
      <c r="G40" s="97" t="b">
        <v>0</v>
      </c>
      <c r="H40" s="98"/>
      <c r="I40" s="98"/>
      <c r="J40" s="98"/>
      <c r="K40" s="99"/>
      <c r="L40" s="99"/>
      <c r="M40" s="102"/>
      <c r="N40" s="102"/>
      <c r="O40" s="98"/>
      <c r="P40" s="98"/>
      <c r="Q40" s="98"/>
    </row>
    <row r="41">
      <c r="A41" s="96" t="s">
        <v>266</v>
      </c>
      <c r="B41" s="97" t="s">
        <v>753</v>
      </c>
      <c r="C41" s="97" t="s">
        <v>754</v>
      </c>
      <c r="D41" s="97" t="s">
        <v>755</v>
      </c>
      <c r="E41" s="97" t="s">
        <v>611</v>
      </c>
      <c r="F41" s="97" t="b">
        <v>1</v>
      </c>
      <c r="G41" s="97" t="b">
        <v>1</v>
      </c>
      <c r="H41" s="98">
        <f>IF(A41:A2055="", "", COUNTIF(Check!H:H, A40:A2055))</f>
        <v>1</v>
      </c>
      <c r="I41" s="98"/>
      <c r="J41" s="98"/>
      <c r="K41" s="108"/>
      <c r="L41" s="110"/>
      <c r="M41" s="102"/>
      <c r="N41" s="102"/>
      <c r="O41" s="98"/>
      <c r="P41" s="98"/>
      <c r="Q41" s="98"/>
    </row>
    <row r="42">
      <c r="A42" s="96" t="s">
        <v>164</v>
      </c>
      <c r="B42" s="97" t="s">
        <v>756</v>
      </c>
      <c r="C42" s="97" t="s">
        <v>757</v>
      </c>
      <c r="D42" s="97" t="s">
        <v>740</v>
      </c>
      <c r="E42" s="97" t="s">
        <v>663</v>
      </c>
      <c r="F42" s="97" t="b">
        <v>1</v>
      </c>
      <c r="G42" s="97" t="b">
        <v>1</v>
      </c>
      <c r="H42" s="98">
        <f>IF(A42:A2055="", "", COUNTIF(Check!H:H, A41:A2055))</f>
        <v>1</v>
      </c>
      <c r="I42" s="98"/>
      <c r="J42" s="98"/>
      <c r="K42" s="108"/>
      <c r="L42" s="110"/>
      <c r="M42" s="100"/>
      <c r="N42" s="101"/>
      <c r="O42" s="98"/>
      <c r="P42" s="98"/>
      <c r="Q42" s="98"/>
    </row>
    <row r="43">
      <c r="A43" s="96" t="s">
        <v>152</v>
      </c>
      <c r="B43" s="97" t="s">
        <v>758</v>
      </c>
      <c r="C43" s="97" t="s">
        <v>759</v>
      </c>
      <c r="D43" s="97" t="s">
        <v>760</v>
      </c>
      <c r="E43" s="97" t="s">
        <v>761</v>
      </c>
      <c r="F43" s="97" t="b">
        <v>1</v>
      </c>
      <c r="G43" s="97" t="b">
        <v>1</v>
      </c>
      <c r="H43" s="98">
        <f>IF(A43:A2055="", "", COUNTIF(Check!H:H, A42:A2055))</f>
        <v>1</v>
      </c>
      <c r="I43" s="98"/>
      <c r="J43" s="98"/>
      <c r="K43" s="100"/>
      <c r="L43" s="101"/>
      <c r="M43" s="102"/>
      <c r="N43" s="102"/>
      <c r="O43" s="98"/>
      <c r="P43" s="98"/>
      <c r="Q43" s="98"/>
    </row>
    <row r="44">
      <c r="A44" s="96" t="s">
        <v>350</v>
      </c>
      <c r="B44" s="97" t="s">
        <v>762</v>
      </c>
      <c r="C44" s="97" t="s">
        <v>763</v>
      </c>
      <c r="D44" s="97" t="s">
        <v>764</v>
      </c>
      <c r="E44" s="97" t="s">
        <v>582</v>
      </c>
      <c r="F44" s="97" t="b">
        <v>1</v>
      </c>
      <c r="G44" s="97" t="b">
        <v>1</v>
      </c>
      <c r="H44" s="98">
        <f>IF(A44:A2055="", "", COUNTIF(Check!H:H, A43:A2055))</f>
        <v>1</v>
      </c>
      <c r="I44" s="98"/>
      <c r="J44" s="98"/>
      <c r="K44" s="99"/>
      <c r="L44" s="99"/>
      <c r="M44" s="102"/>
      <c r="N44" s="102"/>
      <c r="O44" s="98"/>
      <c r="P44" s="98"/>
      <c r="Q44" s="98"/>
    </row>
    <row r="45">
      <c r="A45" s="96" t="s">
        <v>329</v>
      </c>
      <c r="B45" s="97" t="s">
        <v>765</v>
      </c>
      <c r="C45" s="97" t="s">
        <v>766</v>
      </c>
      <c r="D45" s="97" t="s">
        <v>726</v>
      </c>
      <c r="E45" s="97" t="s">
        <v>767</v>
      </c>
      <c r="F45" s="97" t="b">
        <v>1</v>
      </c>
      <c r="G45" s="97" t="b">
        <v>1</v>
      </c>
      <c r="H45" s="98">
        <f>IF(A45:A2055="", "", COUNTIF(Check!H:H, A44:A2055))</f>
        <v>1</v>
      </c>
      <c r="I45" s="98"/>
      <c r="J45" s="98"/>
      <c r="K45" s="100"/>
      <c r="L45" s="107"/>
      <c r="M45" s="100"/>
      <c r="N45" s="101"/>
      <c r="O45" s="98"/>
      <c r="P45" s="98"/>
      <c r="Q45" s="98"/>
    </row>
    <row r="46">
      <c r="A46" s="96" t="s">
        <v>375</v>
      </c>
      <c r="B46" s="97" t="s">
        <v>768</v>
      </c>
      <c r="C46" s="97" t="s">
        <v>769</v>
      </c>
      <c r="D46" s="97" t="s">
        <v>692</v>
      </c>
      <c r="E46" s="97" t="s">
        <v>770</v>
      </c>
      <c r="F46" s="97" t="b">
        <v>1</v>
      </c>
      <c r="G46" s="97" t="b">
        <v>1</v>
      </c>
      <c r="H46" s="98">
        <f>IF(A46:A2055="", "", COUNTIF(Check!H:H, A45:A2055))</f>
        <v>1</v>
      </c>
      <c r="I46" s="111"/>
      <c r="J46" s="111"/>
      <c r="K46" s="99"/>
      <c r="L46" s="99"/>
      <c r="M46" s="102"/>
      <c r="N46" s="102"/>
      <c r="O46" s="111"/>
      <c r="P46" s="111"/>
      <c r="Q46" s="98"/>
    </row>
    <row r="47">
      <c r="A47" s="96" t="s">
        <v>192</v>
      </c>
      <c r="B47" s="97" t="s">
        <v>771</v>
      </c>
      <c r="C47" s="97" t="s">
        <v>772</v>
      </c>
      <c r="D47" s="97" t="s">
        <v>773</v>
      </c>
      <c r="E47" s="97" t="s">
        <v>722</v>
      </c>
      <c r="F47" s="97" t="b">
        <v>1</v>
      </c>
      <c r="G47" s="97" t="b">
        <v>1</v>
      </c>
      <c r="H47" s="98">
        <f>IF(A47:A2055="", "", COUNTIF(Check!H:H, A46:A2055))</f>
        <v>1</v>
      </c>
      <c r="I47" s="98"/>
      <c r="J47" s="98"/>
      <c r="K47" s="102"/>
      <c r="L47" s="102"/>
      <c r="M47" s="100"/>
      <c r="N47" s="101"/>
      <c r="O47" s="98"/>
      <c r="P47" s="98"/>
      <c r="Q47" s="98"/>
    </row>
    <row r="48">
      <c r="A48" s="96" t="s">
        <v>442</v>
      </c>
      <c r="B48" s="97" t="s">
        <v>774</v>
      </c>
      <c r="C48" s="97" t="s">
        <v>775</v>
      </c>
      <c r="D48" s="97" t="s">
        <v>776</v>
      </c>
      <c r="E48" s="97" t="s">
        <v>649</v>
      </c>
      <c r="F48" s="97" t="b">
        <v>1</v>
      </c>
      <c r="G48" s="97" t="b">
        <v>1</v>
      </c>
      <c r="H48" s="98">
        <f>IF(A48:A2055="", "", COUNTIF(Check!H:H, A47:A2055))</f>
        <v>1</v>
      </c>
      <c r="I48" s="98"/>
      <c r="J48" s="98"/>
      <c r="K48" s="100" t="s">
        <v>708</v>
      </c>
      <c r="L48" s="101">
        <f>COUNTIFS($D$2:$D$1039, K48, $F$2:$F$1039, TRUE)</f>
        <v>3</v>
      </c>
      <c r="M48" s="100" t="s">
        <v>777</v>
      </c>
      <c r="N48" s="101">
        <f>COUNTIFS($E$2:$E$1039, M48, $F$2:$F$1039, TRUE)</f>
        <v>5</v>
      </c>
      <c r="O48" s="98"/>
      <c r="P48" s="98"/>
      <c r="Q48" s="98"/>
    </row>
    <row r="49">
      <c r="A49" s="96" t="s">
        <v>525</v>
      </c>
      <c r="B49" s="97" t="s">
        <v>774</v>
      </c>
      <c r="C49" s="97" t="s">
        <v>778</v>
      </c>
      <c r="D49" s="97" t="s">
        <v>658</v>
      </c>
      <c r="E49" s="97" t="s">
        <v>586</v>
      </c>
      <c r="F49" s="97" t="b">
        <v>1</v>
      </c>
      <c r="G49" s="97" t="b">
        <v>1</v>
      </c>
      <c r="H49" s="98">
        <f>IF(A49:A2055="", "", COUNTIF(Check!H:H, A48:A2055))</f>
        <v>1</v>
      </c>
      <c r="I49" s="98"/>
      <c r="J49" s="98"/>
      <c r="K49" s="99"/>
      <c r="L49" s="99"/>
      <c r="M49" s="102"/>
      <c r="N49" s="102"/>
      <c r="O49" s="98"/>
      <c r="P49" s="98"/>
      <c r="Q49" s="98"/>
    </row>
    <row r="50">
      <c r="A50" s="96" t="s">
        <v>481</v>
      </c>
      <c r="B50" s="97" t="s">
        <v>779</v>
      </c>
      <c r="C50" s="97" t="s">
        <v>780</v>
      </c>
      <c r="D50" s="97" t="s">
        <v>781</v>
      </c>
      <c r="E50" s="97" t="s">
        <v>607</v>
      </c>
      <c r="F50" s="97" t="b">
        <v>1</v>
      </c>
      <c r="G50" s="97" t="b">
        <v>1</v>
      </c>
      <c r="H50" s="98">
        <f>IF(A50:A2055="", "", COUNTIF(Check!H:H, A49:A2055))</f>
        <v>1</v>
      </c>
      <c r="I50" s="98"/>
      <c r="J50" s="98"/>
      <c r="K50" s="108"/>
      <c r="L50" s="109"/>
      <c r="M50" s="100"/>
      <c r="N50" s="101"/>
      <c r="O50" s="98"/>
      <c r="P50" s="98"/>
      <c r="Q50" s="98"/>
    </row>
    <row r="51">
      <c r="A51" s="96" t="s">
        <v>201</v>
      </c>
      <c r="B51" s="97" t="s">
        <v>782</v>
      </c>
      <c r="C51" s="97" t="s">
        <v>783</v>
      </c>
      <c r="D51" s="97" t="s">
        <v>784</v>
      </c>
      <c r="E51" s="97" t="s">
        <v>761</v>
      </c>
      <c r="F51" s="97" t="b">
        <v>1</v>
      </c>
      <c r="G51" s="97" t="b">
        <v>1</v>
      </c>
      <c r="H51" s="98">
        <f>IF(A51:A2055="", "", COUNTIF(Check!H:H, A50:A2055))</f>
        <v>1</v>
      </c>
      <c r="I51" s="98"/>
      <c r="J51" s="98"/>
      <c r="K51" s="100"/>
      <c r="L51" s="101"/>
      <c r="M51" s="100"/>
      <c r="N51" s="101"/>
      <c r="O51" s="98"/>
      <c r="P51" s="98"/>
      <c r="Q51" s="98"/>
    </row>
    <row r="52">
      <c r="A52" s="96" t="s">
        <v>785</v>
      </c>
      <c r="B52" s="97" t="s">
        <v>786</v>
      </c>
      <c r="C52" s="97" t="s">
        <v>787</v>
      </c>
      <c r="D52" s="97" t="s">
        <v>788</v>
      </c>
      <c r="E52" s="97" t="s">
        <v>789</v>
      </c>
      <c r="F52" s="97" t="b">
        <v>0</v>
      </c>
      <c r="G52" s="97" t="b">
        <v>0</v>
      </c>
      <c r="H52" s="98"/>
      <c r="I52" s="98"/>
      <c r="J52" s="98"/>
      <c r="K52" s="102"/>
      <c r="L52" s="102"/>
      <c r="M52" s="100"/>
      <c r="N52" s="101"/>
      <c r="O52" s="98"/>
      <c r="P52" s="98"/>
      <c r="Q52" s="98"/>
    </row>
    <row r="53">
      <c r="A53" s="96" t="s">
        <v>304</v>
      </c>
      <c r="B53" s="97" t="s">
        <v>790</v>
      </c>
      <c r="C53" s="97" t="s">
        <v>791</v>
      </c>
      <c r="D53" s="97" t="s">
        <v>792</v>
      </c>
      <c r="E53" s="97" t="s">
        <v>607</v>
      </c>
      <c r="F53" s="97" t="b">
        <v>1</v>
      </c>
      <c r="G53" s="97" t="b">
        <v>1</v>
      </c>
      <c r="H53" s="98">
        <f>IF(A53:A2055="", "", COUNTIF(Check!H:H, A52:A2055))</f>
        <v>1</v>
      </c>
      <c r="I53" s="98"/>
      <c r="J53" s="98"/>
      <c r="K53" s="99"/>
      <c r="L53" s="99"/>
      <c r="M53" s="100"/>
      <c r="N53" s="101"/>
      <c r="O53" s="98"/>
      <c r="P53" s="98"/>
      <c r="Q53" s="98"/>
    </row>
    <row r="54">
      <c r="A54" s="96" t="s">
        <v>793</v>
      </c>
      <c r="B54" s="97" t="s">
        <v>794</v>
      </c>
      <c r="C54" s="97" t="s">
        <v>795</v>
      </c>
      <c r="D54" s="97" t="s">
        <v>610</v>
      </c>
      <c r="E54" s="97" t="s">
        <v>659</v>
      </c>
      <c r="F54" s="97" t="b">
        <v>0</v>
      </c>
      <c r="G54" s="97" t="b">
        <v>0</v>
      </c>
      <c r="H54" s="98"/>
      <c r="I54" s="98"/>
      <c r="J54" s="98"/>
      <c r="K54" s="99"/>
      <c r="L54" s="99"/>
      <c r="M54" s="100"/>
      <c r="N54" s="101"/>
      <c r="O54" s="98"/>
      <c r="P54" s="98"/>
      <c r="Q54" s="98"/>
    </row>
    <row r="55">
      <c r="A55" s="96" t="s">
        <v>511</v>
      </c>
      <c r="B55" s="97" t="s">
        <v>796</v>
      </c>
      <c r="C55" s="97" t="s">
        <v>797</v>
      </c>
      <c r="D55" s="97" t="s">
        <v>619</v>
      </c>
      <c r="E55" s="97" t="s">
        <v>644</v>
      </c>
      <c r="F55" s="97" t="b">
        <v>1</v>
      </c>
      <c r="G55" s="97" t="b">
        <v>1</v>
      </c>
      <c r="H55" s="98">
        <f>IF(A55:A2055="", "", COUNTIF(Check!H:H, A54:A2055))</f>
        <v>1</v>
      </c>
      <c r="I55" s="98"/>
      <c r="J55" s="98"/>
      <c r="K55" s="100"/>
      <c r="L55" s="101"/>
      <c r="M55" s="100"/>
      <c r="N55" s="101"/>
      <c r="O55" s="98"/>
      <c r="P55" s="98"/>
      <c r="Q55" s="98"/>
    </row>
    <row r="56">
      <c r="A56" s="96" t="s">
        <v>798</v>
      </c>
      <c r="B56" s="97" t="s">
        <v>799</v>
      </c>
      <c r="C56" s="97" t="s">
        <v>800</v>
      </c>
      <c r="D56" s="97" t="s">
        <v>801</v>
      </c>
      <c r="E56" s="97" t="s">
        <v>802</v>
      </c>
      <c r="F56" s="97" t="b">
        <v>0</v>
      </c>
      <c r="G56" s="97" t="b">
        <v>0</v>
      </c>
      <c r="H56" s="98"/>
      <c r="I56" s="98"/>
      <c r="J56" s="98"/>
      <c r="K56" s="99"/>
      <c r="L56" s="99"/>
      <c r="M56" s="102"/>
      <c r="N56" s="102"/>
      <c r="O56" s="98"/>
      <c r="P56" s="98"/>
      <c r="Q56" s="98"/>
    </row>
    <row r="57">
      <c r="A57" s="96" t="s">
        <v>803</v>
      </c>
      <c r="B57" s="97" t="s">
        <v>804</v>
      </c>
      <c r="C57" s="97" t="s">
        <v>805</v>
      </c>
      <c r="D57" s="97" t="s">
        <v>606</v>
      </c>
      <c r="E57" s="97" t="s">
        <v>688</v>
      </c>
      <c r="F57" s="97" t="b">
        <v>0</v>
      </c>
      <c r="G57" s="97" t="b">
        <v>0</v>
      </c>
      <c r="H57" s="98"/>
      <c r="I57" s="98"/>
      <c r="J57" s="98"/>
      <c r="K57" s="99"/>
      <c r="L57" s="99"/>
      <c r="M57" s="102"/>
      <c r="N57" s="102"/>
      <c r="O57" s="98"/>
      <c r="P57" s="98"/>
      <c r="Q57" s="98"/>
    </row>
    <row r="58">
      <c r="A58" s="96" t="s">
        <v>803</v>
      </c>
      <c r="B58" s="97" t="s">
        <v>804</v>
      </c>
      <c r="C58" s="97" t="s">
        <v>805</v>
      </c>
      <c r="D58" s="97" t="s">
        <v>606</v>
      </c>
      <c r="E58" s="97" t="s">
        <v>688</v>
      </c>
      <c r="F58" s="97" t="b">
        <v>0</v>
      </c>
      <c r="G58" s="97" t="b">
        <v>0</v>
      </c>
      <c r="H58" s="98"/>
      <c r="I58" s="98"/>
      <c r="J58" s="98"/>
      <c r="K58" s="99"/>
      <c r="L58" s="99"/>
      <c r="M58" s="102"/>
      <c r="N58" s="102"/>
      <c r="O58" s="98"/>
      <c r="P58" s="98"/>
      <c r="Q58" s="98"/>
    </row>
    <row r="59">
      <c r="A59" s="96" t="s">
        <v>806</v>
      </c>
      <c r="B59" s="97" t="s">
        <v>807</v>
      </c>
      <c r="C59" s="97" t="s">
        <v>808</v>
      </c>
      <c r="D59" s="97" t="s">
        <v>708</v>
      </c>
      <c r="E59" s="97" t="s">
        <v>663</v>
      </c>
      <c r="F59" s="97" t="b">
        <v>0</v>
      </c>
      <c r="G59" s="97" t="b">
        <v>0</v>
      </c>
      <c r="H59" s="98"/>
      <c r="I59" s="98"/>
      <c r="J59" s="98"/>
      <c r="K59" s="99"/>
      <c r="L59" s="99"/>
      <c r="M59" s="102"/>
      <c r="N59" s="102"/>
      <c r="O59" s="98"/>
      <c r="P59" s="98"/>
      <c r="Q59" s="98"/>
    </row>
    <row r="60">
      <c r="A60" s="96" t="s">
        <v>352</v>
      </c>
      <c r="B60" s="97" t="s">
        <v>809</v>
      </c>
      <c r="C60" s="97" t="s">
        <v>810</v>
      </c>
      <c r="D60" s="97" t="s">
        <v>788</v>
      </c>
      <c r="E60" s="97" t="s">
        <v>582</v>
      </c>
      <c r="F60" s="97" t="b">
        <v>1</v>
      </c>
      <c r="G60" s="97" t="b">
        <v>1</v>
      </c>
      <c r="H60" s="98">
        <f>IF(A60:A2055="", "", COUNTIF(Check!H:H, A59:A2055))</f>
        <v>1</v>
      </c>
      <c r="I60" s="98"/>
      <c r="J60" s="98"/>
      <c r="K60" s="99"/>
      <c r="L60" s="99"/>
      <c r="M60" s="100"/>
      <c r="N60" s="101"/>
      <c r="O60" s="98"/>
      <c r="P60" s="98"/>
      <c r="Q60" s="98"/>
    </row>
    <row r="61">
      <c r="A61" s="96" t="s">
        <v>811</v>
      </c>
      <c r="B61" s="97" t="s">
        <v>812</v>
      </c>
      <c r="C61" s="97" t="s">
        <v>813</v>
      </c>
      <c r="D61" s="97" t="s">
        <v>814</v>
      </c>
      <c r="E61" s="97" t="s">
        <v>649</v>
      </c>
      <c r="F61" s="97" t="b">
        <v>0</v>
      </c>
      <c r="G61" s="97" t="b">
        <v>0</v>
      </c>
      <c r="H61" s="98"/>
      <c r="I61" s="98"/>
      <c r="J61" s="98"/>
      <c r="K61" s="100" t="s">
        <v>815</v>
      </c>
      <c r="L61" s="107">
        <f>COUNTIFS($D$2:$D$1039, K61, $F$2:$F$1039, TRUE)</f>
        <v>5</v>
      </c>
      <c r="M61" s="100" t="s">
        <v>611</v>
      </c>
      <c r="N61" s="101">
        <f>COUNTIFS($E$2:$E$1039, M61, $F$2:$F$1039, TRUE)</f>
        <v>19</v>
      </c>
      <c r="O61" s="105"/>
      <c r="P61" s="105"/>
      <c r="Q61" s="98"/>
    </row>
    <row r="62">
      <c r="A62" s="96" t="s">
        <v>540</v>
      </c>
      <c r="B62" s="97" t="s">
        <v>816</v>
      </c>
      <c r="C62" s="97" t="s">
        <v>817</v>
      </c>
      <c r="D62" s="97" t="s">
        <v>615</v>
      </c>
      <c r="E62" s="97" t="s">
        <v>659</v>
      </c>
      <c r="F62" s="97" t="b">
        <v>1</v>
      </c>
      <c r="G62" s="97" t="b">
        <v>1</v>
      </c>
      <c r="H62" s="98">
        <f>IF(A62:A2055="", "", COUNTIF(Check!H:H, A61:A2055))</f>
        <v>1</v>
      </c>
      <c r="I62" s="98"/>
      <c r="J62" s="98"/>
      <c r="K62" s="99"/>
      <c r="L62" s="99"/>
      <c r="M62" s="103"/>
      <c r="N62" s="104"/>
      <c r="O62" s="106"/>
      <c r="P62" s="106"/>
      <c r="Q62" s="98"/>
    </row>
    <row r="63">
      <c r="A63" s="96" t="s">
        <v>818</v>
      </c>
      <c r="B63" s="97" t="s">
        <v>819</v>
      </c>
      <c r="C63" s="97" t="s">
        <v>820</v>
      </c>
      <c r="D63" s="97" t="s">
        <v>821</v>
      </c>
      <c r="E63" s="97" t="s">
        <v>822</v>
      </c>
      <c r="F63" s="97" t="b">
        <v>0</v>
      </c>
      <c r="G63" s="97" t="b">
        <v>0</v>
      </c>
      <c r="H63" s="98"/>
      <c r="I63" s="98"/>
      <c r="J63" s="98"/>
      <c r="K63" s="99"/>
      <c r="L63" s="99"/>
      <c r="M63" s="102"/>
      <c r="N63" s="102"/>
      <c r="O63" s="98"/>
      <c r="P63" s="98"/>
      <c r="Q63" s="98"/>
    </row>
    <row r="64">
      <c r="A64" s="96" t="s">
        <v>823</v>
      </c>
      <c r="B64" s="97" t="s">
        <v>824</v>
      </c>
      <c r="C64" s="97" t="s">
        <v>825</v>
      </c>
      <c r="D64" s="97" t="s">
        <v>826</v>
      </c>
      <c r="E64" s="97" t="s">
        <v>630</v>
      </c>
      <c r="F64" s="97" t="b">
        <v>0</v>
      </c>
      <c r="G64" s="97" t="b">
        <v>0</v>
      </c>
      <c r="H64" s="98"/>
      <c r="I64" s="98"/>
      <c r="J64" s="98"/>
      <c r="K64" s="99"/>
      <c r="L64" s="99"/>
      <c r="M64" s="102"/>
      <c r="N64" s="102"/>
      <c r="O64" s="98"/>
      <c r="P64" s="98"/>
      <c r="Q64" s="98"/>
    </row>
    <row r="65">
      <c r="A65" s="96" t="s">
        <v>827</v>
      </c>
      <c r="B65" s="97" t="s">
        <v>828</v>
      </c>
      <c r="C65" s="97" t="s">
        <v>829</v>
      </c>
      <c r="D65" s="97" t="s">
        <v>801</v>
      </c>
      <c r="E65" s="97" t="s">
        <v>830</v>
      </c>
      <c r="F65" s="97" t="b">
        <v>0</v>
      </c>
      <c r="G65" s="97" t="b">
        <v>0</v>
      </c>
      <c r="H65" s="98"/>
      <c r="I65" s="98"/>
      <c r="J65" s="98"/>
      <c r="K65" s="100"/>
      <c r="L65" s="101"/>
      <c r="M65" s="102"/>
      <c r="N65" s="102"/>
      <c r="O65" s="98"/>
      <c r="P65" s="98"/>
      <c r="Q65" s="98"/>
    </row>
    <row r="66">
      <c r="A66" s="96" t="s">
        <v>831</v>
      </c>
      <c r="B66" s="97" t="s">
        <v>832</v>
      </c>
      <c r="C66" s="97" t="s">
        <v>833</v>
      </c>
      <c r="D66" s="97" t="s">
        <v>834</v>
      </c>
      <c r="E66" s="97" t="s">
        <v>630</v>
      </c>
      <c r="F66" s="97" t="b">
        <v>0</v>
      </c>
      <c r="G66" s="97" t="b">
        <v>0</v>
      </c>
      <c r="H66" s="98"/>
      <c r="I66" s="98"/>
      <c r="J66" s="98"/>
      <c r="K66" s="99"/>
      <c r="L66" s="99"/>
      <c r="M66" s="100"/>
      <c r="N66" s="101"/>
      <c r="O66" s="98"/>
      <c r="P66" s="98"/>
      <c r="Q66" s="98"/>
    </row>
    <row r="67">
      <c r="A67" s="96" t="s">
        <v>835</v>
      </c>
      <c r="B67" s="97" t="s">
        <v>836</v>
      </c>
      <c r="C67" s="97" t="s">
        <v>837</v>
      </c>
      <c r="D67" s="97" t="s">
        <v>764</v>
      </c>
      <c r="E67" s="97" t="s">
        <v>761</v>
      </c>
      <c r="F67" s="97" t="b">
        <v>0</v>
      </c>
      <c r="G67" s="97" t="b">
        <v>0</v>
      </c>
      <c r="H67" s="98"/>
      <c r="I67" s="98"/>
      <c r="J67" s="98"/>
      <c r="K67" s="100"/>
      <c r="L67" s="107"/>
      <c r="M67" s="102"/>
      <c r="N67" s="102"/>
      <c r="O67" s="98"/>
      <c r="P67" s="98"/>
      <c r="Q67" s="106"/>
    </row>
    <row r="68">
      <c r="A68" s="96" t="s">
        <v>838</v>
      </c>
      <c r="B68" s="97" t="s">
        <v>839</v>
      </c>
      <c r="C68" s="97" t="s">
        <v>840</v>
      </c>
      <c r="D68" s="97" t="s">
        <v>643</v>
      </c>
      <c r="E68" s="97" t="s">
        <v>841</v>
      </c>
      <c r="F68" s="97" t="b">
        <v>0</v>
      </c>
      <c r="G68" s="97" t="b">
        <v>0</v>
      </c>
      <c r="H68" s="98"/>
      <c r="I68" s="98"/>
      <c r="J68" s="98"/>
      <c r="K68" s="99"/>
      <c r="L68" s="99"/>
      <c r="M68" s="108"/>
      <c r="N68" s="109"/>
      <c r="O68" s="98"/>
      <c r="P68" s="98"/>
      <c r="Q68" s="105"/>
    </row>
    <row r="69">
      <c r="A69" s="96" t="s">
        <v>368</v>
      </c>
      <c r="B69" s="97" t="s">
        <v>842</v>
      </c>
      <c r="C69" s="97" t="s">
        <v>843</v>
      </c>
      <c r="D69" s="97" t="s">
        <v>844</v>
      </c>
      <c r="E69" s="97" t="s">
        <v>685</v>
      </c>
      <c r="F69" s="97" t="b">
        <v>1</v>
      </c>
      <c r="G69" s="97" t="b">
        <v>1</v>
      </c>
      <c r="H69" s="98">
        <f>IF(A69:A2055="", "", COUNTIF(Check!H:H, A68:A2055))</f>
        <v>1</v>
      </c>
      <c r="I69" s="98"/>
      <c r="J69" s="98"/>
      <c r="K69" s="108"/>
      <c r="L69" s="109"/>
      <c r="M69" s="102"/>
      <c r="N69" s="102"/>
      <c r="O69" s="98"/>
      <c r="P69" s="98"/>
      <c r="Q69" s="106"/>
    </row>
    <row r="70">
      <c r="A70" s="96" t="s">
        <v>449</v>
      </c>
      <c r="B70" s="97" t="s">
        <v>845</v>
      </c>
      <c r="C70" s="97" t="s">
        <v>846</v>
      </c>
      <c r="D70" s="97" t="s">
        <v>655</v>
      </c>
      <c r="E70" s="97" t="s">
        <v>649</v>
      </c>
      <c r="F70" s="97" t="b">
        <v>1</v>
      </c>
      <c r="G70" s="97" t="b">
        <v>1</v>
      </c>
      <c r="H70" s="98">
        <f>IF(A70:A2055="", "", COUNTIF(Check!H:H, A69:A2055))</f>
        <v>1</v>
      </c>
      <c r="I70" s="98"/>
      <c r="J70" s="98"/>
      <c r="K70" s="100" t="s">
        <v>847</v>
      </c>
      <c r="L70" s="107">
        <f>COUNTIFS($D$2:$D$1039, K70, $F$2:$F$1039, TRUE)</f>
        <v>11</v>
      </c>
      <c r="M70" s="100" t="s">
        <v>848</v>
      </c>
      <c r="N70" s="101">
        <f>COUNTIFS($E$2:$E$1039, M70, $F$2:$F$1039, TRUE)</f>
        <v>0</v>
      </c>
      <c r="O70" s="98"/>
      <c r="P70" s="98"/>
      <c r="Q70" s="105"/>
    </row>
    <row r="71">
      <c r="A71" s="96" t="s">
        <v>849</v>
      </c>
      <c r="B71" s="97" t="s">
        <v>850</v>
      </c>
      <c r="C71" s="97" t="s">
        <v>851</v>
      </c>
      <c r="D71" s="97" t="s">
        <v>633</v>
      </c>
      <c r="E71" s="97" t="s">
        <v>586</v>
      </c>
      <c r="F71" s="97" t="b">
        <v>1</v>
      </c>
      <c r="G71" s="97" t="b">
        <v>1</v>
      </c>
      <c r="H71" s="98">
        <f>IF(A71:A2055="", "", COUNTIF(Check!H:H, A70:A2055))</f>
        <v>1</v>
      </c>
      <c r="I71" s="98"/>
      <c r="J71" s="98"/>
      <c r="K71" s="99"/>
      <c r="L71" s="99"/>
      <c r="M71" s="102"/>
      <c r="N71" s="102"/>
      <c r="O71" s="98"/>
      <c r="P71" s="98"/>
      <c r="Q71" s="106"/>
    </row>
    <row r="72">
      <c r="A72" s="96" t="s">
        <v>529</v>
      </c>
      <c r="B72" s="97" t="s">
        <v>852</v>
      </c>
      <c r="C72" s="97" t="s">
        <v>853</v>
      </c>
      <c r="D72" s="97" t="s">
        <v>854</v>
      </c>
      <c r="E72" s="97" t="s">
        <v>582</v>
      </c>
      <c r="F72" s="97" t="b">
        <v>1</v>
      </c>
      <c r="G72" s="97" t="b">
        <v>1</v>
      </c>
      <c r="H72" s="98">
        <f>IF(A72:A2055="", "", COUNTIF(Check!H:H, A71:A2055))</f>
        <v>1</v>
      </c>
      <c r="I72" s="98"/>
      <c r="J72" s="98"/>
      <c r="K72" s="99"/>
      <c r="L72" s="99"/>
      <c r="M72" s="100"/>
      <c r="N72" s="101"/>
      <c r="O72" s="98"/>
      <c r="P72" s="98"/>
      <c r="Q72" s="105"/>
    </row>
    <row r="73">
      <c r="A73" s="96" t="s">
        <v>64</v>
      </c>
      <c r="B73" s="97" t="s">
        <v>855</v>
      </c>
      <c r="C73" s="97" t="s">
        <v>856</v>
      </c>
      <c r="D73" s="97" t="s">
        <v>857</v>
      </c>
      <c r="E73" s="97" t="s">
        <v>733</v>
      </c>
      <c r="F73" s="97" t="b">
        <v>1</v>
      </c>
      <c r="G73" s="97" t="b">
        <v>1</v>
      </c>
      <c r="H73" s="98">
        <f>IF(A73:A2055="", "", COUNTIF(Check!H:H, A72:A2055))</f>
        <v>1</v>
      </c>
      <c r="I73" s="98"/>
      <c r="J73" s="98"/>
      <c r="K73" s="102"/>
      <c r="L73" s="102"/>
      <c r="M73" s="100"/>
      <c r="N73" s="101"/>
      <c r="O73" s="98"/>
      <c r="P73" s="98"/>
      <c r="Q73" s="98"/>
    </row>
    <row r="74">
      <c r="A74" s="96" t="s">
        <v>534</v>
      </c>
      <c r="B74" s="97" t="s">
        <v>858</v>
      </c>
      <c r="C74" s="97" t="s">
        <v>859</v>
      </c>
      <c r="D74" s="97" t="s">
        <v>619</v>
      </c>
      <c r="E74" s="97" t="s">
        <v>630</v>
      </c>
      <c r="F74" s="97" t="b">
        <v>0</v>
      </c>
      <c r="G74" s="97" t="b">
        <v>0</v>
      </c>
      <c r="H74" s="98"/>
      <c r="I74" s="98"/>
      <c r="J74" s="98"/>
      <c r="K74" s="99"/>
      <c r="L74" s="99"/>
      <c r="M74" s="102"/>
      <c r="N74" s="102"/>
      <c r="O74" s="98"/>
      <c r="P74" s="98"/>
      <c r="Q74" s="98"/>
    </row>
    <row r="75">
      <c r="A75" s="96" t="s">
        <v>399</v>
      </c>
      <c r="B75" s="97" t="s">
        <v>860</v>
      </c>
      <c r="C75" s="97" t="s">
        <v>861</v>
      </c>
      <c r="D75" s="97"/>
      <c r="E75" s="97"/>
      <c r="F75" s="97" t="b">
        <v>1</v>
      </c>
      <c r="G75" s="97" t="b">
        <v>1</v>
      </c>
      <c r="H75" s="98">
        <f>IF(A75:A2055="", "", COUNTIF(Check!H:H, A74:A2055))</f>
        <v>1</v>
      </c>
      <c r="I75" s="98"/>
      <c r="J75" s="98"/>
      <c r="K75" s="102"/>
      <c r="L75" s="102"/>
      <c r="M75" s="102"/>
      <c r="N75" s="102"/>
      <c r="O75" s="98"/>
      <c r="P75" s="98"/>
      <c r="Q75" s="98"/>
    </row>
    <row r="76">
      <c r="A76" s="96" t="s">
        <v>566</v>
      </c>
      <c r="B76" s="97" t="s">
        <v>862</v>
      </c>
      <c r="C76" s="97" t="s">
        <v>863</v>
      </c>
      <c r="D76" s="97" t="s">
        <v>655</v>
      </c>
      <c r="E76" s="97" t="s">
        <v>688</v>
      </c>
      <c r="F76" s="97" t="b">
        <v>0</v>
      </c>
      <c r="G76" s="97" t="b">
        <v>0</v>
      </c>
      <c r="H76" s="98"/>
      <c r="I76" s="98"/>
      <c r="J76" s="98"/>
      <c r="K76" s="99"/>
      <c r="L76" s="99"/>
      <c r="M76" s="102"/>
      <c r="N76" s="102"/>
      <c r="O76" s="98"/>
      <c r="P76" s="98"/>
      <c r="Q76" s="98"/>
    </row>
    <row r="77">
      <c r="A77" s="96" t="s">
        <v>235</v>
      </c>
      <c r="B77" s="97" t="s">
        <v>864</v>
      </c>
      <c r="C77" s="97" t="s">
        <v>865</v>
      </c>
      <c r="D77" s="97" t="s">
        <v>784</v>
      </c>
      <c r="E77" s="97" t="s">
        <v>761</v>
      </c>
      <c r="F77" s="97" t="b">
        <v>1</v>
      </c>
      <c r="G77" s="97" t="b">
        <v>1</v>
      </c>
      <c r="H77" s="98">
        <f>IF(A77:A2055="", "", COUNTIF(Check!H:H, A76:A2055))</f>
        <v>1</v>
      </c>
      <c r="I77" s="98"/>
      <c r="J77" s="98"/>
      <c r="K77" s="100"/>
      <c r="L77" s="101"/>
      <c r="M77" s="100"/>
      <c r="N77" s="101"/>
      <c r="O77" s="98"/>
      <c r="P77" s="98"/>
      <c r="Q77" s="98"/>
    </row>
    <row r="78">
      <c r="A78" s="96" t="s">
        <v>542</v>
      </c>
      <c r="B78" s="97" t="s">
        <v>866</v>
      </c>
      <c r="C78" s="97" t="s">
        <v>867</v>
      </c>
      <c r="D78" s="97" t="s">
        <v>684</v>
      </c>
      <c r="E78" s="97" t="s">
        <v>659</v>
      </c>
      <c r="F78" s="97" t="b">
        <v>1</v>
      </c>
      <c r="G78" s="97" t="b">
        <v>1</v>
      </c>
      <c r="H78" s="98">
        <f>IF(A78:A2055="", "", COUNTIF(Check!H:H, A77:A2055))</f>
        <v>1</v>
      </c>
      <c r="I78" s="98"/>
      <c r="J78" s="98"/>
      <c r="K78" s="108"/>
      <c r="L78" s="110"/>
      <c r="M78" s="102"/>
      <c r="N78" s="102"/>
      <c r="O78" s="98"/>
      <c r="P78" s="98"/>
      <c r="Q78" s="98"/>
    </row>
    <row r="79">
      <c r="A79" s="96" t="s">
        <v>27</v>
      </c>
      <c r="B79" s="97" t="s">
        <v>868</v>
      </c>
      <c r="C79" s="97" t="s">
        <v>869</v>
      </c>
      <c r="D79" s="97" t="s">
        <v>815</v>
      </c>
      <c r="E79" s="97" t="s">
        <v>711</v>
      </c>
      <c r="F79" s="97" t="b">
        <v>0</v>
      </c>
      <c r="G79" s="97" t="b">
        <v>0</v>
      </c>
      <c r="H79" s="98"/>
      <c r="I79" s="98"/>
      <c r="J79" s="98"/>
      <c r="K79" s="99"/>
      <c r="L79" s="99"/>
      <c r="M79" s="103"/>
      <c r="N79" s="104"/>
      <c r="O79" s="98"/>
      <c r="P79" s="98"/>
      <c r="Q79" s="98"/>
    </row>
    <row r="80">
      <c r="A80" s="96" t="s">
        <v>470</v>
      </c>
      <c r="B80" s="97" t="s">
        <v>870</v>
      </c>
      <c r="C80" s="97" t="s">
        <v>871</v>
      </c>
      <c r="D80" s="97" t="s">
        <v>725</v>
      </c>
      <c r="E80" s="97" t="s">
        <v>761</v>
      </c>
      <c r="F80" s="97" t="b">
        <v>1</v>
      </c>
      <c r="G80" s="97" t="b">
        <v>1</v>
      </c>
      <c r="H80" s="98">
        <f>IF(A80:A2055="", "", COUNTIF(Check!H:H, A79:A2055))</f>
        <v>1</v>
      </c>
      <c r="I80" s="98"/>
      <c r="J80" s="98"/>
      <c r="K80" s="100"/>
      <c r="L80" s="101"/>
      <c r="M80" s="100"/>
      <c r="N80" s="101"/>
      <c r="O80" s="98"/>
      <c r="P80" s="98"/>
      <c r="Q80" s="98"/>
    </row>
    <row r="81">
      <c r="A81" s="96" t="s">
        <v>872</v>
      </c>
      <c r="B81" s="97" t="s">
        <v>873</v>
      </c>
      <c r="C81" s="97" t="s">
        <v>874</v>
      </c>
      <c r="D81" s="97" t="s">
        <v>792</v>
      </c>
      <c r="E81" s="97" t="s">
        <v>607</v>
      </c>
      <c r="F81" s="97" t="b">
        <v>0</v>
      </c>
      <c r="G81" s="97" t="b">
        <v>0</v>
      </c>
      <c r="H81" s="98"/>
      <c r="I81" s="98"/>
      <c r="J81" s="98"/>
      <c r="K81" s="99"/>
      <c r="L81" s="99"/>
      <c r="M81" s="100"/>
      <c r="N81" s="101"/>
      <c r="O81" s="98"/>
      <c r="P81" s="98"/>
      <c r="Q81" s="98"/>
    </row>
    <row r="82">
      <c r="A82" s="96" t="s">
        <v>86</v>
      </c>
      <c r="B82" s="97" t="s">
        <v>875</v>
      </c>
      <c r="C82" s="97" t="s">
        <v>876</v>
      </c>
      <c r="D82" s="97" t="s">
        <v>877</v>
      </c>
      <c r="E82" s="97" t="s">
        <v>697</v>
      </c>
      <c r="F82" s="97" t="b">
        <v>1</v>
      </c>
      <c r="G82" s="97" t="b">
        <v>1</v>
      </c>
      <c r="H82" s="98">
        <f>IF(A82:A2055="", "", COUNTIF(Check!H:H, A81:A2055))</f>
        <v>1</v>
      </c>
      <c r="I82" s="98"/>
      <c r="J82" s="98"/>
      <c r="K82" s="100" t="s">
        <v>878</v>
      </c>
      <c r="L82" s="107">
        <f>COUNTIFS($D$2:$D$1039, K82, $F$2:$F$1039, TRUE)</f>
        <v>7</v>
      </c>
      <c r="M82" s="100" t="s">
        <v>616</v>
      </c>
      <c r="N82" s="101">
        <f>COUNTIFS($E$2:$E$1039, M82, $F$2:$F$1039, TRUE)</f>
        <v>17</v>
      </c>
      <c r="O82" s="98"/>
      <c r="P82" s="98"/>
      <c r="Q82" s="98"/>
    </row>
    <row r="83">
      <c r="A83" s="96" t="s">
        <v>140</v>
      </c>
      <c r="B83" s="97" t="s">
        <v>879</v>
      </c>
      <c r="C83" s="97" t="s">
        <v>880</v>
      </c>
      <c r="D83" s="97" t="s">
        <v>792</v>
      </c>
      <c r="E83" s="97" t="s">
        <v>611</v>
      </c>
      <c r="F83" s="97" t="b">
        <v>1</v>
      </c>
      <c r="G83" s="97" t="b">
        <v>1</v>
      </c>
      <c r="H83" s="98">
        <f>IF(A83:A2055="", "", COUNTIF(Check!H:H, A82:A2055))</f>
        <v>1</v>
      </c>
      <c r="I83" s="98"/>
      <c r="J83" s="98"/>
      <c r="K83" s="99"/>
      <c r="L83" s="99"/>
      <c r="M83" s="102"/>
      <c r="N83" s="102"/>
      <c r="O83" s="98"/>
      <c r="P83" s="98"/>
      <c r="Q83" s="98"/>
    </row>
    <row r="84">
      <c r="A84" s="96" t="s">
        <v>881</v>
      </c>
      <c r="B84" s="97" t="s">
        <v>882</v>
      </c>
      <c r="C84" s="97" t="s">
        <v>883</v>
      </c>
      <c r="D84" s="97" t="s">
        <v>801</v>
      </c>
      <c r="E84" s="97" t="s">
        <v>711</v>
      </c>
      <c r="F84" s="97" t="b">
        <v>0</v>
      </c>
      <c r="G84" s="97" t="b">
        <v>0</v>
      </c>
      <c r="H84" s="98"/>
      <c r="I84" s="98"/>
      <c r="J84" s="98"/>
      <c r="K84" s="99"/>
      <c r="L84" s="99"/>
      <c r="M84" s="100"/>
      <c r="N84" s="101"/>
      <c r="O84" s="98"/>
      <c r="P84" s="98"/>
      <c r="Q84" s="98"/>
    </row>
    <row r="85">
      <c r="A85" s="96" t="s">
        <v>884</v>
      </c>
      <c r="B85" s="97" t="s">
        <v>885</v>
      </c>
      <c r="C85" s="97" t="s">
        <v>886</v>
      </c>
      <c r="D85" s="97" t="s">
        <v>887</v>
      </c>
      <c r="E85" s="97" t="s">
        <v>722</v>
      </c>
      <c r="F85" s="97" t="b">
        <v>0</v>
      </c>
      <c r="G85" s="97" t="b">
        <v>0</v>
      </c>
      <c r="H85" s="98"/>
      <c r="I85" s="98"/>
      <c r="J85" s="98"/>
      <c r="K85" s="103"/>
      <c r="L85" s="112"/>
      <c r="M85" s="103"/>
      <c r="N85" s="104"/>
      <c r="O85" s="106"/>
      <c r="P85" s="106"/>
      <c r="Q85" s="98"/>
    </row>
    <row r="86">
      <c r="A86" s="96" t="s">
        <v>888</v>
      </c>
      <c r="B86" s="97" t="s">
        <v>889</v>
      </c>
      <c r="C86" s="97" t="s">
        <v>890</v>
      </c>
      <c r="D86" s="97" t="s">
        <v>717</v>
      </c>
      <c r="E86" s="97" t="s">
        <v>891</v>
      </c>
      <c r="F86" s="97" t="b">
        <v>0</v>
      </c>
      <c r="G86" s="97" t="b">
        <v>0</v>
      </c>
      <c r="H86" s="98"/>
      <c r="I86" s="98"/>
      <c r="J86" s="98"/>
      <c r="K86" s="99"/>
      <c r="L86" s="99"/>
      <c r="M86" s="102"/>
      <c r="N86" s="102"/>
      <c r="O86" s="98"/>
      <c r="P86" s="98"/>
      <c r="Q86" s="98"/>
    </row>
    <row r="87">
      <c r="A87" s="96" t="s">
        <v>369</v>
      </c>
      <c r="B87" s="97" t="s">
        <v>892</v>
      </c>
      <c r="C87" s="97" t="s">
        <v>893</v>
      </c>
      <c r="D87" s="97" t="s">
        <v>894</v>
      </c>
      <c r="E87" s="97" t="s">
        <v>895</v>
      </c>
      <c r="F87" s="97" t="b">
        <v>1</v>
      </c>
      <c r="G87" s="97" t="b">
        <v>1</v>
      </c>
      <c r="H87" s="98">
        <f>IF(A87:A2055="", "", COUNTIF(Check!H:H, A86:A2055))</f>
        <v>1</v>
      </c>
      <c r="I87" s="98"/>
      <c r="J87" s="98"/>
      <c r="K87" s="99"/>
      <c r="L87" s="99"/>
      <c r="M87" s="102"/>
      <c r="N87" s="102"/>
      <c r="O87" s="98"/>
      <c r="P87" s="98"/>
      <c r="Q87" s="98"/>
    </row>
    <row r="88">
      <c r="A88" s="96" t="s">
        <v>490</v>
      </c>
      <c r="B88" s="97" t="s">
        <v>896</v>
      </c>
      <c r="C88" s="97" t="s">
        <v>897</v>
      </c>
      <c r="D88" s="97" t="s">
        <v>619</v>
      </c>
      <c r="E88" s="97" t="s">
        <v>620</v>
      </c>
      <c r="F88" s="97" t="b">
        <v>1</v>
      </c>
      <c r="G88" s="97" t="b">
        <v>1</v>
      </c>
      <c r="H88" s="98">
        <f>IF(A88:A2055="", "", COUNTIF(Check!H:H, A87:A2055))</f>
        <v>1</v>
      </c>
      <c r="I88" s="98"/>
      <c r="J88" s="98"/>
      <c r="K88" s="102"/>
      <c r="L88" s="102"/>
      <c r="M88" s="102"/>
      <c r="N88" s="102"/>
      <c r="O88" s="98"/>
      <c r="P88" s="98"/>
      <c r="Q88" s="98"/>
    </row>
    <row r="89">
      <c r="A89" s="96" t="s">
        <v>898</v>
      </c>
      <c r="B89" s="97" t="s">
        <v>899</v>
      </c>
      <c r="C89" s="97" t="s">
        <v>900</v>
      </c>
      <c r="D89" s="97" t="s">
        <v>658</v>
      </c>
      <c r="E89" s="97" t="s">
        <v>688</v>
      </c>
      <c r="F89" s="97" t="b">
        <v>0</v>
      </c>
      <c r="G89" s="97" t="b">
        <v>0</v>
      </c>
      <c r="H89" s="98"/>
      <c r="I89" s="98"/>
      <c r="J89" s="98"/>
      <c r="K89" s="99"/>
      <c r="L89" s="99"/>
      <c r="M89" s="102"/>
      <c r="N89" s="102"/>
      <c r="O89" s="98"/>
      <c r="P89" s="98"/>
      <c r="Q89" s="98"/>
    </row>
    <row r="90">
      <c r="A90" s="96" t="s">
        <v>901</v>
      </c>
      <c r="B90" s="97" t="s">
        <v>902</v>
      </c>
      <c r="C90" s="97" t="s">
        <v>903</v>
      </c>
      <c r="D90" s="97" t="s">
        <v>904</v>
      </c>
      <c r="E90" s="97" t="s">
        <v>685</v>
      </c>
      <c r="F90" s="97" t="b">
        <v>0</v>
      </c>
      <c r="G90" s="97" t="b">
        <v>0</v>
      </c>
      <c r="H90" s="98"/>
      <c r="I90" s="98"/>
      <c r="J90" s="98"/>
      <c r="K90" s="99"/>
      <c r="L90" s="99"/>
      <c r="M90" s="102"/>
      <c r="N90" s="102"/>
      <c r="O90" s="98"/>
      <c r="P90" s="98"/>
      <c r="Q90" s="98"/>
    </row>
    <row r="91">
      <c r="A91" s="96" t="s">
        <v>464</v>
      </c>
      <c r="B91" s="97" t="s">
        <v>905</v>
      </c>
      <c r="C91" s="97" t="s">
        <v>906</v>
      </c>
      <c r="D91" s="97" t="s">
        <v>894</v>
      </c>
      <c r="E91" s="97" t="s">
        <v>789</v>
      </c>
      <c r="F91" s="97" t="b">
        <v>0</v>
      </c>
      <c r="G91" s="97" t="b">
        <v>0</v>
      </c>
      <c r="H91" s="98"/>
      <c r="I91" s="98"/>
      <c r="J91" s="98"/>
      <c r="K91" s="102"/>
      <c r="L91" s="102"/>
      <c r="M91" s="102"/>
      <c r="N91" s="102"/>
      <c r="O91" s="98"/>
      <c r="P91" s="98"/>
      <c r="Q91" s="98"/>
    </row>
    <row r="92">
      <c r="A92" s="96" t="s">
        <v>155</v>
      </c>
      <c r="B92" s="97" t="s">
        <v>907</v>
      </c>
      <c r="C92" s="97" t="s">
        <v>908</v>
      </c>
      <c r="D92" s="97" t="s">
        <v>847</v>
      </c>
      <c r="E92" s="97" t="s">
        <v>789</v>
      </c>
      <c r="F92" s="97" t="b">
        <v>1</v>
      </c>
      <c r="G92" s="97" t="b">
        <v>1</v>
      </c>
      <c r="H92" s="98">
        <f>IF(A92:A2055="", "", COUNTIF(Check!H:H, A91:A2055))</f>
        <v>1</v>
      </c>
      <c r="I92" s="98"/>
      <c r="J92" s="98"/>
      <c r="K92" s="102"/>
      <c r="L92" s="102"/>
      <c r="M92" s="100"/>
      <c r="N92" s="101"/>
      <c r="O92" s="98"/>
      <c r="P92" s="98"/>
      <c r="Q92" s="98"/>
    </row>
    <row r="93">
      <c r="A93" s="96" t="s">
        <v>909</v>
      </c>
      <c r="B93" s="97" t="s">
        <v>910</v>
      </c>
      <c r="C93" s="97" t="s">
        <v>911</v>
      </c>
      <c r="D93" s="97" t="s">
        <v>912</v>
      </c>
      <c r="E93" s="97" t="s">
        <v>913</v>
      </c>
      <c r="F93" s="97" t="b">
        <v>0</v>
      </c>
      <c r="G93" s="97" t="b">
        <v>0</v>
      </c>
      <c r="H93" s="98"/>
      <c r="I93" s="98"/>
      <c r="J93" s="98"/>
      <c r="K93" s="100"/>
      <c r="L93" s="107"/>
      <c r="M93" s="102"/>
      <c r="N93" s="102"/>
      <c r="O93" s="98"/>
      <c r="P93" s="98"/>
      <c r="Q93" s="98"/>
    </row>
    <row r="94">
      <c r="A94" s="96" t="s">
        <v>298</v>
      </c>
      <c r="B94" s="97" t="s">
        <v>914</v>
      </c>
      <c r="C94" s="97" t="s">
        <v>915</v>
      </c>
      <c r="D94" s="97" t="s">
        <v>857</v>
      </c>
      <c r="E94" s="97" t="s">
        <v>722</v>
      </c>
      <c r="F94" s="97" t="b">
        <v>1</v>
      </c>
      <c r="G94" s="97" t="b">
        <v>1</v>
      </c>
      <c r="H94" s="98">
        <f>IF(A94:A2055="", "", COUNTIF(Check!H:H, A93:A2055))</f>
        <v>1</v>
      </c>
      <c r="I94" s="98"/>
      <c r="J94" s="98"/>
      <c r="K94" s="102"/>
      <c r="L94" s="102"/>
      <c r="M94" s="100"/>
      <c r="N94" s="101"/>
      <c r="O94" s="98"/>
      <c r="P94" s="98"/>
      <c r="Q94" s="98"/>
    </row>
    <row r="95">
      <c r="A95" s="96" t="s">
        <v>207</v>
      </c>
      <c r="B95" s="97" t="s">
        <v>916</v>
      </c>
      <c r="C95" s="97" t="s">
        <v>917</v>
      </c>
      <c r="D95" s="97" t="s">
        <v>648</v>
      </c>
      <c r="E95" s="97" t="s">
        <v>789</v>
      </c>
      <c r="F95" s="97" t="b">
        <v>1</v>
      </c>
      <c r="G95" s="97" t="b">
        <v>1</v>
      </c>
      <c r="H95" s="98">
        <f>IF(A95:A2055="", "", COUNTIF(Check!H:H, A94:A2055))</f>
        <v>1</v>
      </c>
      <c r="I95" s="98"/>
      <c r="J95" s="98"/>
      <c r="K95" s="102"/>
      <c r="L95" s="102"/>
      <c r="M95" s="100"/>
      <c r="N95" s="101"/>
      <c r="O95" s="98"/>
      <c r="P95" s="98"/>
      <c r="Q95" s="98"/>
    </row>
    <row r="96">
      <c r="A96" s="96" t="s">
        <v>559</v>
      </c>
      <c r="B96" s="97" t="s">
        <v>918</v>
      </c>
      <c r="C96" s="97" t="s">
        <v>919</v>
      </c>
      <c r="D96" s="97" t="s">
        <v>920</v>
      </c>
      <c r="E96" s="97" t="s">
        <v>921</v>
      </c>
      <c r="F96" s="97" t="b">
        <v>0</v>
      </c>
      <c r="G96" s="97" t="b">
        <v>0</v>
      </c>
      <c r="H96" s="98"/>
      <c r="I96" s="98"/>
      <c r="J96" s="98"/>
      <c r="K96" s="99"/>
      <c r="L96" s="99"/>
      <c r="M96" s="102"/>
      <c r="N96" s="102"/>
      <c r="O96" s="98"/>
      <c r="P96" s="98"/>
      <c r="Q96" s="98"/>
    </row>
    <row r="97">
      <c r="A97" s="96" t="s">
        <v>922</v>
      </c>
      <c r="B97" s="97" t="s">
        <v>923</v>
      </c>
      <c r="C97" s="97" t="s">
        <v>924</v>
      </c>
      <c r="D97" s="97" t="s">
        <v>814</v>
      </c>
      <c r="E97" s="97" t="s">
        <v>630</v>
      </c>
      <c r="F97" s="97" t="b">
        <v>0</v>
      </c>
      <c r="G97" s="97" t="b">
        <v>0</v>
      </c>
      <c r="H97" s="98"/>
      <c r="I97" s="98"/>
      <c r="J97" s="98"/>
      <c r="K97" s="99"/>
      <c r="L97" s="99"/>
      <c r="M97" s="103"/>
      <c r="N97" s="104"/>
      <c r="O97" s="105"/>
      <c r="P97" s="105"/>
      <c r="Q97" s="105"/>
    </row>
    <row r="98">
      <c r="A98" s="96" t="s">
        <v>301</v>
      </c>
      <c r="B98" s="97" t="s">
        <v>925</v>
      </c>
      <c r="C98" s="97" t="s">
        <v>926</v>
      </c>
      <c r="D98" s="97" t="s">
        <v>606</v>
      </c>
      <c r="E98" s="97" t="s">
        <v>620</v>
      </c>
      <c r="F98" s="97" t="b">
        <v>1</v>
      </c>
      <c r="G98" s="97" t="b">
        <v>1</v>
      </c>
      <c r="H98" s="98">
        <f>IF(A98:A2055="", "", COUNTIF(Check!H:H, A97:A2055))</f>
        <v>1</v>
      </c>
      <c r="I98" s="98"/>
      <c r="J98" s="98"/>
      <c r="K98" s="102"/>
      <c r="L98" s="102"/>
      <c r="M98" s="102"/>
      <c r="N98" s="102"/>
      <c r="O98" s="98"/>
      <c r="P98" s="98"/>
      <c r="Q98" s="105"/>
    </row>
    <row r="99">
      <c r="A99" s="96" t="s">
        <v>214</v>
      </c>
      <c r="B99" s="97" t="s">
        <v>927</v>
      </c>
      <c r="C99" s="97" t="s">
        <v>928</v>
      </c>
      <c r="D99" s="97" t="s">
        <v>773</v>
      </c>
      <c r="E99" s="97" t="s">
        <v>727</v>
      </c>
      <c r="F99" s="97" t="b">
        <v>1</v>
      </c>
      <c r="G99" s="97" t="b">
        <v>1</v>
      </c>
      <c r="H99" s="98">
        <f>IF(A99:A2055="", "", COUNTIF(Check!H:H, A98:A2055))</f>
        <v>1</v>
      </c>
      <c r="I99" s="98"/>
      <c r="J99" s="98"/>
      <c r="K99" s="99"/>
      <c r="L99" s="99"/>
      <c r="M99" s="100"/>
      <c r="N99" s="101"/>
      <c r="O99" s="98"/>
      <c r="P99" s="98"/>
      <c r="Q99" s="105"/>
    </row>
    <row r="100">
      <c r="A100" s="96" t="s">
        <v>929</v>
      </c>
      <c r="B100" s="97" t="s">
        <v>930</v>
      </c>
      <c r="C100" s="97" t="s">
        <v>931</v>
      </c>
      <c r="D100" s="97" t="s">
        <v>708</v>
      </c>
      <c r="E100" s="97" t="s">
        <v>932</v>
      </c>
      <c r="F100" s="97" t="b">
        <v>0</v>
      </c>
      <c r="G100" s="97" t="b">
        <v>0</v>
      </c>
      <c r="H100" s="98"/>
      <c r="I100" s="98"/>
      <c r="J100" s="98"/>
      <c r="K100" s="99"/>
      <c r="L100" s="99"/>
      <c r="M100" s="102"/>
      <c r="N100" s="102"/>
      <c r="O100" s="98"/>
      <c r="P100" s="98"/>
      <c r="Q100" s="98"/>
    </row>
    <row r="101">
      <c r="A101" s="96" t="s">
        <v>933</v>
      </c>
      <c r="B101" s="97" t="s">
        <v>934</v>
      </c>
      <c r="C101" s="97" t="s">
        <v>935</v>
      </c>
      <c r="D101" s="97" t="s">
        <v>815</v>
      </c>
      <c r="E101" s="97" t="s">
        <v>688</v>
      </c>
      <c r="F101" s="97" t="b">
        <v>0</v>
      </c>
      <c r="G101" s="97" t="b">
        <v>0</v>
      </c>
      <c r="H101" s="98"/>
      <c r="I101" s="98"/>
      <c r="J101" s="98"/>
      <c r="K101" s="99"/>
      <c r="L101" s="99"/>
      <c r="M101" s="102"/>
      <c r="N101" s="102"/>
      <c r="O101" s="98"/>
      <c r="P101" s="98"/>
      <c r="Q101" s="98"/>
    </row>
    <row r="102">
      <c r="A102" s="96" t="s">
        <v>933</v>
      </c>
      <c r="B102" s="97" t="s">
        <v>934</v>
      </c>
      <c r="C102" s="97" t="s">
        <v>935</v>
      </c>
      <c r="D102" s="97" t="s">
        <v>815</v>
      </c>
      <c r="E102" s="97" t="s">
        <v>688</v>
      </c>
      <c r="F102" s="97" t="b">
        <v>0</v>
      </c>
      <c r="G102" s="97" t="b">
        <v>0</v>
      </c>
      <c r="H102" s="98"/>
      <c r="I102" s="98"/>
      <c r="J102" s="98"/>
      <c r="K102" s="99"/>
      <c r="L102" s="99"/>
      <c r="M102" s="102"/>
      <c r="N102" s="102"/>
      <c r="O102" s="98"/>
      <c r="P102" s="98"/>
      <c r="Q102" s="98"/>
    </row>
    <row r="103">
      <c r="A103" s="96" t="s">
        <v>936</v>
      </c>
      <c r="B103" s="97" t="s">
        <v>937</v>
      </c>
      <c r="C103" s="97" t="s">
        <v>938</v>
      </c>
      <c r="D103" s="97" t="s">
        <v>939</v>
      </c>
      <c r="E103" s="97" t="s">
        <v>727</v>
      </c>
      <c r="F103" s="97" t="b">
        <v>0</v>
      </c>
      <c r="G103" s="97" t="b">
        <v>0</v>
      </c>
      <c r="H103" s="98"/>
      <c r="I103" s="98"/>
      <c r="J103" s="98"/>
      <c r="K103" s="108"/>
      <c r="L103" s="109"/>
      <c r="M103" s="102"/>
      <c r="N103" s="102"/>
      <c r="O103" s="98"/>
      <c r="P103" s="98"/>
      <c r="Q103" s="98"/>
    </row>
    <row r="104">
      <c r="A104" s="96" t="s">
        <v>174</v>
      </c>
      <c r="B104" s="97" t="s">
        <v>940</v>
      </c>
      <c r="C104" s="97" t="s">
        <v>941</v>
      </c>
      <c r="D104" s="97" t="s">
        <v>942</v>
      </c>
      <c r="E104" s="97" t="s">
        <v>663</v>
      </c>
      <c r="F104" s="97" t="b">
        <v>1</v>
      </c>
      <c r="G104" s="97" t="b">
        <v>1</v>
      </c>
      <c r="H104" s="98">
        <f>IF(A104:A2055="", "", COUNTIF(Check!H:H, A103:A2055))</f>
        <v>1</v>
      </c>
      <c r="I104" s="98"/>
      <c r="J104" s="98"/>
      <c r="K104" s="99"/>
      <c r="L104" s="99"/>
      <c r="M104" s="102"/>
      <c r="N104" s="102"/>
      <c r="O104" s="98"/>
      <c r="P104" s="98"/>
      <c r="Q104" s="98"/>
    </row>
    <row r="105">
      <c r="A105" s="96" t="s">
        <v>943</v>
      </c>
      <c r="B105" s="97" t="s">
        <v>944</v>
      </c>
      <c r="C105" s="97" t="s">
        <v>945</v>
      </c>
      <c r="D105" s="97" t="s">
        <v>747</v>
      </c>
      <c r="E105" s="97" t="s">
        <v>748</v>
      </c>
      <c r="F105" s="97" t="b">
        <v>0</v>
      </c>
      <c r="G105" s="97" t="b">
        <v>0</v>
      </c>
      <c r="H105" s="98"/>
      <c r="I105" s="98"/>
      <c r="J105" s="98"/>
      <c r="K105" s="99"/>
      <c r="L105" s="99"/>
      <c r="M105" s="102"/>
      <c r="N105" s="102"/>
      <c r="O105" s="98"/>
      <c r="P105" s="98"/>
      <c r="Q105" s="98"/>
    </row>
    <row r="106">
      <c r="A106" s="96" t="s">
        <v>423</v>
      </c>
      <c r="B106" s="97" t="s">
        <v>946</v>
      </c>
      <c r="C106" s="97" t="s">
        <v>947</v>
      </c>
      <c r="D106" s="97" t="s">
        <v>948</v>
      </c>
      <c r="E106" s="97" t="s">
        <v>590</v>
      </c>
      <c r="F106" s="97" t="b">
        <v>1</v>
      </c>
      <c r="G106" s="97" t="b">
        <v>1</v>
      </c>
      <c r="H106" s="98">
        <f>IF(A106:A2055="", "", COUNTIF(Check!H:H, A105:A2055))</f>
        <v>1</v>
      </c>
      <c r="I106" s="98"/>
      <c r="J106" s="98"/>
      <c r="K106" s="99"/>
      <c r="L106" s="99"/>
      <c r="M106" s="102"/>
      <c r="N106" s="102"/>
      <c r="O106" s="98"/>
      <c r="P106" s="98"/>
      <c r="Q106" s="98"/>
    </row>
    <row r="107">
      <c r="A107" s="96" t="s">
        <v>949</v>
      </c>
      <c r="B107" s="97" t="s">
        <v>950</v>
      </c>
      <c r="C107" s="97" t="s">
        <v>951</v>
      </c>
      <c r="D107" s="97" t="s">
        <v>834</v>
      </c>
      <c r="E107" s="97" t="s">
        <v>952</v>
      </c>
      <c r="F107" s="97" t="b">
        <v>0</v>
      </c>
      <c r="G107" s="97" t="b">
        <v>0</v>
      </c>
      <c r="H107" s="98"/>
      <c r="I107" s="98"/>
      <c r="J107" s="98"/>
      <c r="K107" s="99"/>
      <c r="L107" s="99"/>
      <c r="M107" s="102"/>
      <c r="N107" s="102"/>
      <c r="O107" s="98"/>
      <c r="P107" s="98"/>
      <c r="Q107" s="98"/>
    </row>
    <row r="108">
      <c r="A108" s="96" t="s">
        <v>252</v>
      </c>
      <c r="B108" s="97" t="s">
        <v>953</v>
      </c>
      <c r="C108" s="97" t="s">
        <v>954</v>
      </c>
      <c r="D108" s="97" t="s">
        <v>955</v>
      </c>
      <c r="E108" s="97" t="s">
        <v>659</v>
      </c>
      <c r="F108" s="97" t="b">
        <v>1</v>
      </c>
      <c r="G108" s="97" t="b">
        <v>1</v>
      </c>
      <c r="H108" s="98">
        <f>IF(A108:A2055="", "", COUNTIF(Check!H:H, A107:A2055))</f>
        <v>1</v>
      </c>
      <c r="I108" s="98"/>
      <c r="J108" s="98"/>
      <c r="K108" s="99"/>
      <c r="L108" s="99"/>
      <c r="M108" s="102"/>
      <c r="N108" s="102"/>
      <c r="O108" s="98"/>
      <c r="P108" s="98"/>
      <c r="Q108" s="98"/>
    </row>
    <row r="109">
      <c r="A109" s="96" t="s">
        <v>956</v>
      </c>
      <c r="B109" s="97" t="s">
        <v>957</v>
      </c>
      <c r="C109" s="97" t="s">
        <v>958</v>
      </c>
      <c r="D109" s="97" t="s">
        <v>815</v>
      </c>
      <c r="E109" s="97" t="s">
        <v>688</v>
      </c>
      <c r="F109" s="97" t="b">
        <v>0</v>
      </c>
      <c r="G109" s="97" t="b">
        <v>0</v>
      </c>
      <c r="H109" s="98"/>
      <c r="I109" s="98"/>
      <c r="J109" s="98"/>
      <c r="K109" s="99"/>
      <c r="L109" s="99"/>
      <c r="M109" s="102"/>
      <c r="N109" s="102"/>
      <c r="O109" s="98"/>
      <c r="P109" s="98"/>
      <c r="Q109" s="98"/>
    </row>
    <row r="110">
      <c r="A110" s="96" t="s">
        <v>956</v>
      </c>
      <c r="B110" s="97" t="s">
        <v>957</v>
      </c>
      <c r="C110" s="97" t="s">
        <v>958</v>
      </c>
      <c r="D110" s="97" t="s">
        <v>815</v>
      </c>
      <c r="E110" s="97" t="s">
        <v>688</v>
      </c>
      <c r="F110" s="97" t="b">
        <v>0</v>
      </c>
      <c r="G110" s="97" t="b">
        <v>0</v>
      </c>
      <c r="H110" s="98"/>
      <c r="I110" s="98"/>
      <c r="J110" s="98"/>
      <c r="K110" s="99"/>
      <c r="L110" s="99"/>
      <c r="M110" s="102"/>
      <c r="N110" s="102"/>
      <c r="O110" s="98"/>
      <c r="P110" s="98"/>
      <c r="Q110" s="98"/>
    </row>
    <row r="111">
      <c r="A111" s="96" t="s">
        <v>959</v>
      </c>
      <c r="B111" s="97" t="s">
        <v>960</v>
      </c>
      <c r="C111" s="97" t="s">
        <v>961</v>
      </c>
      <c r="D111" s="97" t="s">
        <v>942</v>
      </c>
      <c r="E111" s="97" t="s">
        <v>616</v>
      </c>
      <c r="F111" s="97" t="b">
        <v>0</v>
      </c>
      <c r="G111" s="97" t="b">
        <v>0</v>
      </c>
      <c r="H111" s="98"/>
      <c r="I111" s="98"/>
      <c r="J111" s="98"/>
      <c r="K111" s="99"/>
      <c r="L111" s="99"/>
      <c r="M111" s="102"/>
      <c r="N111" s="102"/>
      <c r="O111" s="98"/>
      <c r="P111" s="98"/>
      <c r="Q111" s="98"/>
    </row>
    <row r="112">
      <c r="A112" s="96" t="s">
        <v>504</v>
      </c>
      <c r="B112" s="97" t="s">
        <v>962</v>
      </c>
      <c r="C112" s="97" t="s">
        <v>963</v>
      </c>
      <c r="D112" s="97" t="s">
        <v>964</v>
      </c>
      <c r="E112" s="97" t="s">
        <v>607</v>
      </c>
      <c r="F112" s="97" t="b">
        <v>1</v>
      </c>
      <c r="G112" s="97" t="b">
        <v>1</v>
      </c>
      <c r="H112" s="98">
        <f>IF(A112:A2055="", "", COUNTIF(Check!H:H, A111:A2055))</f>
        <v>1</v>
      </c>
      <c r="I112" s="98"/>
      <c r="J112" s="98"/>
      <c r="K112" s="99"/>
      <c r="L112" s="99"/>
      <c r="M112" s="103"/>
      <c r="N112" s="104"/>
      <c r="O112" s="105"/>
      <c r="P112" s="105"/>
      <c r="Q112" s="98"/>
    </row>
    <row r="113">
      <c r="A113" s="96" t="s">
        <v>483</v>
      </c>
      <c r="B113" s="97" t="s">
        <v>965</v>
      </c>
      <c r="C113" s="97" t="s">
        <v>966</v>
      </c>
      <c r="D113" s="97" t="s">
        <v>801</v>
      </c>
      <c r="E113" s="97" t="s">
        <v>921</v>
      </c>
      <c r="F113" s="97" t="b">
        <v>1</v>
      </c>
      <c r="G113" s="97" t="b">
        <v>1</v>
      </c>
      <c r="H113" s="98">
        <f>IF(A113:A2055="", "", COUNTIF(Check!H:H, A112:A2055))</f>
        <v>1</v>
      </c>
      <c r="I113" s="98"/>
      <c r="J113" s="98"/>
      <c r="K113" s="99"/>
      <c r="L113" s="99"/>
      <c r="M113" s="102"/>
      <c r="N113" s="102"/>
      <c r="O113" s="98"/>
      <c r="P113" s="98"/>
      <c r="Q113" s="98"/>
    </row>
    <row r="114">
      <c r="A114" s="96" t="s">
        <v>967</v>
      </c>
      <c r="B114" s="97" t="s">
        <v>968</v>
      </c>
      <c r="C114" s="97" t="s">
        <v>969</v>
      </c>
      <c r="D114" s="97" t="s">
        <v>847</v>
      </c>
      <c r="E114" s="97" t="s">
        <v>620</v>
      </c>
      <c r="F114" s="97" t="b">
        <v>0</v>
      </c>
      <c r="G114" s="97" t="b">
        <v>0</v>
      </c>
      <c r="H114" s="98"/>
      <c r="I114" s="98"/>
      <c r="J114" s="98"/>
      <c r="K114" s="102"/>
      <c r="L114" s="102"/>
      <c r="M114" s="102"/>
      <c r="N114" s="102"/>
      <c r="O114" s="98"/>
      <c r="P114" s="98"/>
      <c r="Q114" s="98"/>
    </row>
    <row r="115">
      <c r="A115" s="96" t="s">
        <v>60</v>
      </c>
      <c r="B115" s="97" t="s">
        <v>970</v>
      </c>
      <c r="C115" s="97" t="s">
        <v>971</v>
      </c>
      <c r="D115" s="97" t="s">
        <v>972</v>
      </c>
      <c r="E115" s="97" t="s">
        <v>733</v>
      </c>
      <c r="F115" s="97" t="b">
        <v>1</v>
      </c>
      <c r="G115" s="97" t="b">
        <v>1</v>
      </c>
      <c r="H115" s="98">
        <f>IF(A115:A2055="", "", COUNTIF(Check!H:H, A114:A2055))</f>
        <v>1</v>
      </c>
      <c r="I115" s="98"/>
      <c r="J115" s="98"/>
      <c r="K115" s="100"/>
      <c r="L115" s="101"/>
      <c r="M115" s="100"/>
      <c r="N115" s="101"/>
      <c r="O115" s="98"/>
      <c r="P115" s="98"/>
      <c r="Q115" s="98"/>
    </row>
    <row r="116">
      <c r="A116" s="96" t="s">
        <v>196</v>
      </c>
      <c r="B116" s="97" t="s">
        <v>973</v>
      </c>
      <c r="C116" s="97" t="s">
        <v>974</v>
      </c>
      <c r="D116" s="97" t="s">
        <v>732</v>
      </c>
      <c r="E116" s="97" t="s">
        <v>722</v>
      </c>
      <c r="F116" s="97" t="b">
        <v>1</v>
      </c>
      <c r="G116" s="97" t="b">
        <v>1</v>
      </c>
      <c r="H116" s="98">
        <f>IF(A116:A2055="", "", COUNTIF(Check!H:H, A115:A2055))</f>
        <v>1</v>
      </c>
      <c r="I116" s="98"/>
      <c r="J116" s="98"/>
      <c r="K116" s="102"/>
      <c r="L116" s="102"/>
      <c r="M116" s="100"/>
      <c r="N116" s="101"/>
      <c r="O116" s="98"/>
      <c r="P116" s="98"/>
      <c r="Q116" s="98"/>
    </row>
    <row r="117">
      <c r="A117" s="96" t="s">
        <v>975</v>
      </c>
      <c r="B117" s="97" t="s">
        <v>976</v>
      </c>
      <c r="C117" s="97" t="s">
        <v>977</v>
      </c>
      <c r="D117" s="97" t="s">
        <v>629</v>
      </c>
      <c r="E117" s="97" t="s">
        <v>777</v>
      </c>
      <c r="F117" s="97" t="b">
        <v>0</v>
      </c>
      <c r="G117" s="97" t="b">
        <v>0</v>
      </c>
      <c r="H117" s="98"/>
      <c r="I117" s="98"/>
      <c r="J117" s="98"/>
      <c r="K117" s="99"/>
      <c r="L117" s="99"/>
      <c r="M117" s="102"/>
      <c r="N117" s="102"/>
      <c r="O117" s="98"/>
      <c r="P117" s="98"/>
      <c r="Q117" s="98"/>
    </row>
    <row r="118">
      <c r="A118" s="96" t="s">
        <v>978</v>
      </c>
      <c r="B118" s="97" t="s">
        <v>979</v>
      </c>
      <c r="C118" s="97" t="s">
        <v>980</v>
      </c>
      <c r="D118" s="97" t="s">
        <v>737</v>
      </c>
      <c r="E118" s="97" t="s">
        <v>921</v>
      </c>
      <c r="F118" s="97" t="b">
        <v>0</v>
      </c>
      <c r="G118" s="97" t="b">
        <v>0</v>
      </c>
      <c r="H118" s="98"/>
      <c r="I118" s="98"/>
      <c r="J118" s="98"/>
      <c r="K118" s="99"/>
      <c r="L118" s="99"/>
      <c r="M118" s="102"/>
      <c r="N118" s="102"/>
      <c r="O118" s="98"/>
      <c r="P118" s="98"/>
      <c r="Q118" s="98"/>
    </row>
    <row r="119">
      <c r="A119" s="96" t="s">
        <v>588</v>
      </c>
      <c r="B119" s="97" t="s">
        <v>587</v>
      </c>
      <c r="C119" s="97" t="s">
        <v>589</v>
      </c>
      <c r="D119" s="97" t="s">
        <v>972</v>
      </c>
      <c r="E119" s="97" t="s">
        <v>590</v>
      </c>
      <c r="F119" s="97" t="b">
        <v>1</v>
      </c>
      <c r="G119" s="97" t="b">
        <v>1</v>
      </c>
      <c r="H119" s="98">
        <f>IF(A119:A2055="", "", COUNTIF(Check!H:H, A118:A2055))</f>
        <v>1</v>
      </c>
      <c r="I119" s="98"/>
      <c r="J119" s="98"/>
      <c r="K119" s="99"/>
      <c r="L119" s="99"/>
      <c r="M119" s="102"/>
      <c r="N119" s="102"/>
      <c r="O119" s="98"/>
      <c r="P119" s="98"/>
      <c r="Q119" s="98"/>
    </row>
    <row r="120">
      <c r="A120" s="96" t="s">
        <v>42</v>
      </c>
      <c r="B120" s="97" t="s">
        <v>981</v>
      </c>
      <c r="C120" s="97" t="s">
        <v>982</v>
      </c>
      <c r="D120" s="97" t="s">
        <v>671</v>
      </c>
      <c r="E120" s="97" t="s">
        <v>767</v>
      </c>
      <c r="F120" s="97" t="b">
        <v>1</v>
      </c>
      <c r="G120" s="97" t="b">
        <v>1</v>
      </c>
      <c r="H120" s="98">
        <f>IF(A120:A2055="", "", COUNTIF(Check!H:H, A119:A2055))</f>
        <v>1</v>
      </c>
      <c r="I120" s="98"/>
      <c r="J120" s="98"/>
      <c r="K120" s="99"/>
      <c r="L120" s="99"/>
      <c r="M120" s="102"/>
      <c r="N120" s="102"/>
      <c r="O120" s="98"/>
      <c r="P120" s="98"/>
      <c r="Q120" s="98"/>
    </row>
    <row r="121">
      <c r="A121" s="96" t="s">
        <v>178</v>
      </c>
      <c r="B121" s="97" t="s">
        <v>983</v>
      </c>
      <c r="C121" s="97" t="s">
        <v>984</v>
      </c>
      <c r="D121" s="97" t="s">
        <v>985</v>
      </c>
      <c r="E121" s="97" t="s">
        <v>761</v>
      </c>
      <c r="F121" s="97" t="b">
        <v>1</v>
      </c>
      <c r="G121" s="97" t="b">
        <v>1</v>
      </c>
      <c r="H121" s="98">
        <f>IF(A121:A2055="", "", COUNTIF(Check!H:H, A120:A2055))</f>
        <v>1</v>
      </c>
      <c r="I121" s="98"/>
      <c r="J121" s="98"/>
      <c r="K121" s="99"/>
      <c r="L121" s="99"/>
      <c r="M121" s="102"/>
      <c r="N121" s="102"/>
      <c r="O121" s="98"/>
      <c r="P121" s="98"/>
      <c r="Q121" s="98"/>
    </row>
    <row r="122">
      <c r="A122" s="96" t="s">
        <v>986</v>
      </c>
      <c r="B122" s="97" t="s">
        <v>987</v>
      </c>
      <c r="C122" s="97" t="s">
        <v>988</v>
      </c>
      <c r="D122" s="97" t="s">
        <v>847</v>
      </c>
      <c r="E122" s="97" t="s">
        <v>590</v>
      </c>
      <c r="F122" s="97" t="b">
        <v>0</v>
      </c>
      <c r="G122" s="97" t="b">
        <v>0</v>
      </c>
      <c r="H122" s="98"/>
      <c r="I122" s="98"/>
      <c r="J122" s="98"/>
      <c r="K122" s="99"/>
      <c r="L122" s="99"/>
      <c r="M122" s="102"/>
      <c r="N122" s="102"/>
      <c r="O122" s="98"/>
      <c r="P122" s="98"/>
      <c r="Q122" s="98"/>
    </row>
    <row r="123">
      <c r="A123" s="96" t="s">
        <v>460</v>
      </c>
      <c r="B123" s="97" t="s">
        <v>989</v>
      </c>
      <c r="C123" s="97" t="s">
        <v>990</v>
      </c>
      <c r="D123" s="97" t="s">
        <v>801</v>
      </c>
      <c r="E123" s="97" t="s">
        <v>590</v>
      </c>
      <c r="F123" s="97" t="b">
        <v>1</v>
      </c>
      <c r="G123" s="97" t="b">
        <v>1</v>
      </c>
      <c r="H123" s="98">
        <f>IF(A123:A2055="", "", COUNTIF(Check!H:H, A122:A2055))</f>
        <v>1</v>
      </c>
      <c r="I123" s="98"/>
      <c r="J123" s="98"/>
      <c r="K123" s="99"/>
      <c r="L123" s="99"/>
      <c r="M123" s="102"/>
      <c r="N123" s="102"/>
      <c r="O123" s="98"/>
      <c r="P123" s="98"/>
      <c r="Q123" s="98"/>
    </row>
    <row r="124">
      <c r="A124" s="96" t="s">
        <v>176</v>
      </c>
      <c r="B124" s="97" t="s">
        <v>991</v>
      </c>
      <c r="C124" s="97" t="s">
        <v>992</v>
      </c>
      <c r="D124" s="97" t="s">
        <v>629</v>
      </c>
      <c r="E124" s="97" t="s">
        <v>663</v>
      </c>
      <c r="F124" s="97" t="b">
        <v>1</v>
      </c>
      <c r="G124" s="97" t="b">
        <v>1</v>
      </c>
      <c r="H124" s="98">
        <f>IF(A124:A2055="", "", COUNTIF(Check!H:H, A123:A2055))</f>
        <v>1</v>
      </c>
      <c r="I124" s="98"/>
      <c r="J124" s="98"/>
      <c r="K124" s="100"/>
      <c r="L124" s="107"/>
      <c r="M124" s="102"/>
      <c r="N124" s="102"/>
      <c r="O124" s="98"/>
      <c r="P124" s="98"/>
      <c r="Q124" s="98"/>
    </row>
    <row r="125">
      <c r="A125" s="96" t="s">
        <v>173</v>
      </c>
      <c r="B125" s="97" t="s">
        <v>993</v>
      </c>
      <c r="C125" s="97" t="s">
        <v>994</v>
      </c>
      <c r="D125" s="97" t="s">
        <v>648</v>
      </c>
      <c r="E125" s="97" t="s">
        <v>663</v>
      </c>
      <c r="F125" s="97" t="b">
        <v>1</v>
      </c>
      <c r="G125" s="97" t="b">
        <v>1</v>
      </c>
      <c r="H125" s="98">
        <f>IF(A125:A2055="", "", COUNTIF(Check!H:H, A124:A2055))</f>
        <v>1</v>
      </c>
      <c r="I125" s="98"/>
      <c r="J125" s="98"/>
      <c r="K125" s="100"/>
      <c r="L125" s="101"/>
      <c r="M125" s="102"/>
      <c r="N125" s="102"/>
      <c r="O125" s="98"/>
      <c r="P125" s="98"/>
      <c r="Q125" s="106"/>
    </row>
    <row r="126">
      <c r="A126" s="96" t="s">
        <v>995</v>
      </c>
      <c r="B126" s="97" t="s">
        <v>996</v>
      </c>
      <c r="C126" s="97" t="s">
        <v>997</v>
      </c>
      <c r="D126" s="97" t="s">
        <v>948</v>
      </c>
      <c r="E126" s="97" t="s">
        <v>582</v>
      </c>
      <c r="F126" s="97" t="b">
        <v>0</v>
      </c>
      <c r="G126" s="97" t="b">
        <v>0</v>
      </c>
      <c r="H126" s="98"/>
      <c r="I126" s="98"/>
      <c r="J126" s="98"/>
      <c r="K126" s="99"/>
      <c r="L126" s="99"/>
      <c r="M126" s="102"/>
      <c r="N126" s="102"/>
      <c r="O126" s="98"/>
      <c r="P126" s="98"/>
      <c r="Q126" s="106"/>
    </row>
    <row r="127">
      <c r="A127" s="96" t="s">
        <v>998</v>
      </c>
      <c r="B127" s="97" t="s">
        <v>999</v>
      </c>
      <c r="C127" s="97" t="s">
        <v>1000</v>
      </c>
      <c r="D127" s="97" t="s">
        <v>972</v>
      </c>
      <c r="E127" s="97" t="s">
        <v>722</v>
      </c>
      <c r="F127" s="97" t="b">
        <v>0</v>
      </c>
      <c r="G127" s="97" t="b">
        <v>0</v>
      </c>
      <c r="H127" s="98"/>
      <c r="I127" s="98"/>
      <c r="J127" s="98"/>
      <c r="K127" s="102"/>
      <c r="L127" s="102"/>
      <c r="M127" s="108"/>
      <c r="N127" s="109"/>
      <c r="O127" s="98"/>
      <c r="P127" s="98"/>
      <c r="Q127" s="98"/>
    </row>
    <row r="128">
      <c r="A128" s="96" t="s">
        <v>1001</v>
      </c>
      <c r="B128" s="97" t="s">
        <v>1002</v>
      </c>
      <c r="C128" s="97" t="s">
        <v>1003</v>
      </c>
      <c r="D128" s="97" t="s">
        <v>696</v>
      </c>
      <c r="E128" s="97" t="s">
        <v>711</v>
      </c>
      <c r="F128" s="97" t="b">
        <v>0</v>
      </c>
      <c r="G128" s="97" t="b">
        <v>0</v>
      </c>
      <c r="H128" s="98"/>
      <c r="I128" s="98"/>
      <c r="J128" s="98"/>
      <c r="K128" s="99"/>
      <c r="L128" s="99"/>
      <c r="M128" s="108"/>
      <c r="N128" s="109"/>
      <c r="O128" s="106"/>
      <c r="P128" s="106"/>
      <c r="Q128" s="98"/>
    </row>
    <row r="129">
      <c r="A129" s="96" t="s">
        <v>313</v>
      </c>
      <c r="B129" s="97" t="s">
        <v>1004</v>
      </c>
      <c r="C129" s="97" t="s">
        <v>1005</v>
      </c>
      <c r="D129" s="97" t="s">
        <v>619</v>
      </c>
      <c r="E129" s="97" t="s">
        <v>711</v>
      </c>
      <c r="F129" s="97" t="b">
        <v>1</v>
      </c>
      <c r="G129" s="97" t="b">
        <v>1</v>
      </c>
      <c r="H129" s="98">
        <f>IF(A129:A2055="", "", COUNTIF(Check!H:H, A128:A2055))</f>
        <v>1</v>
      </c>
      <c r="I129" s="98"/>
      <c r="J129" s="98"/>
      <c r="K129" s="108"/>
      <c r="L129" s="110"/>
      <c r="M129" s="100"/>
      <c r="N129" s="101"/>
      <c r="O129" s="98"/>
      <c r="P129" s="98"/>
      <c r="Q129" s="106"/>
    </row>
    <row r="130">
      <c r="A130" s="96" t="s">
        <v>1006</v>
      </c>
      <c r="B130" s="97" t="s">
        <v>1007</v>
      </c>
      <c r="C130" s="97" t="s">
        <v>1008</v>
      </c>
      <c r="D130" s="97" t="s">
        <v>894</v>
      </c>
      <c r="E130" s="97" t="s">
        <v>1009</v>
      </c>
      <c r="F130" s="97" t="b">
        <v>0</v>
      </c>
      <c r="G130" s="97" t="b">
        <v>0</v>
      </c>
      <c r="H130" s="98"/>
      <c r="I130" s="98"/>
      <c r="J130" s="98"/>
      <c r="K130" s="99"/>
      <c r="L130" s="99"/>
      <c r="M130" s="102"/>
      <c r="N130" s="102"/>
      <c r="O130" s="98"/>
      <c r="P130" s="98"/>
      <c r="Q130" s="106"/>
    </row>
    <row r="131">
      <c r="A131" s="96" t="s">
        <v>284</v>
      </c>
      <c r="B131" s="97" t="s">
        <v>1010</v>
      </c>
      <c r="C131" s="97" t="s">
        <v>1011</v>
      </c>
      <c r="D131" s="97" t="s">
        <v>985</v>
      </c>
      <c r="E131" s="97" t="s">
        <v>697</v>
      </c>
      <c r="F131" s="97" t="b">
        <v>1</v>
      </c>
      <c r="G131" s="97" t="b">
        <v>1</v>
      </c>
      <c r="H131" s="98">
        <f>IF(A131:A2055="", "", COUNTIF(Check!H:H, A130:A2055))</f>
        <v>1</v>
      </c>
      <c r="I131" s="98"/>
      <c r="J131" s="98"/>
      <c r="K131" s="100" t="s">
        <v>1012</v>
      </c>
      <c r="L131" s="107">
        <f>COUNTIFS($D$2:$D$1039, K131, $F$2:$F$1039, TRUE)</f>
        <v>6</v>
      </c>
      <c r="M131" s="100" t="s">
        <v>1013</v>
      </c>
      <c r="N131" s="101">
        <f>COUNTIFS($E$2:$E$1039, M131, $F$2:$F$1039, TRUE)</f>
        <v>0</v>
      </c>
      <c r="O131" s="98"/>
      <c r="P131" s="98"/>
      <c r="Q131" s="106"/>
    </row>
    <row r="132">
      <c r="A132" s="96" t="s">
        <v>1014</v>
      </c>
      <c r="B132" s="97" t="s">
        <v>1015</v>
      </c>
      <c r="C132" s="97" t="s">
        <v>1016</v>
      </c>
      <c r="D132" s="97" t="s">
        <v>1017</v>
      </c>
      <c r="E132" s="97" t="s">
        <v>921</v>
      </c>
      <c r="F132" s="97" t="b">
        <v>0</v>
      </c>
      <c r="G132" s="97" t="b">
        <v>0</v>
      </c>
      <c r="H132" s="98"/>
      <c r="I132" s="98"/>
      <c r="J132" s="98"/>
      <c r="K132" s="99"/>
      <c r="L132" s="99"/>
      <c r="M132" s="102"/>
      <c r="N132" s="102"/>
      <c r="O132" s="98"/>
      <c r="P132" s="98"/>
      <c r="Q132" s="98"/>
    </row>
    <row r="133">
      <c r="A133" s="96" t="s">
        <v>565</v>
      </c>
      <c r="B133" s="97" t="s">
        <v>1018</v>
      </c>
      <c r="C133" s="97" t="s">
        <v>1019</v>
      </c>
      <c r="D133" s="97" t="s">
        <v>792</v>
      </c>
      <c r="E133" s="97" t="s">
        <v>582</v>
      </c>
      <c r="F133" s="97" t="b">
        <v>0</v>
      </c>
      <c r="G133" s="97" t="b">
        <v>0</v>
      </c>
      <c r="H133" s="98"/>
      <c r="I133" s="98"/>
      <c r="J133" s="98"/>
      <c r="K133" s="99"/>
      <c r="L133" s="99"/>
      <c r="M133" s="100"/>
      <c r="N133" s="101"/>
      <c r="O133" s="98"/>
      <c r="P133" s="98"/>
      <c r="Q133" s="98"/>
    </row>
    <row r="134">
      <c r="A134" s="96" t="s">
        <v>489</v>
      </c>
      <c r="B134" s="97" t="s">
        <v>1020</v>
      </c>
      <c r="C134" s="97" t="s">
        <v>1021</v>
      </c>
      <c r="D134" s="97" t="s">
        <v>1022</v>
      </c>
      <c r="E134" s="97" t="s">
        <v>789</v>
      </c>
      <c r="F134" s="97" t="b">
        <v>1</v>
      </c>
      <c r="G134" s="97" t="b">
        <v>1</v>
      </c>
      <c r="H134" s="98">
        <f>IF(A134:A2055="", "", COUNTIF(Check!H:H, A133:A2055))</f>
        <v>1</v>
      </c>
      <c r="I134" s="98"/>
      <c r="J134" s="98"/>
      <c r="K134" s="102"/>
      <c r="L134" s="102"/>
      <c r="M134" s="100"/>
      <c r="N134" s="101"/>
      <c r="O134" s="98"/>
      <c r="P134" s="98"/>
      <c r="Q134" s="98"/>
    </row>
    <row r="135">
      <c r="A135" s="96" t="s">
        <v>1023</v>
      </c>
      <c r="B135" s="97" t="s">
        <v>1024</v>
      </c>
      <c r="C135" s="97" t="s">
        <v>1025</v>
      </c>
      <c r="D135" s="97" t="s">
        <v>1026</v>
      </c>
      <c r="E135" s="97" t="s">
        <v>830</v>
      </c>
      <c r="F135" s="97" t="b">
        <v>0</v>
      </c>
      <c r="G135" s="97" t="b">
        <v>0</v>
      </c>
      <c r="H135" s="98"/>
      <c r="I135" s="98"/>
      <c r="J135" s="98"/>
      <c r="K135" s="100"/>
      <c r="L135" s="101"/>
      <c r="M135" s="108"/>
      <c r="N135" s="109"/>
      <c r="O135" s="98"/>
      <c r="P135" s="98"/>
      <c r="Q135" s="98"/>
    </row>
    <row r="136">
      <c r="A136" s="96" t="s">
        <v>124</v>
      </c>
      <c r="B136" s="97" t="s">
        <v>1027</v>
      </c>
      <c r="C136" s="97" t="s">
        <v>1028</v>
      </c>
      <c r="D136" s="97" t="s">
        <v>721</v>
      </c>
      <c r="E136" s="97" t="s">
        <v>590</v>
      </c>
      <c r="F136" s="97" t="b">
        <v>1</v>
      </c>
      <c r="G136" s="97" t="b">
        <v>1</v>
      </c>
      <c r="H136" s="98">
        <f>IF(A136:A2055="", "", COUNTIF(Check!H:H, A135:A2055))</f>
        <v>1</v>
      </c>
      <c r="I136" s="98"/>
      <c r="J136" s="98"/>
      <c r="K136" s="99"/>
      <c r="L136" s="99"/>
      <c r="M136" s="102"/>
      <c r="N136" s="102"/>
      <c r="O136" s="98"/>
      <c r="P136" s="98"/>
      <c r="Q136" s="98"/>
    </row>
    <row r="137">
      <c r="A137" s="96" t="s">
        <v>575</v>
      </c>
      <c r="B137" s="97" t="s">
        <v>1029</v>
      </c>
      <c r="C137" s="97" t="s">
        <v>1030</v>
      </c>
      <c r="D137" s="97" t="s">
        <v>633</v>
      </c>
      <c r="E137" s="97" t="s">
        <v>590</v>
      </c>
      <c r="F137" s="97" t="b">
        <v>0</v>
      </c>
      <c r="G137" s="97" t="b">
        <v>0</v>
      </c>
      <c r="H137" s="98"/>
      <c r="I137" s="98"/>
      <c r="J137" s="98"/>
      <c r="K137" s="99"/>
      <c r="L137" s="99"/>
      <c r="M137" s="102"/>
      <c r="N137" s="102"/>
      <c r="O137" s="98"/>
      <c r="P137" s="98"/>
      <c r="Q137" s="98"/>
    </row>
    <row r="138">
      <c r="A138" s="96" t="s">
        <v>1031</v>
      </c>
      <c r="B138" s="97" t="s">
        <v>1032</v>
      </c>
      <c r="C138" s="97" t="s">
        <v>1033</v>
      </c>
      <c r="D138" s="97" t="s">
        <v>854</v>
      </c>
      <c r="E138" s="97" t="s">
        <v>616</v>
      </c>
      <c r="F138" s="97" t="b">
        <v>0</v>
      </c>
      <c r="G138" s="97" t="b">
        <v>0</v>
      </c>
      <c r="H138" s="98"/>
      <c r="I138" s="98"/>
      <c r="J138" s="98"/>
      <c r="K138" s="99"/>
      <c r="L138" s="99"/>
      <c r="M138" s="108"/>
      <c r="N138" s="109"/>
      <c r="O138" s="98"/>
      <c r="P138" s="98"/>
      <c r="Q138" s="98"/>
    </row>
    <row r="139">
      <c r="A139" s="96" t="s">
        <v>1034</v>
      </c>
      <c r="B139" s="97" t="s">
        <v>1035</v>
      </c>
      <c r="C139" s="97" t="s">
        <v>1036</v>
      </c>
      <c r="D139" s="97" t="s">
        <v>912</v>
      </c>
      <c r="E139" s="97" t="s">
        <v>727</v>
      </c>
      <c r="F139" s="97" t="b">
        <v>0</v>
      </c>
      <c r="G139" s="97" t="b">
        <v>0</v>
      </c>
      <c r="H139" s="98"/>
      <c r="I139" s="98"/>
      <c r="J139" s="98"/>
      <c r="K139" s="99"/>
      <c r="L139" s="99"/>
      <c r="M139" s="100"/>
      <c r="N139" s="101"/>
      <c r="O139" s="98"/>
      <c r="P139" s="98"/>
      <c r="Q139" s="98"/>
    </row>
    <row r="140">
      <c r="A140" s="96" t="s">
        <v>1037</v>
      </c>
      <c r="B140" s="97" t="s">
        <v>1038</v>
      </c>
      <c r="C140" s="97" t="s">
        <v>1039</v>
      </c>
      <c r="D140" s="97" t="s">
        <v>1026</v>
      </c>
      <c r="E140" s="97" t="s">
        <v>685</v>
      </c>
      <c r="F140" s="97" t="b">
        <v>0</v>
      </c>
      <c r="G140" s="97" t="b">
        <v>0</v>
      </c>
      <c r="H140" s="98"/>
      <c r="I140" s="98"/>
      <c r="J140" s="98"/>
      <c r="K140" s="99"/>
      <c r="L140" s="99"/>
      <c r="M140" s="100"/>
      <c r="N140" s="101"/>
      <c r="O140" s="98"/>
      <c r="P140" s="98"/>
      <c r="Q140" s="98"/>
    </row>
    <row r="141">
      <c r="A141" s="96" t="s">
        <v>576</v>
      </c>
      <c r="B141" s="97" t="s">
        <v>1040</v>
      </c>
      <c r="C141" s="97" t="s">
        <v>1041</v>
      </c>
      <c r="D141" s="97" t="s">
        <v>792</v>
      </c>
      <c r="E141" s="97" t="s">
        <v>611</v>
      </c>
      <c r="F141" s="97" t="b">
        <v>0</v>
      </c>
      <c r="G141" s="97" t="b">
        <v>0</v>
      </c>
      <c r="H141" s="98"/>
      <c r="I141" s="98"/>
      <c r="J141" s="98"/>
      <c r="K141" s="99"/>
      <c r="L141" s="99"/>
      <c r="M141" s="102"/>
      <c r="N141" s="102"/>
      <c r="O141" s="98"/>
      <c r="P141" s="98"/>
      <c r="Q141" s="98"/>
    </row>
    <row r="142">
      <c r="A142" s="96" t="s">
        <v>349</v>
      </c>
      <c r="B142" s="97" t="s">
        <v>1042</v>
      </c>
      <c r="C142" s="97" t="s">
        <v>1043</v>
      </c>
      <c r="D142" s="97" t="s">
        <v>847</v>
      </c>
      <c r="E142" s="97" t="s">
        <v>582</v>
      </c>
      <c r="F142" s="97" t="b">
        <v>1</v>
      </c>
      <c r="G142" s="97" t="b">
        <v>1</v>
      </c>
      <c r="H142" s="98">
        <f>IF(A142:A2055="", "", COUNTIF(Check!H:H, A141:A2055))</f>
        <v>1</v>
      </c>
      <c r="I142" s="98"/>
      <c r="J142" s="98"/>
      <c r="K142" s="99"/>
      <c r="L142" s="99"/>
      <c r="M142" s="102"/>
      <c r="N142" s="102"/>
      <c r="O142" s="98"/>
      <c r="P142" s="98"/>
      <c r="Q142" s="98"/>
    </row>
    <row r="143">
      <c r="A143" s="96" t="s">
        <v>1044</v>
      </c>
      <c r="B143" s="97" t="s">
        <v>1045</v>
      </c>
      <c r="C143" s="97" t="s">
        <v>1046</v>
      </c>
      <c r="D143" s="97" t="s">
        <v>684</v>
      </c>
      <c r="E143" s="97" t="s">
        <v>697</v>
      </c>
      <c r="F143" s="97" t="b">
        <v>0</v>
      </c>
      <c r="G143" s="97" t="b">
        <v>0</v>
      </c>
      <c r="H143" s="98"/>
      <c r="I143" s="98"/>
      <c r="J143" s="98"/>
      <c r="K143" s="100" t="s">
        <v>834</v>
      </c>
      <c r="L143" s="101">
        <f t="shared" ref="L143:L144" si="1">COUNTIFS($D$2:$D$1039, K143, $F$2:$F$1039, TRUE)</f>
        <v>2</v>
      </c>
      <c r="M143" s="100" t="s">
        <v>1047</v>
      </c>
      <c r="N143" s="101">
        <f t="shared" ref="N143:N144" si="2">COUNTIFS($E$2:$E$1039, M143, $F$2:$F$1039, TRUE)</f>
        <v>0</v>
      </c>
      <c r="O143" s="98"/>
      <c r="P143" s="98"/>
      <c r="Q143" s="98"/>
    </row>
    <row r="144">
      <c r="A144" s="96" t="s">
        <v>387</v>
      </c>
      <c r="B144" s="97" t="s">
        <v>1048</v>
      </c>
      <c r="C144" s="97" t="s">
        <v>1049</v>
      </c>
      <c r="D144" s="97" t="s">
        <v>847</v>
      </c>
      <c r="E144" s="97" t="s">
        <v>1050</v>
      </c>
      <c r="F144" s="97" t="b">
        <v>1</v>
      </c>
      <c r="G144" s="97" t="b">
        <v>1</v>
      </c>
      <c r="H144" s="98">
        <f>IF(A144:A2055="", "", COUNTIF(Check!H:H, A143:A2055))</f>
        <v>1</v>
      </c>
      <c r="I144" s="98"/>
      <c r="J144" s="98"/>
      <c r="K144" s="108" t="s">
        <v>721</v>
      </c>
      <c r="L144" s="110">
        <f t="shared" si="1"/>
        <v>12</v>
      </c>
      <c r="M144" s="100" t="s">
        <v>1051</v>
      </c>
      <c r="N144" s="101">
        <f t="shared" si="2"/>
        <v>0</v>
      </c>
      <c r="O144" s="98"/>
      <c r="P144" s="98"/>
      <c r="Q144" s="98"/>
    </row>
    <row r="145">
      <c r="A145" s="96" t="s">
        <v>381</v>
      </c>
      <c r="B145" s="97" t="s">
        <v>1048</v>
      </c>
      <c r="C145" s="97" t="s">
        <v>1052</v>
      </c>
      <c r="D145" s="97"/>
      <c r="E145" s="97"/>
      <c r="F145" s="97" t="b">
        <v>1</v>
      </c>
      <c r="G145" s="97" t="b">
        <v>1</v>
      </c>
      <c r="H145" s="98">
        <f>IF(A145:A2055="", "", COUNTIF(Check!H:H, A144:A2055))</f>
        <v>1</v>
      </c>
      <c r="I145" s="98"/>
      <c r="J145" s="98"/>
      <c r="K145" s="102"/>
      <c r="L145" s="102"/>
      <c r="M145" s="102"/>
      <c r="N145" s="102"/>
      <c r="O145" s="98"/>
      <c r="P145" s="98"/>
      <c r="Q145" s="98"/>
    </row>
    <row r="146">
      <c r="A146" s="96" t="s">
        <v>411</v>
      </c>
      <c r="B146" s="97" t="s">
        <v>1053</v>
      </c>
      <c r="C146" s="97" t="s">
        <v>1054</v>
      </c>
      <c r="D146" s="97" t="s">
        <v>1055</v>
      </c>
      <c r="E146" s="97" t="s">
        <v>727</v>
      </c>
      <c r="F146" s="97" t="b">
        <v>1</v>
      </c>
      <c r="G146" s="97" t="b">
        <v>1</v>
      </c>
      <c r="H146" s="98">
        <f>IF(A146:A2055="", "", COUNTIF(Check!H:H, A145:A2055))</f>
        <v>1</v>
      </c>
      <c r="I146" s="98"/>
      <c r="J146" s="98"/>
      <c r="K146" s="99"/>
      <c r="L146" s="99"/>
      <c r="M146" s="103"/>
      <c r="N146" s="104"/>
      <c r="O146" s="106"/>
      <c r="P146" s="106"/>
      <c r="Q146" s="98"/>
    </row>
    <row r="147">
      <c r="A147" s="96" t="s">
        <v>1056</v>
      </c>
      <c r="B147" s="97" t="s">
        <v>1057</v>
      </c>
      <c r="C147" s="97" t="s">
        <v>1058</v>
      </c>
      <c r="D147" s="97" t="s">
        <v>726</v>
      </c>
      <c r="E147" s="97" t="s">
        <v>932</v>
      </c>
      <c r="F147" s="97" t="b">
        <v>0</v>
      </c>
      <c r="G147" s="97" t="b">
        <v>0</v>
      </c>
      <c r="H147" s="98"/>
      <c r="I147" s="98"/>
      <c r="J147" s="98"/>
      <c r="K147" s="99"/>
      <c r="L147" s="99"/>
      <c r="M147" s="102"/>
      <c r="N147" s="102"/>
      <c r="O147" s="98"/>
      <c r="P147" s="98"/>
      <c r="Q147" s="98"/>
    </row>
    <row r="148">
      <c r="A148" s="96" t="s">
        <v>1059</v>
      </c>
      <c r="B148" s="97" t="s">
        <v>1060</v>
      </c>
      <c r="C148" s="97" t="s">
        <v>1061</v>
      </c>
      <c r="D148" s="97" t="s">
        <v>801</v>
      </c>
      <c r="E148" s="97" t="s">
        <v>921</v>
      </c>
      <c r="F148" s="97" t="b">
        <v>0</v>
      </c>
      <c r="G148" s="97" t="b">
        <v>0</v>
      </c>
      <c r="H148" s="98"/>
      <c r="I148" s="98"/>
      <c r="J148" s="98"/>
      <c r="K148" s="99"/>
      <c r="L148" s="99"/>
      <c r="M148" s="102"/>
      <c r="N148" s="102"/>
      <c r="O148" s="98"/>
      <c r="P148" s="98"/>
      <c r="Q148" s="98"/>
    </row>
    <row r="149">
      <c r="A149" s="96" t="s">
        <v>477</v>
      </c>
      <c r="B149" s="97" t="s">
        <v>1062</v>
      </c>
      <c r="C149" s="97" t="s">
        <v>1063</v>
      </c>
      <c r="D149" s="97" t="s">
        <v>624</v>
      </c>
      <c r="E149" s="97" t="s">
        <v>607</v>
      </c>
      <c r="F149" s="97" t="b">
        <v>1</v>
      </c>
      <c r="G149" s="97" t="b">
        <v>1</v>
      </c>
      <c r="H149" s="98">
        <f>IF(A149:A2055="", "", COUNTIF(Check!H:H, A148:A2055))</f>
        <v>1</v>
      </c>
      <c r="I149" s="98"/>
      <c r="J149" s="98"/>
      <c r="K149" s="99"/>
      <c r="L149" s="99"/>
      <c r="M149" s="102"/>
      <c r="N149" s="102"/>
      <c r="O149" s="98"/>
      <c r="P149" s="98"/>
      <c r="Q149" s="98"/>
    </row>
    <row r="150">
      <c r="A150" s="96" t="s">
        <v>1064</v>
      </c>
      <c r="B150" s="97" t="s">
        <v>1065</v>
      </c>
      <c r="C150" s="97" t="s">
        <v>1066</v>
      </c>
      <c r="D150" s="97" t="s">
        <v>615</v>
      </c>
      <c r="E150" s="97" t="s">
        <v>590</v>
      </c>
      <c r="F150" s="97" t="b">
        <v>0</v>
      </c>
      <c r="G150" s="97" t="b">
        <v>0</v>
      </c>
      <c r="H150" s="98"/>
      <c r="I150" s="98"/>
      <c r="K150" s="99"/>
      <c r="L150" s="99"/>
      <c r="M150" s="103"/>
      <c r="N150" s="104"/>
      <c r="O150" s="106"/>
      <c r="P150" s="106"/>
      <c r="Q150" s="98"/>
    </row>
    <row r="151">
      <c r="A151" s="96" t="s">
        <v>1067</v>
      </c>
      <c r="B151" s="97" t="s">
        <v>1068</v>
      </c>
      <c r="C151" s="97" t="s">
        <v>1069</v>
      </c>
      <c r="D151" s="97" t="s">
        <v>784</v>
      </c>
      <c r="E151" s="97" t="s">
        <v>630</v>
      </c>
      <c r="F151" s="97" t="b">
        <v>0</v>
      </c>
      <c r="G151" s="97" t="b">
        <v>0</v>
      </c>
      <c r="H151" s="98"/>
      <c r="I151" s="98"/>
      <c r="J151" s="98"/>
      <c r="K151" s="99"/>
      <c r="L151" s="99"/>
      <c r="M151" s="108"/>
      <c r="N151" s="109"/>
      <c r="O151" s="98"/>
      <c r="P151" s="98"/>
      <c r="Q151" s="98"/>
    </row>
    <row r="152">
      <c r="A152" s="96" t="s">
        <v>468</v>
      </c>
      <c r="B152" s="97" t="s">
        <v>1070</v>
      </c>
      <c r="C152" s="97" t="s">
        <v>1071</v>
      </c>
      <c r="D152" s="97" t="s">
        <v>725</v>
      </c>
      <c r="E152" s="97" t="s">
        <v>830</v>
      </c>
      <c r="F152" s="97" t="b">
        <v>1</v>
      </c>
      <c r="G152" s="97" t="b">
        <v>1</v>
      </c>
      <c r="H152" s="98">
        <f>IF(A152:A2055="", "", COUNTIF(Check!H:H, A151:A2055))</f>
        <v>1</v>
      </c>
      <c r="I152" s="98"/>
      <c r="J152" s="98"/>
      <c r="K152" s="100"/>
      <c r="L152" s="107"/>
      <c r="M152" s="108"/>
      <c r="N152" s="109"/>
      <c r="O152" s="98"/>
      <c r="P152" s="98"/>
      <c r="Q152" s="98"/>
    </row>
    <row r="153">
      <c r="A153" s="96" t="s">
        <v>1072</v>
      </c>
      <c r="B153" s="97" t="s">
        <v>1073</v>
      </c>
      <c r="C153" s="97" t="s">
        <v>1074</v>
      </c>
      <c r="D153" s="97" t="s">
        <v>1075</v>
      </c>
      <c r="E153" s="97" t="s">
        <v>1076</v>
      </c>
      <c r="F153" s="97" t="b">
        <v>0</v>
      </c>
      <c r="G153" s="97" t="b">
        <v>0</v>
      </c>
      <c r="H153" s="98"/>
      <c r="I153" s="98"/>
      <c r="J153" s="98"/>
      <c r="K153" s="99"/>
      <c r="L153" s="99"/>
      <c r="M153" s="103"/>
      <c r="N153" s="104"/>
      <c r="O153" s="105"/>
      <c r="P153" s="105"/>
      <c r="Q153" s="98"/>
    </row>
    <row r="154">
      <c r="A154" s="96" t="s">
        <v>1077</v>
      </c>
      <c r="B154" s="97" t="s">
        <v>1078</v>
      </c>
      <c r="C154" s="97" t="s">
        <v>1079</v>
      </c>
      <c r="D154" s="97" t="s">
        <v>655</v>
      </c>
      <c r="E154" s="97" t="s">
        <v>688</v>
      </c>
      <c r="F154" s="97" t="b">
        <v>0</v>
      </c>
      <c r="G154" s="97" t="b">
        <v>0</v>
      </c>
      <c r="H154" s="98"/>
      <c r="I154" s="98"/>
      <c r="J154" s="98"/>
      <c r="K154" s="99"/>
      <c r="L154" s="99"/>
      <c r="M154" s="102"/>
      <c r="N154" s="102"/>
      <c r="O154" s="98"/>
      <c r="P154" s="98"/>
      <c r="Q154" s="98"/>
    </row>
    <row r="155">
      <c r="A155" s="96" t="s">
        <v>1077</v>
      </c>
      <c r="B155" s="97" t="s">
        <v>1078</v>
      </c>
      <c r="C155" s="97" t="s">
        <v>1079</v>
      </c>
      <c r="D155" s="97" t="s">
        <v>655</v>
      </c>
      <c r="E155" s="97" t="s">
        <v>688</v>
      </c>
      <c r="F155" s="97" t="b">
        <v>0</v>
      </c>
      <c r="G155" s="97" t="b">
        <v>0</v>
      </c>
      <c r="H155" s="98"/>
      <c r="I155" s="98"/>
      <c r="J155" s="98"/>
      <c r="K155" s="99"/>
      <c r="L155" s="99"/>
      <c r="M155" s="102"/>
      <c r="N155" s="102"/>
      <c r="O155" s="98"/>
      <c r="P155" s="98"/>
      <c r="Q155" s="98"/>
    </row>
    <row r="156">
      <c r="A156" s="96" t="s">
        <v>186</v>
      </c>
      <c r="B156" s="97" t="s">
        <v>1080</v>
      </c>
      <c r="C156" s="97" t="s">
        <v>1081</v>
      </c>
      <c r="D156" s="97" t="s">
        <v>633</v>
      </c>
      <c r="E156" s="97" t="s">
        <v>727</v>
      </c>
      <c r="F156" s="97" t="b">
        <v>1</v>
      </c>
      <c r="G156" s="97" t="b">
        <v>1</v>
      </c>
      <c r="H156" s="98">
        <f>IF(A156:A2055="", "", COUNTIF(Check!H:H, A155:A2055))</f>
        <v>1</v>
      </c>
      <c r="I156" s="98"/>
      <c r="J156" s="98"/>
      <c r="K156" s="99"/>
      <c r="L156" s="99"/>
      <c r="M156" s="102"/>
      <c r="N156" s="102"/>
      <c r="O156" s="98"/>
      <c r="P156" s="98"/>
      <c r="Q156" s="98"/>
    </row>
    <row r="157">
      <c r="A157" s="96" t="s">
        <v>1082</v>
      </c>
      <c r="B157" s="97" t="s">
        <v>1083</v>
      </c>
      <c r="C157" s="97" t="s">
        <v>1084</v>
      </c>
      <c r="D157" s="97" t="s">
        <v>1017</v>
      </c>
      <c r="E157" s="97" t="s">
        <v>1085</v>
      </c>
      <c r="F157" s="97" t="b">
        <v>0</v>
      </c>
      <c r="G157" s="97" t="b">
        <v>0</v>
      </c>
      <c r="H157" s="98"/>
      <c r="I157" s="98"/>
      <c r="J157" s="98"/>
      <c r="K157" s="108"/>
      <c r="L157" s="110"/>
      <c r="M157" s="108"/>
      <c r="N157" s="109"/>
      <c r="O157" s="98"/>
      <c r="P157" s="98"/>
      <c r="Q157" s="98"/>
    </row>
    <row r="158">
      <c r="A158" s="96" t="s">
        <v>1086</v>
      </c>
      <c r="B158" s="97" t="s">
        <v>1087</v>
      </c>
      <c r="C158" s="97" t="s">
        <v>1088</v>
      </c>
      <c r="D158" s="97" t="s">
        <v>1089</v>
      </c>
      <c r="E158" s="97" t="s">
        <v>678</v>
      </c>
      <c r="F158" s="97" t="b">
        <v>0</v>
      </c>
      <c r="G158" s="97" t="b">
        <v>0</v>
      </c>
      <c r="H158" s="98"/>
      <c r="I158" s="98"/>
      <c r="J158" s="98"/>
      <c r="K158" s="99"/>
      <c r="L158" s="99"/>
      <c r="M158" s="102"/>
      <c r="N158" s="102"/>
      <c r="O158" s="98"/>
      <c r="P158" s="98"/>
      <c r="Q158" s="98"/>
    </row>
    <row r="159">
      <c r="A159" s="96" t="s">
        <v>1090</v>
      </c>
      <c r="B159" s="97" t="s">
        <v>1091</v>
      </c>
      <c r="C159" s="97" t="s">
        <v>1092</v>
      </c>
      <c r="D159" s="97" t="s">
        <v>1022</v>
      </c>
      <c r="E159" s="97" t="s">
        <v>733</v>
      </c>
      <c r="F159" s="97" t="b">
        <v>0</v>
      </c>
      <c r="G159" s="97" t="b">
        <v>0</v>
      </c>
      <c r="H159" s="98"/>
      <c r="I159" s="98"/>
      <c r="J159" s="98"/>
      <c r="K159" s="100"/>
      <c r="L159" s="101"/>
      <c r="M159" s="100"/>
      <c r="N159" s="101"/>
      <c r="O159" s="98"/>
      <c r="P159" s="98"/>
      <c r="Q159" s="98"/>
    </row>
    <row r="160">
      <c r="A160" s="96" t="s">
        <v>1093</v>
      </c>
      <c r="B160" s="97" t="s">
        <v>1094</v>
      </c>
      <c r="C160" s="97" t="s">
        <v>1095</v>
      </c>
      <c r="D160" s="97" t="s">
        <v>920</v>
      </c>
      <c r="E160" s="97" t="s">
        <v>767</v>
      </c>
      <c r="F160" s="97" t="b">
        <v>1</v>
      </c>
      <c r="G160" s="97" t="b">
        <v>1</v>
      </c>
      <c r="H160" s="98">
        <f>IF(A160:A2055="", "", COUNTIF(Check!H:H, A159:A2055))</f>
        <v>1</v>
      </c>
      <c r="I160" s="98"/>
      <c r="J160" s="98"/>
      <c r="K160" s="99"/>
      <c r="L160" s="99"/>
      <c r="M160" s="102"/>
      <c r="N160" s="102"/>
      <c r="O160" s="98"/>
      <c r="P160" s="98"/>
      <c r="Q160" s="98"/>
    </row>
    <row r="161">
      <c r="A161" s="96" t="s">
        <v>403</v>
      </c>
      <c r="B161" s="97" t="s">
        <v>1096</v>
      </c>
      <c r="C161" s="97" t="s">
        <v>1097</v>
      </c>
      <c r="D161" s="97" t="s">
        <v>1055</v>
      </c>
      <c r="E161" s="97" t="s">
        <v>733</v>
      </c>
      <c r="F161" s="97" t="b">
        <v>1</v>
      </c>
      <c r="G161" s="97" t="b">
        <v>1</v>
      </c>
      <c r="H161" s="98">
        <f>IF(A161:A2055="", "", COUNTIF(Check!H:H, A160:A2055))</f>
        <v>1</v>
      </c>
      <c r="I161" s="98"/>
      <c r="J161" s="98"/>
      <c r="K161" s="100"/>
      <c r="L161" s="107"/>
      <c r="M161" s="103"/>
      <c r="N161" s="104"/>
      <c r="O161" s="105"/>
      <c r="P161" s="105"/>
      <c r="Q161" s="105"/>
    </row>
    <row r="162">
      <c r="A162" s="96" t="s">
        <v>1098</v>
      </c>
      <c r="B162" s="97" t="s">
        <v>1099</v>
      </c>
      <c r="C162" s="97" t="s">
        <v>1100</v>
      </c>
      <c r="D162" s="97" t="s">
        <v>955</v>
      </c>
      <c r="E162" s="97" t="s">
        <v>1101</v>
      </c>
      <c r="F162" s="97" t="b">
        <v>0</v>
      </c>
      <c r="G162" s="97" t="b">
        <v>0</v>
      </c>
      <c r="H162" s="98"/>
      <c r="I162" s="98"/>
      <c r="J162" s="98"/>
      <c r="K162" s="99"/>
      <c r="L162" s="99"/>
      <c r="M162" s="102"/>
      <c r="N162" s="102"/>
      <c r="O162" s="98"/>
      <c r="P162" s="98"/>
      <c r="Q162" s="105"/>
    </row>
    <row r="163">
      <c r="A163" s="96" t="s">
        <v>1102</v>
      </c>
      <c r="B163" s="97" t="s">
        <v>1103</v>
      </c>
      <c r="C163" s="97" t="s">
        <v>1104</v>
      </c>
      <c r="D163" s="97" t="s">
        <v>912</v>
      </c>
      <c r="E163" s="97" t="s">
        <v>1105</v>
      </c>
      <c r="F163" s="97" t="b">
        <v>0</v>
      </c>
      <c r="G163" s="97" t="b">
        <v>0</v>
      </c>
      <c r="H163" s="98"/>
      <c r="I163" s="98"/>
      <c r="J163" s="98"/>
      <c r="K163" s="99"/>
      <c r="L163" s="99"/>
      <c r="M163" s="102"/>
      <c r="N163" s="102"/>
      <c r="O163" s="98"/>
      <c r="P163" s="98"/>
      <c r="Q163" s="105"/>
    </row>
    <row r="164">
      <c r="A164" s="96" t="s">
        <v>513</v>
      </c>
      <c r="B164" s="97" t="s">
        <v>1106</v>
      </c>
      <c r="C164" s="97" t="s">
        <v>1107</v>
      </c>
      <c r="D164" s="97" t="s">
        <v>1108</v>
      </c>
      <c r="E164" s="97" t="s">
        <v>644</v>
      </c>
      <c r="F164" s="97" t="b">
        <v>1</v>
      </c>
      <c r="G164" s="97" t="b">
        <v>1</v>
      </c>
      <c r="H164" s="98">
        <f>IF(A164:A2055="", "", COUNTIF(Check!H:H, A163:A2055))</f>
        <v>1</v>
      </c>
      <c r="I164" s="98"/>
      <c r="J164" s="98"/>
      <c r="K164" s="99"/>
      <c r="L164" s="99"/>
      <c r="M164" s="102"/>
      <c r="N164" s="102"/>
      <c r="O164" s="98"/>
      <c r="P164" s="98"/>
      <c r="Q164" s="98"/>
    </row>
    <row r="165">
      <c r="A165" s="96" t="s">
        <v>1109</v>
      </c>
      <c r="B165" s="97" t="s">
        <v>1110</v>
      </c>
      <c r="C165" s="97" t="s">
        <v>1111</v>
      </c>
      <c r="D165" s="97" t="s">
        <v>692</v>
      </c>
      <c r="E165" s="97" t="s">
        <v>630</v>
      </c>
      <c r="F165" s="97" t="b">
        <v>0</v>
      </c>
      <c r="G165" s="97" t="b">
        <v>0</v>
      </c>
      <c r="H165" s="98"/>
      <c r="I165" s="98"/>
      <c r="J165" s="98"/>
      <c r="K165" s="99"/>
      <c r="L165" s="99"/>
      <c r="M165" s="102"/>
      <c r="N165" s="102"/>
      <c r="O165" s="98"/>
      <c r="P165" s="98"/>
      <c r="Q165" s="98"/>
    </row>
    <row r="166">
      <c r="A166" s="96" t="s">
        <v>502</v>
      </c>
      <c r="B166" s="97" t="s">
        <v>1112</v>
      </c>
      <c r="C166" s="97" t="s">
        <v>1113</v>
      </c>
      <c r="D166" s="97" t="s">
        <v>1114</v>
      </c>
      <c r="E166" s="97" t="s">
        <v>616</v>
      </c>
      <c r="F166" s="97" t="b">
        <v>1</v>
      </c>
      <c r="G166" s="97" t="b">
        <v>1</v>
      </c>
      <c r="H166" s="98">
        <f>IF(A166:A2055="", "", COUNTIF(Check!H:H, A165:A2055))</f>
        <v>1</v>
      </c>
      <c r="I166" s="98"/>
      <c r="J166" s="98"/>
      <c r="K166" s="99"/>
      <c r="L166" s="99"/>
      <c r="M166" s="102"/>
      <c r="N166" s="102"/>
      <c r="O166" s="98"/>
      <c r="P166" s="98"/>
      <c r="Q166" s="98"/>
    </row>
    <row r="167">
      <c r="A167" s="96" t="s">
        <v>1115</v>
      </c>
      <c r="B167" s="97" t="s">
        <v>1116</v>
      </c>
      <c r="C167" s="97" t="s">
        <v>1117</v>
      </c>
      <c r="D167" s="97" t="s">
        <v>655</v>
      </c>
      <c r="E167" s="97" t="s">
        <v>688</v>
      </c>
      <c r="F167" s="97" t="b">
        <v>0</v>
      </c>
      <c r="G167" s="97" t="b">
        <v>0</v>
      </c>
      <c r="H167" s="98"/>
      <c r="I167" s="98"/>
      <c r="J167" s="98"/>
      <c r="K167" s="99"/>
      <c r="L167" s="99"/>
      <c r="M167" s="102"/>
      <c r="N167" s="102"/>
      <c r="O167" s="98"/>
      <c r="P167" s="98"/>
      <c r="Q167" s="98"/>
    </row>
    <row r="168">
      <c r="A168" s="96" t="s">
        <v>1118</v>
      </c>
      <c r="B168" s="97" t="s">
        <v>1119</v>
      </c>
      <c r="C168" s="97" t="s">
        <v>1120</v>
      </c>
      <c r="D168" s="97" t="s">
        <v>815</v>
      </c>
      <c r="E168" s="97" t="s">
        <v>1009</v>
      </c>
      <c r="F168" s="97" t="b">
        <v>0</v>
      </c>
      <c r="G168" s="97" t="b">
        <v>0</v>
      </c>
      <c r="H168" s="98"/>
      <c r="I168" s="98"/>
      <c r="J168" s="98"/>
      <c r="K168" s="99"/>
      <c r="L168" s="99"/>
      <c r="M168" s="102"/>
      <c r="N168" s="102"/>
      <c r="O168" s="98"/>
      <c r="P168" s="98"/>
      <c r="Q168" s="98"/>
    </row>
    <row r="169">
      <c r="A169" s="96" t="s">
        <v>1121</v>
      </c>
      <c r="B169" s="97" t="s">
        <v>1122</v>
      </c>
      <c r="C169" s="97" t="s">
        <v>1123</v>
      </c>
      <c r="D169" s="97" t="s">
        <v>788</v>
      </c>
      <c r="E169" s="97" t="s">
        <v>722</v>
      </c>
      <c r="F169" s="97" t="b">
        <v>0</v>
      </c>
      <c r="G169" s="97" t="b">
        <v>0</v>
      </c>
      <c r="H169" s="98"/>
      <c r="I169" s="98"/>
      <c r="J169" s="98"/>
      <c r="K169" s="102"/>
      <c r="L169" s="102"/>
      <c r="M169" s="100"/>
      <c r="N169" s="101"/>
      <c r="O169" s="98"/>
      <c r="P169" s="98"/>
      <c r="Q169" s="98"/>
    </row>
    <row r="170">
      <c r="A170" s="96" t="s">
        <v>1124</v>
      </c>
      <c r="B170" s="97" t="s">
        <v>1125</v>
      </c>
      <c r="C170" s="97" t="s">
        <v>1126</v>
      </c>
      <c r="D170" s="97" t="s">
        <v>1127</v>
      </c>
      <c r="E170" s="97" t="s">
        <v>582</v>
      </c>
      <c r="F170" s="97" t="b">
        <v>0</v>
      </c>
      <c r="G170" s="97" t="b">
        <v>0</v>
      </c>
      <c r="H170" s="98"/>
      <c r="I170" s="98"/>
      <c r="J170" s="98"/>
      <c r="K170" s="99"/>
      <c r="L170" s="99"/>
      <c r="M170" s="102"/>
      <c r="N170" s="102"/>
      <c r="O170" s="98"/>
      <c r="P170" s="98"/>
      <c r="Q170" s="98"/>
    </row>
    <row r="171">
      <c r="A171" s="96" t="s">
        <v>1128</v>
      </c>
      <c r="B171" s="97" t="s">
        <v>1129</v>
      </c>
      <c r="C171" s="97" t="s">
        <v>1130</v>
      </c>
      <c r="D171" s="97" t="s">
        <v>801</v>
      </c>
      <c r="E171" s="97" t="s">
        <v>688</v>
      </c>
      <c r="F171" s="97" t="b">
        <v>0</v>
      </c>
      <c r="G171" s="97" t="b">
        <v>0</v>
      </c>
      <c r="H171" s="98"/>
      <c r="I171" s="98"/>
      <c r="J171" s="98"/>
      <c r="K171" s="99"/>
      <c r="L171" s="99"/>
      <c r="M171" s="102"/>
      <c r="N171" s="102"/>
      <c r="O171" s="98"/>
      <c r="P171" s="98"/>
      <c r="Q171" s="98"/>
    </row>
    <row r="172">
      <c r="A172" s="96" t="s">
        <v>1131</v>
      </c>
      <c r="B172" s="97" t="s">
        <v>1132</v>
      </c>
      <c r="C172" s="97" t="s">
        <v>1133</v>
      </c>
      <c r="D172" s="97" t="s">
        <v>708</v>
      </c>
      <c r="E172" s="97" t="s">
        <v>1134</v>
      </c>
      <c r="F172" s="97" t="b">
        <v>0</v>
      </c>
      <c r="G172" s="97" t="b">
        <v>0</v>
      </c>
      <c r="H172" s="98"/>
      <c r="I172" s="98"/>
      <c r="J172" s="98"/>
      <c r="K172" s="100"/>
      <c r="L172" s="107"/>
      <c r="M172" s="102"/>
      <c r="N172" s="102"/>
      <c r="O172" s="98"/>
      <c r="P172" s="98"/>
      <c r="Q172" s="98"/>
    </row>
    <row r="173">
      <c r="A173" s="96" t="s">
        <v>1135</v>
      </c>
      <c r="B173" s="97" t="s">
        <v>1136</v>
      </c>
      <c r="C173" s="97" t="s">
        <v>1137</v>
      </c>
      <c r="D173" s="97" t="s">
        <v>726</v>
      </c>
      <c r="E173" s="97" t="s">
        <v>644</v>
      </c>
      <c r="F173" s="97" t="b">
        <v>0</v>
      </c>
      <c r="G173" s="97" t="b">
        <v>0</v>
      </c>
      <c r="H173" s="98"/>
      <c r="I173" s="98"/>
      <c r="J173" s="98"/>
      <c r="K173" s="100"/>
      <c r="L173" s="101"/>
      <c r="M173" s="108"/>
      <c r="N173" s="109"/>
      <c r="O173" s="98"/>
      <c r="P173" s="98"/>
      <c r="Q173" s="98"/>
    </row>
    <row r="174">
      <c r="A174" s="96" t="s">
        <v>374</v>
      </c>
      <c r="B174" s="97" t="s">
        <v>1138</v>
      </c>
      <c r="C174" s="97" t="s">
        <v>1139</v>
      </c>
      <c r="D174" s="97" t="s">
        <v>615</v>
      </c>
      <c r="E174" s="97" t="s">
        <v>607</v>
      </c>
      <c r="F174" s="97" t="b">
        <v>0</v>
      </c>
      <c r="G174" s="97" t="b">
        <v>0</v>
      </c>
      <c r="H174" s="98"/>
      <c r="I174" s="98"/>
      <c r="J174" s="98"/>
      <c r="K174" s="99"/>
      <c r="L174" s="99"/>
      <c r="M174" s="103"/>
      <c r="N174" s="104"/>
      <c r="O174" s="105"/>
      <c r="P174" s="105"/>
      <c r="Q174" s="98"/>
    </row>
    <row r="175">
      <c r="A175" s="96" t="s">
        <v>374</v>
      </c>
      <c r="B175" s="97" t="s">
        <v>1138</v>
      </c>
      <c r="C175" s="97" t="s">
        <v>1139</v>
      </c>
      <c r="D175" s="97" t="s">
        <v>615</v>
      </c>
      <c r="E175" s="97" t="s">
        <v>607</v>
      </c>
      <c r="F175" s="97" t="b">
        <v>0</v>
      </c>
      <c r="G175" s="97" t="b">
        <v>0</v>
      </c>
      <c r="H175" s="98"/>
      <c r="I175" s="98"/>
      <c r="J175" s="98"/>
      <c r="K175" s="99"/>
      <c r="L175" s="99"/>
      <c r="M175" s="103"/>
      <c r="N175" s="104"/>
      <c r="O175" s="105"/>
      <c r="P175" s="105"/>
      <c r="Q175" s="98"/>
    </row>
    <row r="176">
      <c r="A176" s="96" t="s">
        <v>1140</v>
      </c>
      <c r="B176" s="97" t="s">
        <v>1141</v>
      </c>
      <c r="C176" s="97" t="s">
        <v>1142</v>
      </c>
      <c r="D176" s="97" t="s">
        <v>764</v>
      </c>
      <c r="E176" s="97" t="s">
        <v>659</v>
      </c>
      <c r="F176" s="97" t="b">
        <v>0</v>
      </c>
      <c r="G176" s="97" t="b">
        <v>0</v>
      </c>
      <c r="H176" s="98"/>
      <c r="I176" s="98"/>
      <c r="J176" s="98"/>
      <c r="K176" s="99"/>
      <c r="L176" s="99"/>
      <c r="M176" s="100"/>
      <c r="N176" s="101"/>
      <c r="O176" s="98"/>
      <c r="P176" s="98"/>
      <c r="Q176" s="98"/>
    </row>
    <row r="177">
      <c r="A177" s="96" t="s">
        <v>1140</v>
      </c>
      <c r="B177" s="97" t="s">
        <v>1141</v>
      </c>
      <c r="C177" s="97" t="s">
        <v>1142</v>
      </c>
      <c r="D177" s="97" t="s">
        <v>764</v>
      </c>
      <c r="E177" s="97" t="s">
        <v>659</v>
      </c>
      <c r="F177" s="97" t="b">
        <v>0</v>
      </c>
      <c r="G177" s="97" t="b">
        <v>0</v>
      </c>
      <c r="H177" s="98"/>
      <c r="I177" s="98"/>
      <c r="J177" s="98"/>
      <c r="K177" s="99"/>
      <c r="L177" s="99"/>
      <c r="M177" s="100"/>
      <c r="N177" s="101"/>
      <c r="O177" s="98"/>
      <c r="P177" s="98"/>
      <c r="Q177" s="98"/>
    </row>
    <row r="178">
      <c r="A178" s="96" t="s">
        <v>1143</v>
      </c>
      <c r="B178" s="97" t="s">
        <v>1144</v>
      </c>
      <c r="C178" s="97" t="s">
        <v>1145</v>
      </c>
      <c r="D178" s="97" t="s">
        <v>964</v>
      </c>
      <c r="E178" s="97" t="s">
        <v>1146</v>
      </c>
      <c r="F178" s="97" t="b">
        <v>0</v>
      </c>
      <c r="G178" s="97" t="b">
        <v>0</v>
      </c>
      <c r="H178" s="98"/>
      <c r="I178" s="98"/>
      <c r="J178" s="98"/>
      <c r="K178" s="99"/>
      <c r="L178" s="99"/>
      <c r="M178" s="103"/>
      <c r="N178" s="104"/>
      <c r="O178" s="106"/>
      <c r="P178" s="106"/>
      <c r="Q178" s="98"/>
    </row>
    <row r="179">
      <c r="A179" s="96" t="s">
        <v>1147</v>
      </c>
      <c r="B179" s="97" t="s">
        <v>1148</v>
      </c>
      <c r="C179" s="97" t="s">
        <v>1149</v>
      </c>
      <c r="D179" s="97" t="s">
        <v>747</v>
      </c>
      <c r="E179" s="97" t="s">
        <v>1150</v>
      </c>
      <c r="F179" s="97" t="b">
        <v>0</v>
      </c>
      <c r="G179" s="97" t="b">
        <v>0</v>
      </c>
      <c r="H179" s="98"/>
      <c r="I179" s="98"/>
      <c r="J179" s="98"/>
      <c r="K179" s="99"/>
      <c r="L179" s="99"/>
      <c r="M179" s="102"/>
      <c r="N179" s="102"/>
      <c r="O179" s="98"/>
      <c r="P179" s="98"/>
      <c r="Q179" s="98"/>
    </row>
    <row r="180">
      <c r="A180" s="96" t="s">
        <v>1151</v>
      </c>
      <c r="B180" s="97" t="s">
        <v>1152</v>
      </c>
      <c r="C180" s="97" t="s">
        <v>1153</v>
      </c>
      <c r="D180" s="97" t="s">
        <v>821</v>
      </c>
      <c r="E180" s="97" t="s">
        <v>651</v>
      </c>
      <c r="F180" s="97" t="b">
        <v>0</v>
      </c>
      <c r="G180" s="97" t="b">
        <v>0</v>
      </c>
      <c r="H180" s="98"/>
      <c r="I180" s="98"/>
      <c r="J180" s="98"/>
      <c r="K180" s="99"/>
      <c r="L180" s="99"/>
      <c r="M180" s="102"/>
      <c r="N180" s="102"/>
      <c r="O180" s="98"/>
      <c r="P180" s="98"/>
      <c r="Q180" s="98"/>
    </row>
    <row r="181">
      <c r="A181" s="96" t="s">
        <v>510</v>
      </c>
      <c r="B181" s="97" t="s">
        <v>1154</v>
      </c>
      <c r="C181" s="97" t="s">
        <v>1155</v>
      </c>
      <c r="D181" s="97" t="s">
        <v>773</v>
      </c>
      <c r="E181" s="97" t="s">
        <v>644</v>
      </c>
      <c r="F181" s="97" t="b">
        <v>1</v>
      </c>
      <c r="G181" s="97" t="b">
        <v>1</v>
      </c>
      <c r="H181" s="98">
        <f>IF(A181:A2055="", "", COUNTIF(Check!H:H, A180:A2055))</f>
        <v>1</v>
      </c>
      <c r="I181" s="98"/>
      <c r="J181" s="98"/>
      <c r="K181" s="100"/>
      <c r="L181" s="107"/>
      <c r="M181" s="108"/>
      <c r="N181" s="109"/>
      <c r="O181" s="98"/>
      <c r="P181" s="98"/>
      <c r="Q181" s="98"/>
    </row>
    <row r="182">
      <c r="A182" s="96" t="s">
        <v>544</v>
      </c>
      <c r="B182" s="97" t="s">
        <v>1156</v>
      </c>
      <c r="C182" s="97" t="s">
        <v>1157</v>
      </c>
      <c r="D182" s="97" t="s">
        <v>948</v>
      </c>
      <c r="E182" s="97" t="s">
        <v>607</v>
      </c>
      <c r="F182" s="97" t="b">
        <v>1</v>
      </c>
      <c r="G182" s="97" t="b">
        <v>1</v>
      </c>
      <c r="H182" s="98">
        <f>IF(A182:A2055="", "", COUNTIF(Check!H:H, A181:A2055))</f>
        <v>1</v>
      </c>
      <c r="I182" s="98"/>
      <c r="J182" s="98"/>
      <c r="K182" s="99"/>
      <c r="L182" s="99"/>
      <c r="M182" s="100"/>
      <c r="N182" s="101"/>
      <c r="O182" s="98"/>
      <c r="P182" s="98"/>
      <c r="Q182" s="98"/>
    </row>
    <row r="183">
      <c r="A183" s="96" t="s">
        <v>1158</v>
      </c>
      <c r="B183" s="97" t="s">
        <v>1159</v>
      </c>
      <c r="C183" s="97" t="s">
        <v>1160</v>
      </c>
      <c r="D183" s="97" t="s">
        <v>1099</v>
      </c>
      <c r="E183" s="97" t="s">
        <v>659</v>
      </c>
      <c r="F183" s="97" t="b">
        <v>0</v>
      </c>
      <c r="G183" s="97" t="b">
        <v>0</v>
      </c>
      <c r="H183" s="98"/>
      <c r="I183" s="98"/>
      <c r="J183" s="98"/>
      <c r="K183" s="99"/>
      <c r="L183" s="99"/>
      <c r="M183" s="108"/>
      <c r="N183" s="109"/>
      <c r="O183" s="98"/>
      <c r="P183" s="98"/>
      <c r="Q183" s="98"/>
    </row>
    <row r="184">
      <c r="A184" s="96" t="s">
        <v>126</v>
      </c>
      <c r="B184" s="97" t="s">
        <v>1161</v>
      </c>
      <c r="C184" s="97" t="s">
        <v>1162</v>
      </c>
      <c r="D184" s="97" t="s">
        <v>704</v>
      </c>
      <c r="E184" s="97" t="s">
        <v>586</v>
      </c>
      <c r="F184" s="97" t="b">
        <v>0</v>
      </c>
      <c r="G184" s="97" t="b">
        <v>0</v>
      </c>
      <c r="H184" s="98"/>
      <c r="I184" s="98"/>
      <c r="J184" s="98"/>
      <c r="K184" s="99"/>
      <c r="L184" s="99"/>
      <c r="M184" s="102"/>
      <c r="N184" s="102"/>
      <c r="O184" s="98"/>
      <c r="P184" s="98"/>
      <c r="Q184" s="98"/>
    </row>
    <row r="185">
      <c r="A185" s="96" t="s">
        <v>282</v>
      </c>
      <c r="B185" s="97" t="s">
        <v>1163</v>
      </c>
      <c r="C185" s="97" t="s">
        <v>1164</v>
      </c>
      <c r="D185" s="97" t="s">
        <v>658</v>
      </c>
      <c r="E185" s="97" t="s">
        <v>697</v>
      </c>
      <c r="F185" s="97" t="b">
        <v>1</v>
      </c>
      <c r="G185" s="97" t="b">
        <v>1</v>
      </c>
      <c r="H185" s="98">
        <f>IF(A185:A2055="", "", COUNTIF(Check!H:H, A184:A2055))</f>
        <v>1</v>
      </c>
      <c r="I185" s="98"/>
      <c r="J185" s="98"/>
      <c r="K185" s="100" t="s">
        <v>1075</v>
      </c>
      <c r="L185" s="107">
        <f>COUNTIFS($D$2:$D$1039, K185, $F$2:$F$1039, TRUE)</f>
        <v>0</v>
      </c>
      <c r="M185" s="100" t="s">
        <v>1165</v>
      </c>
      <c r="N185" s="101">
        <f>COUNTIFS($E$2:$E$1039, M185, $F$2:$F$1039, TRUE)</f>
        <v>0</v>
      </c>
      <c r="O185" s="98"/>
      <c r="P185" s="98"/>
      <c r="Q185" s="98"/>
    </row>
    <row r="186">
      <c r="A186" s="96" t="s">
        <v>1166</v>
      </c>
      <c r="B186" s="97" t="s">
        <v>1167</v>
      </c>
      <c r="C186" s="97" t="s">
        <v>1168</v>
      </c>
      <c r="D186" s="97" t="s">
        <v>1169</v>
      </c>
      <c r="E186" s="97" t="s">
        <v>789</v>
      </c>
      <c r="F186" s="97" t="b">
        <v>0</v>
      </c>
      <c r="G186" s="97" t="b">
        <v>0</v>
      </c>
      <c r="H186" s="98"/>
      <c r="I186" s="98"/>
      <c r="J186" s="98"/>
      <c r="K186" s="102"/>
      <c r="L186" s="102"/>
      <c r="M186" s="102"/>
      <c r="N186" s="102"/>
      <c r="O186" s="98"/>
      <c r="P186" s="98"/>
      <c r="Q186" s="98"/>
    </row>
    <row r="187">
      <c r="A187" s="96" t="s">
        <v>428</v>
      </c>
      <c r="B187" s="97" t="s">
        <v>1170</v>
      </c>
      <c r="C187" s="97" t="s">
        <v>1171</v>
      </c>
      <c r="D187" s="97" t="s">
        <v>826</v>
      </c>
      <c r="E187" s="97" t="s">
        <v>649</v>
      </c>
      <c r="F187" s="97" t="b">
        <v>1</v>
      </c>
      <c r="G187" s="97" t="b">
        <v>1</v>
      </c>
      <c r="H187" s="98">
        <f>IF(A187:A2055="", "", COUNTIF(Check!H:H, A186:A2055))</f>
        <v>1</v>
      </c>
      <c r="I187" s="98"/>
      <c r="J187" s="98"/>
      <c r="K187" s="100" t="s">
        <v>781</v>
      </c>
      <c r="L187" s="101">
        <f>COUNTIFS($D$2:$D$1039, K187, $F$2:$F$1039, TRUE)</f>
        <v>4</v>
      </c>
      <c r="M187" s="100" t="s">
        <v>1172</v>
      </c>
      <c r="N187" s="101">
        <f>COUNTIFS($E$2:$E$1039, M187, $F$2:$F$1039, TRUE)</f>
        <v>0</v>
      </c>
      <c r="O187" s="98"/>
      <c r="P187" s="98"/>
      <c r="Q187" s="98"/>
    </row>
    <row r="188">
      <c r="A188" s="96" t="s">
        <v>242</v>
      </c>
      <c r="B188" s="97" t="s">
        <v>1173</v>
      </c>
      <c r="C188" s="97" t="s">
        <v>1174</v>
      </c>
      <c r="D188" s="97" t="s">
        <v>964</v>
      </c>
      <c r="E188" s="97" t="s">
        <v>761</v>
      </c>
      <c r="F188" s="97" t="b">
        <v>1</v>
      </c>
      <c r="G188" s="97" t="b">
        <v>1</v>
      </c>
      <c r="H188" s="98">
        <f>IF(A188:A2055="", "", COUNTIF(Check!H:H, A187:A2055))</f>
        <v>1</v>
      </c>
      <c r="I188" s="98"/>
      <c r="J188" s="98"/>
      <c r="K188" s="99"/>
      <c r="L188" s="99"/>
      <c r="M188" s="103"/>
      <c r="N188" s="104"/>
      <c r="O188" s="106"/>
      <c r="P188" s="106"/>
      <c r="Q188" s="98"/>
    </row>
    <row r="189">
      <c r="A189" s="96" t="s">
        <v>72</v>
      </c>
      <c r="B189" s="97" t="s">
        <v>1175</v>
      </c>
      <c r="C189" s="97" t="s">
        <v>1176</v>
      </c>
      <c r="D189" s="97" t="s">
        <v>1177</v>
      </c>
      <c r="E189" s="97" t="s">
        <v>733</v>
      </c>
      <c r="F189" s="97" t="b">
        <v>0</v>
      </c>
      <c r="G189" s="97" t="b">
        <v>0</v>
      </c>
      <c r="H189" s="98"/>
      <c r="I189" s="98"/>
      <c r="J189" s="98"/>
      <c r="K189" s="100"/>
      <c r="L189" s="101"/>
      <c r="M189" s="108"/>
      <c r="N189" s="109"/>
      <c r="O189" s="98"/>
      <c r="P189" s="98"/>
      <c r="Q189" s="98"/>
    </row>
    <row r="190">
      <c r="A190" s="96" t="s">
        <v>422</v>
      </c>
      <c r="B190" s="97" t="s">
        <v>1178</v>
      </c>
      <c r="C190" s="97" t="s">
        <v>1179</v>
      </c>
      <c r="D190" s="97"/>
      <c r="E190" s="97"/>
      <c r="F190" s="97" t="b">
        <v>1</v>
      </c>
      <c r="G190" s="97" t="b">
        <v>1</v>
      </c>
      <c r="H190" s="98">
        <f>IF(A190:A2055="", "", COUNTIF(Check!H:H, A189:A2055))</f>
        <v>1</v>
      </c>
      <c r="I190" s="98"/>
      <c r="J190" s="98"/>
      <c r="K190" s="102"/>
      <c r="L190" s="102"/>
      <c r="M190" s="102"/>
      <c r="N190" s="102"/>
      <c r="O190" s="98"/>
      <c r="P190" s="98"/>
      <c r="Q190" s="98"/>
    </row>
    <row r="191">
      <c r="A191" s="96" t="s">
        <v>1180</v>
      </c>
      <c r="B191" s="97" t="s">
        <v>1181</v>
      </c>
      <c r="C191" s="97" t="s">
        <v>1182</v>
      </c>
      <c r="D191" s="97" t="s">
        <v>894</v>
      </c>
      <c r="E191" s="97" t="s">
        <v>848</v>
      </c>
      <c r="F191" s="97" t="b">
        <v>0</v>
      </c>
      <c r="G191" s="97" t="b">
        <v>0</v>
      </c>
      <c r="H191" s="98"/>
      <c r="I191" s="98"/>
      <c r="J191" s="98"/>
      <c r="K191" s="99"/>
      <c r="L191" s="99"/>
      <c r="M191" s="102"/>
      <c r="N191" s="102"/>
      <c r="O191" s="98"/>
      <c r="P191" s="98"/>
      <c r="Q191" s="98"/>
    </row>
    <row r="192">
      <c r="A192" s="96" t="s">
        <v>1183</v>
      </c>
      <c r="B192" s="97" t="s">
        <v>1184</v>
      </c>
      <c r="C192" s="97" t="s">
        <v>1185</v>
      </c>
      <c r="D192" s="97" t="s">
        <v>877</v>
      </c>
      <c r="E192" s="97" t="s">
        <v>895</v>
      </c>
      <c r="F192" s="97" t="b">
        <v>0</v>
      </c>
      <c r="G192" s="97" t="b">
        <v>0</v>
      </c>
      <c r="H192" s="98"/>
      <c r="I192" s="98"/>
      <c r="J192" s="98"/>
      <c r="K192" s="108"/>
      <c r="L192" s="110"/>
      <c r="M192" s="102"/>
      <c r="N192" s="102"/>
      <c r="O192" s="98"/>
      <c r="P192" s="98"/>
      <c r="Q192" s="98"/>
    </row>
    <row r="193">
      <c r="A193" s="96" t="s">
        <v>203</v>
      </c>
      <c r="B193" s="97" t="s">
        <v>1186</v>
      </c>
      <c r="C193" s="97" t="s">
        <v>1187</v>
      </c>
      <c r="D193" s="97" t="s">
        <v>942</v>
      </c>
      <c r="E193" s="97" t="s">
        <v>1134</v>
      </c>
      <c r="F193" s="97" t="b">
        <v>1</v>
      </c>
      <c r="G193" s="97" t="b">
        <v>1</v>
      </c>
      <c r="H193" s="98">
        <f>IF(A193:A2055="", "", COUNTIF(Check!H:H, A192:A2055))</f>
        <v>1</v>
      </c>
      <c r="I193" s="98"/>
      <c r="J193" s="98"/>
      <c r="K193" s="108"/>
      <c r="L193" s="110"/>
      <c r="M193" s="102"/>
      <c r="N193" s="102"/>
      <c r="O193" s="98"/>
      <c r="P193" s="98"/>
      <c r="Q193" s="105"/>
    </row>
    <row r="194">
      <c r="A194" s="96" t="s">
        <v>1188</v>
      </c>
      <c r="B194" s="97" t="s">
        <v>1189</v>
      </c>
      <c r="C194" s="97" t="s">
        <v>1190</v>
      </c>
      <c r="D194" s="97" t="s">
        <v>1191</v>
      </c>
      <c r="E194" s="97" t="s">
        <v>685</v>
      </c>
      <c r="F194" s="97" t="b">
        <v>0</v>
      </c>
      <c r="G194" s="97" t="b">
        <v>0</v>
      </c>
      <c r="H194" s="98"/>
      <c r="I194" s="98"/>
      <c r="J194" s="98"/>
      <c r="K194" s="108"/>
      <c r="L194" s="109"/>
      <c r="M194" s="102"/>
      <c r="N194" s="102"/>
      <c r="O194" s="98"/>
      <c r="P194" s="98"/>
      <c r="Q194" s="98"/>
    </row>
    <row r="195">
      <c r="A195" s="96" t="s">
        <v>1188</v>
      </c>
      <c r="B195" s="97" t="s">
        <v>1189</v>
      </c>
      <c r="C195" s="97" t="s">
        <v>1190</v>
      </c>
      <c r="D195" s="97" t="s">
        <v>1191</v>
      </c>
      <c r="E195" s="97" t="s">
        <v>685</v>
      </c>
      <c r="F195" s="97" t="b">
        <v>0</v>
      </c>
      <c r="G195" s="97" t="b">
        <v>0</v>
      </c>
      <c r="H195" s="98"/>
      <c r="I195" s="98"/>
      <c r="J195" s="98"/>
      <c r="K195" s="108"/>
      <c r="L195" s="109"/>
      <c r="M195" s="102"/>
      <c r="N195" s="102"/>
      <c r="O195" s="98"/>
      <c r="P195" s="98"/>
      <c r="Q195" s="98"/>
    </row>
    <row r="196">
      <c r="A196" s="96" t="s">
        <v>584</v>
      </c>
      <c r="B196" s="97" t="s">
        <v>583</v>
      </c>
      <c r="C196" s="97" t="s">
        <v>585</v>
      </c>
      <c r="D196" s="97" t="s">
        <v>964</v>
      </c>
      <c r="E196" s="97" t="s">
        <v>586</v>
      </c>
      <c r="F196" s="97" t="b">
        <v>1</v>
      </c>
      <c r="G196" s="97" t="b">
        <v>1</v>
      </c>
      <c r="H196" s="98">
        <f>IF(A196:A2055="", "", COUNTIF(Check!H:H, A195:A2055))</f>
        <v>1</v>
      </c>
      <c r="I196" s="98"/>
      <c r="J196" s="98"/>
      <c r="K196" s="108"/>
      <c r="L196" s="109"/>
      <c r="M196" s="103"/>
      <c r="N196" s="104"/>
      <c r="O196" s="106"/>
      <c r="P196" s="106"/>
      <c r="Q196" s="98"/>
    </row>
    <row r="197">
      <c r="A197" s="96" t="s">
        <v>1192</v>
      </c>
      <c r="B197" s="97" t="s">
        <v>1193</v>
      </c>
      <c r="C197" s="97" t="s">
        <v>1194</v>
      </c>
      <c r="D197" s="97" t="s">
        <v>1099</v>
      </c>
      <c r="E197" s="97" t="s">
        <v>789</v>
      </c>
      <c r="F197" s="97" t="b">
        <v>0</v>
      </c>
      <c r="G197" s="97" t="b">
        <v>0</v>
      </c>
      <c r="H197" s="98"/>
      <c r="I197" s="98"/>
      <c r="J197" s="98"/>
      <c r="K197" s="102"/>
      <c r="L197" s="102"/>
      <c r="M197" s="108"/>
      <c r="N197" s="109"/>
      <c r="O197" s="98"/>
      <c r="P197" s="98"/>
      <c r="Q197" s="98"/>
    </row>
    <row r="198">
      <c r="A198" s="96" t="s">
        <v>1195</v>
      </c>
      <c r="B198" s="97" t="s">
        <v>1196</v>
      </c>
      <c r="C198" s="97" t="s">
        <v>1197</v>
      </c>
      <c r="D198" s="97" t="s">
        <v>1026</v>
      </c>
      <c r="E198" s="97" t="s">
        <v>727</v>
      </c>
      <c r="F198" s="97" t="b">
        <v>0</v>
      </c>
      <c r="G198" s="97" t="b">
        <v>0</v>
      </c>
      <c r="H198" s="98"/>
      <c r="I198" s="98"/>
      <c r="J198" s="98"/>
      <c r="K198" s="99"/>
      <c r="L198" s="99"/>
      <c r="M198" s="100"/>
      <c r="N198" s="101"/>
      <c r="O198" s="98"/>
      <c r="P198" s="98"/>
      <c r="Q198" s="98"/>
    </row>
    <row r="199">
      <c r="A199" s="96" t="s">
        <v>169</v>
      </c>
      <c r="B199" s="97" t="s">
        <v>1198</v>
      </c>
      <c r="C199" s="97" t="s">
        <v>1199</v>
      </c>
      <c r="D199" s="97" t="s">
        <v>939</v>
      </c>
      <c r="E199" s="97" t="s">
        <v>663</v>
      </c>
      <c r="F199" s="97" t="b">
        <v>1</v>
      </c>
      <c r="G199" s="97" t="b">
        <v>1</v>
      </c>
      <c r="H199" s="98">
        <f>IF(A199:A2055="", "", COUNTIF(Check!H:H, A198:A2055))</f>
        <v>1</v>
      </c>
      <c r="I199" s="98"/>
      <c r="J199" s="98"/>
      <c r="K199" s="99"/>
      <c r="L199" s="99"/>
      <c r="M199" s="102"/>
      <c r="N199" s="102"/>
      <c r="O199" s="98"/>
      <c r="P199" s="98"/>
      <c r="Q199" s="98"/>
    </row>
    <row r="200">
      <c r="A200" s="96" t="s">
        <v>1200</v>
      </c>
      <c r="B200" s="97" t="s">
        <v>1201</v>
      </c>
      <c r="C200" s="97" t="s">
        <v>1202</v>
      </c>
      <c r="D200" s="97" t="s">
        <v>1012</v>
      </c>
      <c r="E200" s="97" t="s">
        <v>777</v>
      </c>
      <c r="F200" s="97" t="b">
        <v>0</v>
      </c>
      <c r="G200" s="97" t="b">
        <v>0</v>
      </c>
      <c r="H200" s="98"/>
      <c r="I200" s="98"/>
      <c r="J200" s="98"/>
      <c r="K200" s="100"/>
      <c r="L200" s="107"/>
      <c r="M200" s="102"/>
      <c r="N200" s="102"/>
      <c r="O200" s="98"/>
      <c r="P200" s="98"/>
      <c r="Q200" s="106"/>
    </row>
    <row r="201">
      <c r="A201" s="96" t="s">
        <v>514</v>
      </c>
      <c r="B201" s="97" t="s">
        <v>1203</v>
      </c>
      <c r="C201" s="97" t="s">
        <v>1204</v>
      </c>
      <c r="D201" s="97" t="s">
        <v>773</v>
      </c>
      <c r="E201" s="97" t="s">
        <v>644</v>
      </c>
      <c r="F201" s="97" t="b">
        <v>1</v>
      </c>
      <c r="G201" s="97" t="b">
        <v>1</v>
      </c>
      <c r="H201" s="98">
        <f>IF(A201:A2055="", "", COUNTIF(Check!H:H, A200:A2055))</f>
        <v>1</v>
      </c>
      <c r="I201" s="98"/>
      <c r="J201" s="98"/>
      <c r="K201" s="100"/>
      <c r="L201" s="107"/>
      <c r="M201" s="100"/>
      <c r="N201" s="101"/>
      <c r="O201" s="98"/>
      <c r="P201" s="98"/>
      <c r="Q201" s="106"/>
    </row>
    <row r="202">
      <c r="A202" s="96" t="s">
        <v>302</v>
      </c>
      <c r="B202" s="97" t="s">
        <v>1205</v>
      </c>
      <c r="C202" s="97" t="s">
        <v>1206</v>
      </c>
      <c r="D202" s="97" t="s">
        <v>760</v>
      </c>
      <c r="E202" s="97" t="s">
        <v>620</v>
      </c>
      <c r="F202" s="97" t="b">
        <v>1</v>
      </c>
      <c r="G202" s="97" t="b">
        <v>1</v>
      </c>
      <c r="H202" s="98">
        <f>IF(A202:A2055="", "", COUNTIF(Check!H:H, A201:A2055))</f>
        <v>1</v>
      </c>
      <c r="I202" s="98"/>
      <c r="J202" s="98"/>
      <c r="K202" s="102"/>
      <c r="L202" s="102"/>
      <c r="M202" s="102"/>
      <c r="N202" s="102"/>
      <c r="O202" s="98"/>
      <c r="P202" s="98"/>
      <c r="Q202" s="106"/>
    </row>
    <row r="203">
      <c r="A203" s="96" t="s">
        <v>561</v>
      </c>
      <c r="B203" s="97" t="s">
        <v>1207</v>
      </c>
      <c r="C203" s="97" t="s">
        <v>1208</v>
      </c>
      <c r="D203" s="97" t="s">
        <v>1022</v>
      </c>
      <c r="E203" s="97" t="s">
        <v>921</v>
      </c>
      <c r="F203" s="97" t="b">
        <v>0</v>
      </c>
      <c r="G203" s="97" t="b">
        <v>0</v>
      </c>
      <c r="H203" s="98"/>
      <c r="I203" s="98"/>
      <c r="J203" s="98"/>
      <c r="K203" s="99"/>
      <c r="L203" s="99"/>
      <c r="M203" s="102"/>
      <c r="N203" s="102"/>
      <c r="O203" s="98"/>
      <c r="P203" s="98"/>
      <c r="Q203" s="98"/>
    </row>
    <row r="204">
      <c r="A204" s="96" t="s">
        <v>1209</v>
      </c>
      <c r="B204" s="97" t="s">
        <v>1210</v>
      </c>
      <c r="C204" s="97" t="s">
        <v>1211</v>
      </c>
      <c r="D204" s="97" t="s">
        <v>814</v>
      </c>
      <c r="E204" s="97" t="s">
        <v>630</v>
      </c>
      <c r="F204" s="97" t="b">
        <v>0</v>
      </c>
      <c r="G204" s="97" t="b">
        <v>0</v>
      </c>
      <c r="H204" s="98"/>
      <c r="I204" s="98"/>
      <c r="J204" s="98"/>
      <c r="K204" s="99"/>
      <c r="L204" s="99"/>
      <c r="M204" s="103"/>
      <c r="N204" s="104"/>
      <c r="O204" s="105"/>
      <c r="P204" s="105"/>
      <c r="Q204" s="98"/>
    </row>
    <row r="205">
      <c r="A205" s="96" t="s">
        <v>1212</v>
      </c>
      <c r="B205" s="97" t="s">
        <v>1213</v>
      </c>
      <c r="C205" s="97" t="s">
        <v>1214</v>
      </c>
      <c r="D205" s="97" t="s">
        <v>650</v>
      </c>
      <c r="E205" s="97" t="s">
        <v>789</v>
      </c>
      <c r="F205" s="97" t="b">
        <v>0</v>
      </c>
      <c r="G205" s="97" t="b">
        <v>0</v>
      </c>
      <c r="H205" s="98"/>
      <c r="I205" s="98"/>
      <c r="J205" s="98"/>
      <c r="K205" s="102"/>
      <c r="L205" s="102"/>
      <c r="M205" s="100"/>
      <c r="N205" s="101"/>
      <c r="O205" s="98"/>
      <c r="P205" s="98"/>
      <c r="Q205" s="98"/>
    </row>
    <row r="206">
      <c r="A206" s="96" t="s">
        <v>457</v>
      </c>
      <c r="B206" s="97" t="s">
        <v>1215</v>
      </c>
      <c r="C206" s="97" t="s">
        <v>1216</v>
      </c>
      <c r="D206" s="97" t="s">
        <v>662</v>
      </c>
      <c r="E206" s="97" t="s">
        <v>586</v>
      </c>
      <c r="F206" s="97" t="b">
        <v>1</v>
      </c>
      <c r="G206" s="97" t="b">
        <v>1</v>
      </c>
      <c r="H206" s="98">
        <f>IF(A206:A2055="", "", COUNTIF(Check!H:H, A205:A2055))</f>
        <v>1</v>
      </c>
      <c r="I206" s="98"/>
      <c r="J206" s="98"/>
      <c r="K206" s="99"/>
      <c r="L206" s="99"/>
      <c r="M206" s="102"/>
      <c r="N206" s="102"/>
      <c r="O206" s="98"/>
      <c r="P206" s="98"/>
      <c r="Q206" s="98"/>
    </row>
    <row r="207">
      <c r="A207" s="96" t="s">
        <v>1217</v>
      </c>
      <c r="B207" s="97" t="s">
        <v>1218</v>
      </c>
      <c r="C207" s="97" t="s">
        <v>1219</v>
      </c>
      <c r="D207" s="97" t="s">
        <v>1089</v>
      </c>
      <c r="E207" s="97" t="s">
        <v>1220</v>
      </c>
      <c r="F207" s="97" t="b">
        <v>0</v>
      </c>
      <c r="G207" s="97" t="b">
        <v>0</v>
      </c>
      <c r="H207" s="98"/>
      <c r="I207" s="98"/>
      <c r="J207" s="98"/>
      <c r="K207" s="99"/>
      <c r="L207" s="99"/>
      <c r="M207" s="102"/>
      <c r="N207" s="102"/>
      <c r="O207" s="98"/>
      <c r="P207" s="98"/>
      <c r="Q207" s="98"/>
    </row>
    <row r="208">
      <c r="A208" s="96" t="s">
        <v>1221</v>
      </c>
      <c r="B208" s="97" t="s">
        <v>1222</v>
      </c>
      <c r="C208" s="97" t="s">
        <v>1223</v>
      </c>
      <c r="D208" s="97" t="s">
        <v>1127</v>
      </c>
      <c r="E208" s="97" t="s">
        <v>590</v>
      </c>
      <c r="F208" s="97" t="b">
        <v>0</v>
      </c>
      <c r="G208" s="97" t="b">
        <v>0</v>
      </c>
      <c r="H208" s="98"/>
      <c r="I208" s="98"/>
      <c r="J208" s="98"/>
      <c r="K208" s="99"/>
      <c r="L208" s="99"/>
      <c r="M208" s="102"/>
      <c r="N208" s="102"/>
      <c r="O208" s="98"/>
      <c r="P208" s="98"/>
      <c r="Q208" s="98"/>
    </row>
    <row r="209">
      <c r="A209" s="96" t="s">
        <v>1224</v>
      </c>
      <c r="B209" s="97" t="s">
        <v>1225</v>
      </c>
      <c r="C209" s="97" t="s">
        <v>1226</v>
      </c>
      <c r="D209" s="97" t="s">
        <v>721</v>
      </c>
      <c r="E209" s="97" t="s">
        <v>932</v>
      </c>
      <c r="F209" s="97" t="b">
        <v>0</v>
      </c>
      <c r="G209" s="97" t="b">
        <v>0</v>
      </c>
      <c r="H209" s="98"/>
      <c r="I209" s="98"/>
      <c r="J209" s="98"/>
      <c r="K209" s="99"/>
      <c r="L209" s="99"/>
      <c r="M209" s="102"/>
      <c r="N209" s="102"/>
      <c r="O209" s="98"/>
      <c r="P209" s="98"/>
      <c r="Q209" s="98"/>
    </row>
    <row r="210">
      <c r="A210" s="96" t="s">
        <v>1227</v>
      </c>
      <c r="B210" s="97" t="s">
        <v>1228</v>
      </c>
      <c r="C210" s="97" t="s">
        <v>1229</v>
      </c>
      <c r="D210" s="97" t="s">
        <v>1230</v>
      </c>
      <c r="E210" s="97" t="s">
        <v>1013</v>
      </c>
      <c r="F210" s="97" t="b">
        <v>0</v>
      </c>
      <c r="G210" s="97" t="b">
        <v>0</v>
      </c>
      <c r="H210" s="98"/>
      <c r="I210" s="98"/>
      <c r="J210" s="98"/>
      <c r="K210" s="99"/>
      <c r="L210" s="99"/>
      <c r="M210" s="102"/>
      <c r="N210" s="102"/>
      <c r="O210" s="98"/>
      <c r="P210" s="98"/>
      <c r="Q210" s="98"/>
    </row>
    <row r="211">
      <c r="A211" s="96" t="s">
        <v>1231</v>
      </c>
      <c r="B211" s="97" t="s">
        <v>1232</v>
      </c>
      <c r="C211" s="97" t="s">
        <v>1233</v>
      </c>
      <c r="D211" s="97" t="s">
        <v>674</v>
      </c>
      <c r="E211" s="97" t="s">
        <v>1234</v>
      </c>
      <c r="F211" s="97" t="b">
        <v>0</v>
      </c>
      <c r="G211" s="97" t="b">
        <v>0</v>
      </c>
      <c r="H211" s="98"/>
      <c r="I211" s="98"/>
      <c r="J211" s="98"/>
      <c r="K211" s="99"/>
      <c r="L211" s="99"/>
      <c r="M211" s="102"/>
      <c r="N211" s="102"/>
      <c r="O211" s="98"/>
      <c r="P211" s="98"/>
      <c r="Q211" s="98"/>
    </row>
    <row r="212">
      <c r="A212" s="96" t="s">
        <v>555</v>
      </c>
      <c r="B212" s="97" t="s">
        <v>1235</v>
      </c>
      <c r="C212" s="97" t="s">
        <v>1236</v>
      </c>
      <c r="D212" s="97" t="s">
        <v>1237</v>
      </c>
      <c r="E212" s="97" t="s">
        <v>697</v>
      </c>
      <c r="F212" s="97" t="b">
        <v>1</v>
      </c>
      <c r="G212" s="97" t="b">
        <v>1</v>
      </c>
      <c r="H212" s="98">
        <f>IF(A212:A2055="", "", COUNTIF(Check!H:H, A211:A2055))</f>
        <v>1</v>
      </c>
      <c r="I212" s="98"/>
      <c r="J212" s="98"/>
      <c r="K212" s="100" t="s">
        <v>747</v>
      </c>
      <c r="L212" s="107">
        <f>COUNTIFS($D$2:$D$1039, K212, $F$2:$F$1039, TRUE)</f>
        <v>2</v>
      </c>
      <c r="M212" s="108" t="s">
        <v>644</v>
      </c>
      <c r="N212" s="109">
        <f>COUNTIFS($E$2:$E$1039, M212, $F$2:$F$1039, TRUE)</f>
        <v>14</v>
      </c>
      <c r="O212" s="113" t="s">
        <v>1238</v>
      </c>
      <c r="P212" s="105" t="str">
        <f>COUNTIF($E$2:$E$1091, "*"&amp;N2)</f>
        <v>#ERROR!</v>
      </c>
      <c r="Q212" s="98"/>
    </row>
    <row r="213">
      <c r="A213" s="96" t="s">
        <v>295</v>
      </c>
      <c r="B213" s="97" t="s">
        <v>1239</v>
      </c>
      <c r="C213" s="97" t="s">
        <v>1240</v>
      </c>
      <c r="D213" s="97" t="s">
        <v>878</v>
      </c>
      <c r="E213" s="97" t="s">
        <v>590</v>
      </c>
      <c r="F213" s="97" t="b">
        <v>1</v>
      </c>
      <c r="G213" s="97" t="b">
        <v>1</v>
      </c>
      <c r="H213" s="98">
        <f>IF(A213:A2055="", "", COUNTIF(Check!H:H, A212:A2055))</f>
        <v>1</v>
      </c>
      <c r="I213" s="98"/>
      <c r="J213" s="98"/>
      <c r="K213" s="99"/>
      <c r="L213" s="99"/>
      <c r="M213" s="102"/>
      <c r="N213" s="102"/>
      <c r="O213" s="98"/>
      <c r="P213" s="98"/>
      <c r="Q213" s="98"/>
    </row>
    <row r="214">
      <c r="A214" s="96" t="s">
        <v>1241</v>
      </c>
      <c r="B214" s="97" t="s">
        <v>1242</v>
      </c>
      <c r="C214" s="97" t="s">
        <v>1243</v>
      </c>
      <c r="D214" s="97" t="s">
        <v>904</v>
      </c>
      <c r="E214" s="97" t="s">
        <v>1244</v>
      </c>
      <c r="F214" s="97" t="b">
        <v>0</v>
      </c>
      <c r="G214" s="97" t="b">
        <v>0</v>
      </c>
      <c r="H214" s="98"/>
      <c r="I214" s="98"/>
      <c r="J214" s="98"/>
      <c r="K214" s="99"/>
      <c r="L214" s="99"/>
      <c r="M214" s="102"/>
      <c r="N214" s="102"/>
      <c r="O214" s="98"/>
      <c r="P214" s="98"/>
      <c r="Q214" s="98"/>
    </row>
    <row r="215">
      <c r="A215" s="96" t="s">
        <v>1245</v>
      </c>
      <c r="B215" s="97" t="s">
        <v>1246</v>
      </c>
      <c r="C215" s="97" t="s">
        <v>1247</v>
      </c>
      <c r="D215" s="97" t="s">
        <v>1026</v>
      </c>
      <c r="E215" s="97" t="s">
        <v>722</v>
      </c>
      <c r="F215" s="97" t="b">
        <v>0</v>
      </c>
      <c r="G215" s="97" t="b">
        <v>0</v>
      </c>
      <c r="H215" s="98"/>
      <c r="I215" s="98"/>
      <c r="J215" s="98"/>
      <c r="K215" s="102"/>
      <c r="L215" s="102"/>
      <c r="M215" s="108"/>
      <c r="N215" s="109"/>
      <c r="O215" s="98"/>
      <c r="P215" s="98"/>
      <c r="Q215" s="98"/>
    </row>
    <row r="216">
      <c r="A216" s="96" t="s">
        <v>1248</v>
      </c>
      <c r="B216" s="97" t="s">
        <v>1249</v>
      </c>
      <c r="C216" s="97" t="s">
        <v>1250</v>
      </c>
      <c r="D216" s="97" t="s">
        <v>815</v>
      </c>
      <c r="E216" s="97" t="s">
        <v>1251</v>
      </c>
      <c r="F216" s="97" t="b">
        <v>0</v>
      </c>
      <c r="G216" s="97" t="b">
        <v>0</v>
      </c>
      <c r="H216" s="98"/>
      <c r="I216" s="98"/>
      <c r="J216" s="98"/>
      <c r="K216" s="100" t="s">
        <v>681</v>
      </c>
      <c r="L216" s="101">
        <f>COUNTIFS($D$2:$D$1039, K216, $F$2:$F$1039, TRUE)</f>
        <v>5</v>
      </c>
      <c r="M216" s="100" t="s">
        <v>678</v>
      </c>
      <c r="N216" s="101">
        <f>COUNTIFS($E$2:$E$1039, M216, $F$2:$F$1039, TRUE)</f>
        <v>0</v>
      </c>
      <c r="O216" s="98"/>
      <c r="P216" s="98"/>
      <c r="Q216" s="98"/>
    </row>
    <row r="217">
      <c r="A217" s="96" t="s">
        <v>1252</v>
      </c>
      <c r="B217" s="97" t="s">
        <v>1253</v>
      </c>
      <c r="C217" s="97" t="s">
        <v>1254</v>
      </c>
      <c r="D217" s="97" t="s">
        <v>942</v>
      </c>
      <c r="E217" s="97" t="s">
        <v>789</v>
      </c>
      <c r="F217" s="97" t="b">
        <v>0</v>
      </c>
      <c r="G217" s="97" t="b">
        <v>0</v>
      </c>
      <c r="H217" s="98"/>
      <c r="I217" s="98"/>
      <c r="J217" s="98"/>
      <c r="K217" s="102"/>
      <c r="L217" s="102"/>
      <c r="M217" s="100"/>
      <c r="N217" s="101"/>
      <c r="O217" s="98"/>
      <c r="P217" s="98"/>
      <c r="Q217" s="98"/>
    </row>
    <row r="218">
      <c r="A218" s="96" t="s">
        <v>1255</v>
      </c>
      <c r="B218" s="97" t="s">
        <v>1256</v>
      </c>
      <c r="C218" s="97" t="s">
        <v>1257</v>
      </c>
      <c r="D218" s="97" t="s">
        <v>894</v>
      </c>
      <c r="E218" s="97" t="s">
        <v>1258</v>
      </c>
      <c r="F218" s="97" t="b">
        <v>0</v>
      </c>
      <c r="G218" s="97" t="b">
        <v>0</v>
      </c>
      <c r="H218" s="98"/>
      <c r="I218" s="98"/>
      <c r="J218" s="98"/>
      <c r="K218" s="99"/>
      <c r="L218" s="99"/>
      <c r="M218" s="102"/>
      <c r="N218" s="102"/>
      <c r="O218" s="98"/>
      <c r="P218" s="98"/>
      <c r="Q218" s="98"/>
    </row>
    <row r="219">
      <c r="A219" s="96" t="s">
        <v>1259</v>
      </c>
      <c r="B219" s="97" t="s">
        <v>1260</v>
      </c>
      <c r="C219" s="97" t="s">
        <v>1261</v>
      </c>
      <c r="D219" s="97" t="s">
        <v>764</v>
      </c>
      <c r="E219" s="97" t="s">
        <v>607</v>
      </c>
      <c r="F219" s="97" t="b">
        <v>0</v>
      </c>
      <c r="G219" s="97" t="b">
        <v>0</v>
      </c>
      <c r="H219" s="98"/>
      <c r="I219" s="98"/>
      <c r="J219" s="98"/>
      <c r="K219" s="99"/>
      <c r="L219" s="99"/>
      <c r="M219" s="100"/>
      <c r="N219" s="101"/>
      <c r="O219" s="98"/>
      <c r="P219" s="98"/>
      <c r="Q219" s="98"/>
    </row>
    <row r="220">
      <c r="A220" s="96" t="s">
        <v>1262</v>
      </c>
      <c r="B220" s="97" t="s">
        <v>1263</v>
      </c>
      <c r="C220" s="97" t="s">
        <v>1264</v>
      </c>
      <c r="D220" s="97" t="s">
        <v>854</v>
      </c>
      <c r="E220" s="97" t="s">
        <v>1265</v>
      </c>
      <c r="F220" s="97" t="b">
        <v>0</v>
      </c>
      <c r="G220" s="97" t="b">
        <v>0</v>
      </c>
      <c r="H220" s="98"/>
      <c r="I220" s="98"/>
      <c r="J220" s="98"/>
      <c r="K220" s="108"/>
      <c r="L220" s="110"/>
      <c r="M220" s="108"/>
      <c r="N220" s="109"/>
      <c r="O220" s="98"/>
      <c r="P220" s="98"/>
      <c r="Q220" s="98"/>
    </row>
    <row r="221">
      <c r="A221" s="96" t="s">
        <v>269</v>
      </c>
      <c r="B221" s="97" t="s">
        <v>1266</v>
      </c>
      <c r="C221" s="97" t="s">
        <v>1267</v>
      </c>
      <c r="D221" s="97" t="s">
        <v>704</v>
      </c>
      <c r="E221" s="97" t="s">
        <v>590</v>
      </c>
      <c r="F221" s="97" t="b">
        <v>1</v>
      </c>
      <c r="G221" s="97" t="b">
        <v>1</v>
      </c>
      <c r="H221" s="98">
        <f>IF(A221:A2055="", "", COUNTIF(Check!H:H, A220:A2055))</f>
        <v>1</v>
      </c>
      <c r="I221" s="98"/>
      <c r="J221" s="98"/>
      <c r="K221" s="99"/>
      <c r="L221" s="99"/>
      <c r="M221" s="102"/>
      <c r="N221" s="102"/>
      <c r="O221" s="98"/>
      <c r="P221" s="98"/>
      <c r="Q221" s="98"/>
    </row>
    <row r="222">
      <c r="A222" s="96" t="s">
        <v>1268</v>
      </c>
      <c r="B222" s="97" t="s">
        <v>1269</v>
      </c>
      <c r="C222" s="97" t="s">
        <v>1270</v>
      </c>
      <c r="D222" s="97" t="s">
        <v>696</v>
      </c>
      <c r="E222" s="97" t="s">
        <v>611</v>
      </c>
      <c r="F222" s="97" t="b">
        <v>0</v>
      </c>
      <c r="G222" s="97" t="b">
        <v>0</v>
      </c>
      <c r="H222" s="98"/>
      <c r="I222" s="98"/>
      <c r="J222" s="98"/>
      <c r="K222" s="99"/>
      <c r="L222" s="99"/>
      <c r="M222" s="103"/>
      <c r="N222" s="104"/>
      <c r="O222" s="105"/>
      <c r="P222" s="105"/>
      <c r="Q222" s="98"/>
    </row>
    <row r="223">
      <c r="A223" s="96" t="s">
        <v>1271</v>
      </c>
      <c r="B223" s="97" t="s">
        <v>1272</v>
      </c>
      <c r="C223" s="97" t="s">
        <v>1273</v>
      </c>
      <c r="D223" s="97" t="s">
        <v>985</v>
      </c>
      <c r="E223" s="97" t="s">
        <v>649</v>
      </c>
      <c r="F223" s="97" t="b">
        <v>0</v>
      </c>
      <c r="G223" s="97" t="b">
        <v>0</v>
      </c>
      <c r="H223" s="98"/>
      <c r="I223" s="98"/>
      <c r="J223" s="98"/>
      <c r="K223" s="100" t="s">
        <v>801</v>
      </c>
      <c r="L223" s="101">
        <f>COUNTIFS($D$2:$D$1039, K223, $F$2:$F$1039, TRUE)</f>
        <v>11</v>
      </c>
      <c r="M223" s="102"/>
      <c r="N223" s="102"/>
      <c r="O223" s="98"/>
      <c r="P223" s="98"/>
      <c r="Q223" s="98"/>
    </row>
    <row r="224">
      <c r="A224" s="96" t="s">
        <v>323</v>
      </c>
      <c r="B224" s="97" t="s">
        <v>1274</v>
      </c>
      <c r="C224" s="97" t="s">
        <v>1275</v>
      </c>
      <c r="D224" s="97" t="s">
        <v>662</v>
      </c>
      <c r="E224" s="97" t="s">
        <v>830</v>
      </c>
      <c r="F224" s="97" t="b">
        <v>1</v>
      </c>
      <c r="G224" s="97" t="b">
        <v>1</v>
      </c>
      <c r="H224" s="98">
        <f>IF(A224:A2055="", "", COUNTIF(Check!H:H, A223:A2055))</f>
        <v>1</v>
      </c>
      <c r="I224" s="98"/>
      <c r="J224" s="98"/>
      <c r="K224" s="100"/>
      <c r="L224" s="107"/>
      <c r="M224" s="100"/>
      <c r="N224" s="101"/>
      <c r="O224" s="98"/>
      <c r="P224" s="98"/>
      <c r="Q224" s="98"/>
    </row>
    <row r="225">
      <c r="A225" s="96" t="s">
        <v>421</v>
      </c>
      <c r="B225" s="97" t="s">
        <v>1276</v>
      </c>
      <c r="C225" s="97" t="s">
        <v>1277</v>
      </c>
      <c r="D225" s="97" t="s">
        <v>847</v>
      </c>
      <c r="E225" s="97" t="s">
        <v>586</v>
      </c>
      <c r="F225" s="97" t="b">
        <v>1</v>
      </c>
      <c r="G225" s="97" t="b">
        <v>1</v>
      </c>
      <c r="H225" s="98">
        <f>IF(A225:A2055="", "", COUNTIF(Check!H:H, A224:A2055))</f>
        <v>1</v>
      </c>
      <c r="I225" s="98"/>
      <c r="J225" s="98"/>
      <c r="K225" s="99"/>
      <c r="L225" s="99"/>
      <c r="M225" s="102"/>
      <c r="N225" s="102"/>
      <c r="O225" s="98"/>
      <c r="P225" s="98"/>
      <c r="Q225" s="98"/>
    </row>
    <row r="226">
      <c r="A226" s="96" t="s">
        <v>1278</v>
      </c>
      <c r="B226" s="97" t="s">
        <v>1279</v>
      </c>
      <c r="C226" s="97" t="s">
        <v>1280</v>
      </c>
      <c r="D226" s="97" t="s">
        <v>847</v>
      </c>
      <c r="E226" s="97" t="s">
        <v>789</v>
      </c>
      <c r="F226" s="97" t="b">
        <v>0</v>
      </c>
      <c r="G226" s="97" t="b">
        <v>0</v>
      </c>
      <c r="H226" s="98"/>
      <c r="I226" s="98"/>
      <c r="J226" s="98"/>
      <c r="K226" s="102"/>
      <c r="L226" s="102"/>
      <c r="M226" s="100"/>
      <c r="N226" s="101"/>
      <c r="O226" s="98"/>
      <c r="P226" s="98"/>
      <c r="Q226" s="98"/>
    </row>
    <row r="227">
      <c r="A227" s="96" t="s">
        <v>1281</v>
      </c>
      <c r="B227" s="97" t="s">
        <v>1282</v>
      </c>
      <c r="C227" s="97" t="s">
        <v>1283</v>
      </c>
      <c r="D227" s="97" t="s">
        <v>737</v>
      </c>
      <c r="E227" s="97" t="s">
        <v>630</v>
      </c>
      <c r="F227" s="97" t="b">
        <v>0</v>
      </c>
      <c r="G227" s="97" t="b">
        <v>0</v>
      </c>
      <c r="H227" s="98"/>
      <c r="I227" s="98"/>
      <c r="J227" s="98"/>
      <c r="K227" s="99"/>
      <c r="L227" s="99"/>
      <c r="M227" s="102"/>
      <c r="N227" s="102"/>
      <c r="O227" s="98"/>
      <c r="P227" s="98"/>
      <c r="Q227" s="98"/>
    </row>
    <row r="228">
      <c r="A228" s="96" t="s">
        <v>1284</v>
      </c>
      <c r="B228" s="97" t="s">
        <v>1285</v>
      </c>
      <c r="C228" s="97" t="s">
        <v>1286</v>
      </c>
      <c r="D228" s="97" t="s">
        <v>725</v>
      </c>
      <c r="E228" s="97" t="s">
        <v>1150</v>
      </c>
      <c r="F228" s="97" t="b">
        <v>0</v>
      </c>
      <c r="G228" s="97" t="b">
        <v>0</v>
      </c>
      <c r="H228" s="98"/>
      <c r="I228" s="98"/>
      <c r="J228" s="98"/>
      <c r="K228" s="108"/>
      <c r="L228" s="109"/>
      <c r="M228" s="102"/>
      <c r="N228" s="102"/>
      <c r="O228" s="98"/>
      <c r="P228" s="98"/>
      <c r="Q228" s="98"/>
    </row>
    <row r="229">
      <c r="A229" s="96" t="s">
        <v>1287</v>
      </c>
      <c r="B229" s="97" t="s">
        <v>1288</v>
      </c>
      <c r="C229" s="97" t="s">
        <v>1289</v>
      </c>
      <c r="D229" s="97" t="s">
        <v>698</v>
      </c>
      <c r="E229" s="97" t="s">
        <v>582</v>
      </c>
      <c r="F229" s="97" t="b">
        <v>0</v>
      </c>
      <c r="G229" s="97" t="b">
        <v>0</v>
      </c>
      <c r="H229" s="98"/>
      <c r="I229" s="98"/>
      <c r="J229" s="98"/>
      <c r="K229" s="99"/>
      <c r="L229" s="99"/>
      <c r="M229" s="100"/>
      <c r="N229" s="101"/>
      <c r="O229" s="98"/>
      <c r="P229" s="98"/>
      <c r="Q229" s="98"/>
    </row>
    <row r="230">
      <c r="A230" s="96" t="s">
        <v>1287</v>
      </c>
      <c r="B230" s="97" t="s">
        <v>1288</v>
      </c>
      <c r="C230" s="97" t="s">
        <v>1289</v>
      </c>
      <c r="D230" s="97" t="s">
        <v>698</v>
      </c>
      <c r="E230" s="97" t="s">
        <v>582</v>
      </c>
      <c r="F230" s="97" t="b">
        <v>0</v>
      </c>
      <c r="G230" s="97" t="b">
        <v>0</v>
      </c>
      <c r="H230" s="98"/>
      <c r="I230" s="98"/>
      <c r="J230" s="98"/>
      <c r="K230" s="99"/>
      <c r="L230" s="99"/>
      <c r="M230" s="100"/>
      <c r="N230" s="101"/>
      <c r="O230" s="98"/>
      <c r="P230" s="98"/>
      <c r="Q230" s="98"/>
    </row>
    <row r="231">
      <c r="A231" s="96" t="s">
        <v>1290</v>
      </c>
      <c r="B231" s="97" t="s">
        <v>1291</v>
      </c>
      <c r="C231" s="97" t="s">
        <v>1292</v>
      </c>
      <c r="D231" s="97" t="s">
        <v>737</v>
      </c>
      <c r="E231" s="97" t="s">
        <v>932</v>
      </c>
      <c r="F231" s="97" t="b">
        <v>0</v>
      </c>
      <c r="G231" s="97" t="b">
        <v>0</v>
      </c>
      <c r="H231" s="98"/>
      <c r="I231" s="98"/>
      <c r="J231" s="98"/>
      <c r="K231" s="99"/>
      <c r="L231" s="99"/>
      <c r="M231" s="102"/>
      <c r="N231" s="102"/>
      <c r="O231" s="98"/>
      <c r="P231" s="98"/>
      <c r="Q231" s="98"/>
    </row>
    <row r="232">
      <c r="A232" s="96" t="s">
        <v>241</v>
      </c>
      <c r="B232" s="97" t="s">
        <v>1293</v>
      </c>
      <c r="C232" s="97" t="s">
        <v>1294</v>
      </c>
      <c r="D232" s="97" t="s">
        <v>696</v>
      </c>
      <c r="E232" s="97" t="s">
        <v>620</v>
      </c>
      <c r="F232" s="97" t="b">
        <v>1</v>
      </c>
      <c r="G232" s="97" t="b">
        <v>1</v>
      </c>
      <c r="H232" s="98">
        <f>IF(A232:A2055="", "", COUNTIF(Check!H:H, A231:A2055))</f>
        <v>1</v>
      </c>
      <c r="I232" s="98"/>
      <c r="J232" s="98"/>
      <c r="K232" s="102"/>
      <c r="L232" s="102"/>
      <c r="M232" s="102"/>
      <c r="N232" s="102"/>
      <c r="O232" s="98"/>
      <c r="P232" s="98"/>
      <c r="Q232" s="98"/>
    </row>
    <row r="233">
      <c r="A233" s="96" t="s">
        <v>1295</v>
      </c>
      <c r="B233" s="97" t="s">
        <v>1296</v>
      </c>
      <c r="C233" s="97" t="s">
        <v>1297</v>
      </c>
      <c r="D233" s="97" t="s">
        <v>708</v>
      </c>
      <c r="E233" s="97" t="s">
        <v>663</v>
      </c>
      <c r="F233" s="97" t="b">
        <v>0</v>
      </c>
      <c r="G233" s="97" t="b">
        <v>0</v>
      </c>
      <c r="H233" s="98"/>
      <c r="I233" s="98"/>
      <c r="J233" s="98"/>
      <c r="K233" s="99"/>
      <c r="L233" s="99"/>
      <c r="M233" s="102"/>
      <c r="N233" s="102"/>
      <c r="O233" s="98"/>
      <c r="P233" s="98"/>
      <c r="Q233" s="98"/>
    </row>
    <row r="234">
      <c r="A234" s="96" t="s">
        <v>1298</v>
      </c>
      <c r="B234" s="97" t="s">
        <v>1299</v>
      </c>
      <c r="C234" s="97" t="s">
        <v>1300</v>
      </c>
      <c r="D234" s="97" t="s">
        <v>1301</v>
      </c>
      <c r="E234" s="97" t="s">
        <v>663</v>
      </c>
      <c r="F234" s="97" t="b">
        <v>0</v>
      </c>
      <c r="G234" s="97" t="b">
        <v>0</v>
      </c>
      <c r="H234" s="98"/>
      <c r="I234" s="98"/>
      <c r="J234" s="98"/>
      <c r="K234" s="100"/>
      <c r="L234" s="101"/>
      <c r="M234" s="100"/>
      <c r="N234" s="101"/>
      <c r="O234" s="98"/>
      <c r="P234" s="98"/>
      <c r="Q234" s="98"/>
    </row>
    <row r="235">
      <c r="A235" s="96" t="s">
        <v>162</v>
      </c>
      <c r="B235" s="97" t="s">
        <v>1302</v>
      </c>
      <c r="C235" s="97" t="s">
        <v>1303</v>
      </c>
      <c r="D235" s="97"/>
      <c r="E235" s="97"/>
      <c r="F235" s="97" t="b">
        <v>1</v>
      </c>
      <c r="G235" s="97" t="b">
        <v>1</v>
      </c>
      <c r="H235" s="98">
        <f>IF(A235:A2055="", "", COUNTIF(Check!H:H, A234:A2055))</f>
        <v>1</v>
      </c>
      <c r="I235" s="98"/>
      <c r="J235" s="98"/>
      <c r="K235" s="102"/>
      <c r="L235" s="102"/>
      <c r="M235" s="100"/>
      <c r="N235" s="101"/>
      <c r="O235" s="98"/>
      <c r="P235" s="98"/>
      <c r="Q235" s="98"/>
    </row>
    <row r="236">
      <c r="A236" s="96" t="s">
        <v>137</v>
      </c>
      <c r="B236" s="97" t="s">
        <v>1304</v>
      </c>
      <c r="C236" s="97" t="s">
        <v>1305</v>
      </c>
      <c r="D236" s="97" t="s">
        <v>1055</v>
      </c>
      <c r="E236" s="97" t="s">
        <v>1150</v>
      </c>
      <c r="F236" s="97" t="b">
        <v>1</v>
      </c>
      <c r="G236" s="97" t="b">
        <v>1</v>
      </c>
      <c r="H236" s="98">
        <f>IF(A236:A2055="", "", COUNTIF(Check!H:H, A235:A2055))</f>
        <v>1</v>
      </c>
      <c r="I236" s="98"/>
      <c r="J236" s="98"/>
      <c r="K236" s="99"/>
      <c r="L236" s="99"/>
      <c r="M236" s="103"/>
      <c r="N236" s="104"/>
      <c r="O236" s="105"/>
      <c r="P236" s="105"/>
      <c r="Q236" s="98"/>
    </row>
    <row r="237">
      <c r="A237" s="96" t="s">
        <v>1306</v>
      </c>
      <c r="B237" s="97" t="s">
        <v>1307</v>
      </c>
      <c r="C237" s="97" t="s">
        <v>1308</v>
      </c>
      <c r="D237" s="97" t="s">
        <v>671</v>
      </c>
      <c r="E237" s="97" t="s">
        <v>777</v>
      </c>
      <c r="F237" s="97" t="b">
        <v>0</v>
      </c>
      <c r="G237" s="97" t="b">
        <v>0</v>
      </c>
      <c r="H237" s="98"/>
      <c r="I237" s="98"/>
      <c r="J237" s="98"/>
      <c r="K237" s="108"/>
      <c r="L237" s="110"/>
      <c r="M237" s="102"/>
      <c r="N237" s="102"/>
      <c r="O237" s="98"/>
      <c r="P237" s="98"/>
      <c r="Q237" s="98"/>
    </row>
    <row r="238">
      <c r="A238" s="96" t="s">
        <v>1309</v>
      </c>
      <c r="B238" s="97" t="s">
        <v>1310</v>
      </c>
      <c r="C238" s="97" t="s">
        <v>1311</v>
      </c>
      <c r="D238" s="97" t="s">
        <v>717</v>
      </c>
      <c r="E238" s="97" t="s">
        <v>1105</v>
      </c>
      <c r="F238" s="97" t="b">
        <v>0</v>
      </c>
      <c r="G238" s="97" t="b">
        <v>0</v>
      </c>
      <c r="H238" s="98"/>
      <c r="I238" s="98"/>
      <c r="J238" s="98"/>
      <c r="K238" s="99"/>
      <c r="L238" s="99"/>
      <c r="M238" s="102"/>
      <c r="N238" s="102"/>
      <c r="O238" s="98"/>
      <c r="P238" s="98"/>
      <c r="Q238" s="98"/>
    </row>
    <row r="239">
      <c r="A239" s="96" t="s">
        <v>475</v>
      </c>
      <c r="B239" s="97" t="s">
        <v>1312</v>
      </c>
      <c r="C239" s="97" t="s">
        <v>1313</v>
      </c>
      <c r="D239" s="97" t="s">
        <v>696</v>
      </c>
      <c r="E239" s="97" t="s">
        <v>1244</v>
      </c>
      <c r="F239" s="97" t="b">
        <v>1</v>
      </c>
      <c r="G239" s="97" t="b">
        <v>1</v>
      </c>
      <c r="H239" s="98">
        <f>IF(A239:A2055="", "", COUNTIF(Check!H:H, A238:A2055))</f>
        <v>1</v>
      </c>
      <c r="I239" s="98"/>
      <c r="J239" s="98"/>
      <c r="K239" s="99"/>
      <c r="L239" s="99"/>
      <c r="M239" s="102"/>
      <c r="N239" s="102"/>
      <c r="O239" s="98"/>
      <c r="P239" s="98"/>
      <c r="Q239" s="98"/>
    </row>
    <row r="240">
      <c r="A240" s="96" t="s">
        <v>1314</v>
      </c>
      <c r="B240" s="97" t="s">
        <v>1315</v>
      </c>
      <c r="C240" s="97" t="s">
        <v>1316</v>
      </c>
      <c r="D240" s="97" t="s">
        <v>684</v>
      </c>
      <c r="E240" s="97" t="s">
        <v>659</v>
      </c>
      <c r="F240" s="97" t="b">
        <v>0</v>
      </c>
      <c r="G240" s="97" t="b">
        <v>0</v>
      </c>
      <c r="H240" s="98"/>
      <c r="I240" s="98"/>
      <c r="J240" s="98"/>
      <c r="K240" s="108"/>
      <c r="L240" s="110"/>
      <c r="M240" s="102"/>
      <c r="N240" s="102"/>
      <c r="O240" s="98"/>
      <c r="P240" s="98"/>
      <c r="Q240" s="98"/>
    </row>
    <row r="241">
      <c r="A241" s="96" t="s">
        <v>1314</v>
      </c>
      <c r="B241" s="97" t="s">
        <v>1315</v>
      </c>
      <c r="C241" s="97" t="s">
        <v>1316</v>
      </c>
      <c r="D241" s="97" t="s">
        <v>684</v>
      </c>
      <c r="E241" s="97" t="s">
        <v>659</v>
      </c>
      <c r="F241" s="97" t="b">
        <v>0</v>
      </c>
      <c r="G241" s="97" t="b">
        <v>0</v>
      </c>
      <c r="H241" s="98"/>
      <c r="I241" s="98"/>
      <c r="J241" s="98"/>
      <c r="K241" s="108"/>
      <c r="L241" s="109"/>
      <c r="M241" s="102"/>
      <c r="N241" s="102"/>
      <c r="O241" s="98"/>
      <c r="P241" s="98"/>
      <c r="Q241" s="98"/>
    </row>
    <row r="242">
      <c r="A242" s="96" t="s">
        <v>1317</v>
      </c>
      <c r="B242" s="97" t="s">
        <v>1318</v>
      </c>
      <c r="C242" s="97" t="s">
        <v>1319</v>
      </c>
      <c r="D242" s="97" t="s">
        <v>1320</v>
      </c>
      <c r="E242" s="97" t="s">
        <v>1321</v>
      </c>
      <c r="F242" s="97" t="b">
        <v>0</v>
      </c>
      <c r="G242" s="97" t="b">
        <v>0</v>
      </c>
      <c r="H242" s="98"/>
      <c r="I242" s="98"/>
      <c r="J242" s="98"/>
      <c r="K242" s="99"/>
      <c r="L242" s="99"/>
      <c r="M242" s="102"/>
      <c r="N242" s="102"/>
      <c r="O242" s="98"/>
      <c r="P242" s="98"/>
      <c r="Q242" s="98"/>
    </row>
    <row r="243">
      <c r="A243" s="96" t="s">
        <v>289</v>
      </c>
      <c r="B243" s="97" t="s">
        <v>1322</v>
      </c>
      <c r="C243" s="97" t="s">
        <v>1323</v>
      </c>
      <c r="D243" s="97" t="s">
        <v>684</v>
      </c>
      <c r="E243" s="97" t="s">
        <v>590</v>
      </c>
      <c r="F243" s="97" t="b">
        <v>1</v>
      </c>
      <c r="G243" s="97" t="b">
        <v>1</v>
      </c>
      <c r="H243" s="98">
        <f>IF(A243:A2055="", "", COUNTIF(Check!H:H, A242:A2055))</f>
        <v>1</v>
      </c>
      <c r="I243" s="98"/>
      <c r="J243" s="98"/>
      <c r="K243" s="99"/>
      <c r="L243" s="99"/>
      <c r="M243" s="102"/>
      <c r="N243" s="102"/>
      <c r="O243" s="98"/>
      <c r="P243" s="98"/>
      <c r="Q243" s="105"/>
    </row>
    <row r="244">
      <c r="A244" s="96" t="s">
        <v>31</v>
      </c>
      <c r="B244" s="97" t="s">
        <v>1324</v>
      </c>
      <c r="C244" s="97" t="s">
        <v>1325</v>
      </c>
      <c r="D244" s="97" t="s">
        <v>1230</v>
      </c>
      <c r="E244" s="97" t="s">
        <v>1134</v>
      </c>
      <c r="F244" s="97" t="b">
        <v>1</v>
      </c>
      <c r="G244" s="97" t="b">
        <v>1</v>
      </c>
      <c r="H244" s="98">
        <f>IF(A244:A2055="", "", COUNTIF(Check!H:H, A243:A2055))</f>
        <v>1</v>
      </c>
      <c r="I244" s="98"/>
      <c r="J244" s="98"/>
      <c r="K244" s="99"/>
      <c r="L244" s="99"/>
      <c r="M244" s="102"/>
      <c r="N244" s="102"/>
      <c r="O244" s="98"/>
      <c r="P244" s="98"/>
      <c r="Q244" s="106"/>
    </row>
    <row r="245">
      <c r="A245" s="96" t="s">
        <v>435</v>
      </c>
      <c r="B245" s="97" t="s">
        <v>1326</v>
      </c>
      <c r="C245" s="97" t="s">
        <v>1327</v>
      </c>
      <c r="D245" s="97" t="s">
        <v>814</v>
      </c>
      <c r="E245" s="97" t="s">
        <v>649</v>
      </c>
      <c r="F245" s="97" t="b">
        <v>1</v>
      </c>
      <c r="G245" s="97" t="b">
        <v>1</v>
      </c>
      <c r="H245" s="98">
        <f>IF(A245:A2055="", "", COUNTIF(Check!H:H, A244:A2055))</f>
        <v>1</v>
      </c>
      <c r="I245" s="98"/>
      <c r="J245" s="98"/>
      <c r="K245" s="100" t="s">
        <v>1089</v>
      </c>
      <c r="L245" s="107">
        <f>COUNTIFS($D$2:$D$1039, K245, $F$2:$F$1039, TRUE)</f>
        <v>6</v>
      </c>
      <c r="M245" s="100" t="s">
        <v>640</v>
      </c>
      <c r="N245" s="101">
        <f>COUNTIFS($E$2:$E$1039, M245, $F$2:$F$1039, TRUE)</f>
        <v>0</v>
      </c>
      <c r="O245" s="106"/>
      <c r="P245" s="106"/>
      <c r="Q245" s="105"/>
    </row>
    <row r="246">
      <c r="A246" s="96" t="s">
        <v>482</v>
      </c>
      <c r="B246" s="97" t="s">
        <v>1328</v>
      </c>
      <c r="C246" s="97" t="s">
        <v>1329</v>
      </c>
      <c r="D246" s="97" t="s">
        <v>781</v>
      </c>
      <c r="E246" s="97" t="s">
        <v>607</v>
      </c>
      <c r="F246" s="97" t="b">
        <v>1</v>
      </c>
      <c r="G246" s="97" t="b">
        <v>1</v>
      </c>
      <c r="H246" s="98">
        <f>IF(A246:A2055="", "", COUNTIF(Check!H:H, A245:A2055))</f>
        <v>1</v>
      </c>
      <c r="I246" s="98"/>
      <c r="J246" s="98"/>
      <c r="K246" s="99"/>
      <c r="L246" s="99"/>
      <c r="M246" s="100"/>
      <c r="N246" s="101"/>
      <c r="O246" s="98"/>
      <c r="P246" s="98"/>
      <c r="Q246" s="106"/>
    </row>
    <row r="247">
      <c r="A247" s="96" t="s">
        <v>378</v>
      </c>
      <c r="B247" s="97" t="s">
        <v>1330</v>
      </c>
      <c r="C247" s="97" t="s">
        <v>1331</v>
      </c>
      <c r="D247" s="97" t="s">
        <v>1177</v>
      </c>
      <c r="E247" s="97" t="s">
        <v>1050</v>
      </c>
      <c r="F247" s="97" t="b">
        <v>1</v>
      </c>
      <c r="G247" s="97" t="b">
        <v>1</v>
      </c>
      <c r="H247" s="98">
        <f>IF(A247:A2055="", "", COUNTIF(Check!H:H, A246:A2055))</f>
        <v>1</v>
      </c>
      <c r="I247" s="98"/>
      <c r="J247" s="98"/>
      <c r="K247" s="108" t="s">
        <v>696</v>
      </c>
      <c r="L247" s="109">
        <f>COUNTIFS($D$2:$D$1039, K247, $F$2:$F$1039, TRUE)</f>
        <v>9</v>
      </c>
      <c r="M247" s="100" t="s">
        <v>1150</v>
      </c>
      <c r="N247" s="101">
        <f>COUNTIFS($E$2:$E$1039, M247, $F$2:$F$1039, TRUE)</f>
        <v>1</v>
      </c>
      <c r="O247" s="98"/>
      <c r="P247" s="98"/>
      <c r="Q247" s="106"/>
    </row>
    <row r="248">
      <c r="A248" s="96" t="s">
        <v>262</v>
      </c>
      <c r="B248" s="97" t="s">
        <v>1332</v>
      </c>
      <c r="C248" s="97" t="s">
        <v>1333</v>
      </c>
      <c r="D248" s="97" t="s">
        <v>1230</v>
      </c>
      <c r="E248" s="97" t="s">
        <v>611</v>
      </c>
      <c r="F248" s="97" t="b">
        <v>1</v>
      </c>
      <c r="G248" s="97" t="b">
        <v>1</v>
      </c>
      <c r="H248" s="98">
        <f>IF(A248:A2055="", "", COUNTIF(Check!H:H, A247:A2055))</f>
        <v>1</v>
      </c>
      <c r="I248" s="98"/>
      <c r="J248" s="98"/>
      <c r="K248" s="108"/>
      <c r="L248" s="110"/>
      <c r="M248" s="102"/>
      <c r="N248" s="102"/>
      <c r="O248" s="98"/>
      <c r="P248" s="98"/>
      <c r="Q248" s="105"/>
    </row>
    <row r="249">
      <c r="A249" s="96" t="s">
        <v>1334</v>
      </c>
      <c r="B249" s="97" t="s">
        <v>1335</v>
      </c>
      <c r="C249" s="97" t="s">
        <v>1336</v>
      </c>
      <c r="D249" s="97" t="s">
        <v>681</v>
      </c>
      <c r="E249" s="97" t="s">
        <v>688</v>
      </c>
      <c r="F249" s="97" t="b">
        <v>0</v>
      </c>
      <c r="G249" s="97" t="b">
        <v>0</v>
      </c>
      <c r="H249" s="98"/>
      <c r="I249" s="98"/>
      <c r="J249" s="98"/>
      <c r="K249" s="99"/>
      <c r="L249" s="99"/>
      <c r="M249" s="102"/>
      <c r="N249" s="102"/>
      <c r="O249" s="98"/>
      <c r="P249" s="98"/>
      <c r="Q249" s="98"/>
    </row>
    <row r="250">
      <c r="A250" s="96" t="s">
        <v>443</v>
      </c>
      <c r="B250" s="97" t="s">
        <v>1337</v>
      </c>
      <c r="C250" s="97" t="s">
        <v>1338</v>
      </c>
      <c r="D250" s="97" t="s">
        <v>639</v>
      </c>
      <c r="E250" s="97" t="s">
        <v>649</v>
      </c>
      <c r="F250" s="97" t="b">
        <v>1</v>
      </c>
      <c r="G250" s="97" t="b">
        <v>1</v>
      </c>
      <c r="H250" s="98">
        <f>IF(A250:A2055="", "", COUNTIF(Check!H:H, A249:A2055))</f>
        <v>1</v>
      </c>
      <c r="I250" s="98"/>
      <c r="J250" s="98"/>
      <c r="K250" s="100" t="s">
        <v>1177</v>
      </c>
      <c r="L250" s="101">
        <f>COUNTIFS($D$2:$D$1039, K250, $F$2:$F$1039, TRUE)</f>
        <v>5</v>
      </c>
      <c r="M250" s="100" t="s">
        <v>770</v>
      </c>
      <c r="N250" s="101">
        <f>COUNTIFS($E$2:$E$1039, M250, $F$2:$F$1039, TRUE)</f>
        <v>1</v>
      </c>
      <c r="O250" s="106"/>
      <c r="P250" s="106"/>
      <c r="Q250" s="98"/>
    </row>
    <row r="251">
      <c r="A251" s="96" t="s">
        <v>224</v>
      </c>
      <c r="B251" s="97" t="s">
        <v>1339</v>
      </c>
      <c r="C251" s="97" t="s">
        <v>1340</v>
      </c>
      <c r="D251" s="97" t="s">
        <v>1114</v>
      </c>
      <c r="E251" s="97" t="s">
        <v>895</v>
      </c>
      <c r="F251" s="97" t="b">
        <v>1</v>
      </c>
      <c r="G251" s="97" t="b">
        <v>1</v>
      </c>
      <c r="H251" s="98">
        <f>IF(A251:A2055="", "", COUNTIF(Check!H:H, A250:A2055))</f>
        <v>1</v>
      </c>
      <c r="I251" s="98"/>
      <c r="J251" s="98"/>
      <c r="K251" s="108"/>
      <c r="L251" s="110"/>
      <c r="M251" s="102"/>
      <c r="N251" s="102"/>
      <c r="O251" s="98"/>
      <c r="P251" s="98"/>
      <c r="Q251" s="98"/>
    </row>
    <row r="252">
      <c r="A252" s="96" t="s">
        <v>210</v>
      </c>
      <c r="B252" s="97" t="s">
        <v>1341</v>
      </c>
      <c r="C252" s="97" t="s">
        <v>1342</v>
      </c>
      <c r="D252" s="97" t="s">
        <v>773</v>
      </c>
      <c r="E252" s="97" t="s">
        <v>727</v>
      </c>
      <c r="F252" s="97" t="b">
        <v>1</v>
      </c>
      <c r="G252" s="97" t="b">
        <v>1</v>
      </c>
      <c r="H252" s="98">
        <f>IF(A252:A2055="", "", COUNTIF(Check!H:H, A251:A2055))</f>
        <v>1</v>
      </c>
      <c r="I252" s="98"/>
      <c r="J252" s="98"/>
      <c r="K252" s="99"/>
      <c r="L252" s="99"/>
      <c r="M252" s="100"/>
      <c r="N252" s="101"/>
      <c r="O252" s="98"/>
      <c r="P252" s="98"/>
      <c r="Q252" s="98"/>
    </row>
    <row r="253">
      <c r="A253" s="96" t="s">
        <v>1343</v>
      </c>
      <c r="B253" s="97" t="s">
        <v>1344</v>
      </c>
      <c r="C253" s="97" t="s">
        <v>1345</v>
      </c>
      <c r="D253" s="97" t="s">
        <v>606</v>
      </c>
      <c r="E253" s="97" t="s">
        <v>1346</v>
      </c>
      <c r="F253" s="97" t="b">
        <v>0</v>
      </c>
      <c r="G253" s="97" t="b">
        <v>0</v>
      </c>
      <c r="H253" s="98"/>
      <c r="I253" s="98"/>
      <c r="J253" s="98"/>
      <c r="K253" s="102"/>
      <c r="L253" s="102"/>
      <c r="M253" s="100"/>
      <c r="N253" s="101"/>
      <c r="O253" s="98"/>
      <c r="P253" s="98"/>
      <c r="Q253" s="98"/>
    </row>
    <row r="254">
      <c r="A254" s="96" t="s">
        <v>1347</v>
      </c>
      <c r="B254" s="97" t="s">
        <v>1348</v>
      </c>
      <c r="C254" s="97" t="s">
        <v>1349</v>
      </c>
      <c r="D254" s="97" t="s">
        <v>624</v>
      </c>
      <c r="E254" s="97" t="s">
        <v>733</v>
      </c>
      <c r="F254" s="97" t="b">
        <v>0</v>
      </c>
      <c r="G254" s="97" t="b">
        <v>0</v>
      </c>
      <c r="H254" s="98"/>
      <c r="I254" s="98"/>
      <c r="J254" s="98"/>
      <c r="K254" s="102"/>
      <c r="L254" s="102"/>
      <c r="M254" s="102"/>
      <c r="N254" s="102"/>
      <c r="O254" s="98"/>
      <c r="P254" s="98"/>
      <c r="Q254" s="98"/>
    </row>
    <row r="255">
      <c r="A255" s="96" t="s">
        <v>547</v>
      </c>
      <c r="B255" s="97" t="s">
        <v>1350</v>
      </c>
      <c r="C255" s="97" t="s">
        <v>1351</v>
      </c>
      <c r="D255" s="97" t="s">
        <v>792</v>
      </c>
      <c r="E255" s="97" t="s">
        <v>697</v>
      </c>
      <c r="F255" s="97" t="b">
        <v>1</v>
      </c>
      <c r="G255" s="97" t="b">
        <v>1</v>
      </c>
      <c r="H255" s="98">
        <f>IF(A255:A2055="", "", COUNTIF(Check!H:H, A254:A2055))</f>
        <v>1</v>
      </c>
      <c r="I255" s="98"/>
      <c r="J255" s="98"/>
      <c r="K255" s="100" t="s">
        <v>814</v>
      </c>
      <c r="L255" s="101">
        <f>COUNTIFS($D$2:$D$1039, K255, $F$2:$F$1039, TRUE)</f>
        <v>4</v>
      </c>
      <c r="M255" s="100" t="s">
        <v>1352</v>
      </c>
      <c r="N255" s="101">
        <f>COUNTIFS($E$2:$E$1039, M255, $F$2:$F$1039, TRUE)</f>
        <v>0</v>
      </c>
      <c r="O255" s="98"/>
      <c r="P255" s="98"/>
      <c r="Q255" s="98"/>
    </row>
    <row r="256">
      <c r="A256" s="96" t="s">
        <v>456</v>
      </c>
      <c r="B256" s="97" t="s">
        <v>1353</v>
      </c>
      <c r="C256" s="97" t="s">
        <v>1354</v>
      </c>
      <c r="D256" s="97" t="s">
        <v>801</v>
      </c>
      <c r="E256" s="97" t="s">
        <v>590</v>
      </c>
      <c r="F256" s="97" t="b">
        <v>1</v>
      </c>
      <c r="G256" s="97" t="b">
        <v>1</v>
      </c>
      <c r="H256" s="98">
        <f>IF(A256:A2055="", "", COUNTIF(Check!H:H, A255:A2055))</f>
        <v>1</v>
      </c>
      <c r="I256" s="98"/>
      <c r="J256" s="98"/>
      <c r="K256" s="99"/>
      <c r="L256" s="99"/>
      <c r="M256" s="102"/>
      <c r="N256" s="102"/>
      <c r="O256" s="98"/>
      <c r="P256" s="98"/>
      <c r="Q256" s="98"/>
    </row>
    <row r="257">
      <c r="A257" s="96" t="s">
        <v>1355</v>
      </c>
      <c r="B257" s="97" t="s">
        <v>1356</v>
      </c>
      <c r="C257" s="97" t="s">
        <v>1357</v>
      </c>
      <c r="D257" s="97" t="s">
        <v>737</v>
      </c>
      <c r="E257" s="97" t="s">
        <v>630</v>
      </c>
      <c r="F257" s="97" t="b">
        <v>0</v>
      </c>
      <c r="G257" s="97" t="b">
        <v>0</v>
      </c>
      <c r="H257" s="98"/>
      <c r="I257" s="98"/>
      <c r="J257" s="98"/>
      <c r="K257" s="99"/>
      <c r="L257" s="99"/>
      <c r="M257" s="102"/>
      <c r="N257" s="102"/>
      <c r="O257" s="98"/>
      <c r="P257" s="98"/>
      <c r="Q257" s="98"/>
    </row>
    <row r="258">
      <c r="A258" s="96" t="s">
        <v>469</v>
      </c>
      <c r="B258" s="97" t="s">
        <v>1358</v>
      </c>
      <c r="C258" s="97" t="s">
        <v>1359</v>
      </c>
      <c r="D258" s="97" t="s">
        <v>760</v>
      </c>
      <c r="E258" s="97" t="s">
        <v>761</v>
      </c>
      <c r="F258" s="97" t="b">
        <v>1</v>
      </c>
      <c r="G258" s="97" t="b">
        <v>1</v>
      </c>
      <c r="H258" s="98">
        <f>IF(A258:A2055="", "", COUNTIF(Check!H:H, A257:A2055))</f>
        <v>1</v>
      </c>
      <c r="I258" s="98"/>
      <c r="J258" s="98"/>
      <c r="K258" s="99"/>
      <c r="L258" s="99"/>
      <c r="M258" s="102"/>
      <c r="N258" s="102"/>
      <c r="O258" s="98"/>
      <c r="P258" s="98"/>
      <c r="Q258" s="98"/>
    </row>
    <row r="259">
      <c r="A259" s="96" t="s">
        <v>1360</v>
      </c>
      <c r="B259" s="97" t="s">
        <v>1361</v>
      </c>
      <c r="C259" s="97" t="s">
        <v>1362</v>
      </c>
      <c r="D259" s="97" t="s">
        <v>684</v>
      </c>
      <c r="E259" s="97" t="s">
        <v>1363</v>
      </c>
      <c r="F259" s="97" t="b">
        <v>0</v>
      </c>
      <c r="G259" s="97" t="b">
        <v>0</v>
      </c>
      <c r="H259" s="98"/>
      <c r="I259" s="98"/>
      <c r="J259" s="98"/>
      <c r="K259" s="99"/>
      <c r="L259" s="99"/>
      <c r="M259" s="102"/>
      <c r="N259" s="102"/>
      <c r="O259" s="98"/>
      <c r="P259" s="98"/>
      <c r="Q259" s="98"/>
    </row>
    <row r="260">
      <c r="A260" s="96" t="s">
        <v>1364</v>
      </c>
      <c r="B260" s="97" t="s">
        <v>1365</v>
      </c>
      <c r="C260" s="97" t="s">
        <v>1366</v>
      </c>
      <c r="D260" s="97" t="s">
        <v>1075</v>
      </c>
      <c r="E260" s="97" t="s">
        <v>697</v>
      </c>
      <c r="F260" s="97" t="b">
        <v>0</v>
      </c>
      <c r="G260" s="97" t="b">
        <v>0</v>
      </c>
      <c r="H260" s="98"/>
      <c r="I260" s="98"/>
      <c r="J260" s="98"/>
      <c r="K260" s="100" t="s">
        <v>717</v>
      </c>
      <c r="L260" s="107">
        <f>COUNTIFS($D$2:$D$1039, K260, $F$2:$F$1039, TRUE)</f>
        <v>2</v>
      </c>
      <c r="M260" s="108" t="s">
        <v>1134</v>
      </c>
      <c r="N260" s="109">
        <f>COUNTIFS($E$2:$E$1039, M260, $F$2:$F$1039, TRUE)</f>
        <v>6</v>
      </c>
      <c r="O260" s="105"/>
      <c r="P260" s="105"/>
      <c r="Q260" s="98"/>
    </row>
    <row r="261">
      <c r="A261" s="96" t="s">
        <v>1367</v>
      </c>
      <c r="B261" s="97" t="s">
        <v>1368</v>
      </c>
      <c r="C261" s="97" t="s">
        <v>1369</v>
      </c>
      <c r="D261" s="97" t="s">
        <v>684</v>
      </c>
      <c r="E261" s="97" t="s">
        <v>616</v>
      </c>
      <c r="F261" s="97" t="b">
        <v>0</v>
      </c>
      <c r="G261" s="97" t="b">
        <v>0</v>
      </c>
      <c r="H261" s="98"/>
      <c r="I261" s="98"/>
      <c r="J261" s="98"/>
      <c r="K261" s="99"/>
      <c r="L261" s="99"/>
      <c r="M261" s="102"/>
      <c r="N261" s="102"/>
      <c r="O261" s="98"/>
      <c r="P261" s="98"/>
      <c r="Q261" s="98"/>
    </row>
    <row r="262">
      <c r="A262" s="96" t="s">
        <v>434</v>
      </c>
      <c r="B262" s="97" t="s">
        <v>1370</v>
      </c>
      <c r="C262" s="97" t="s">
        <v>1371</v>
      </c>
      <c r="D262" s="97" t="s">
        <v>814</v>
      </c>
      <c r="E262" s="97" t="s">
        <v>649</v>
      </c>
      <c r="F262" s="97" t="b">
        <v>1</v>
      </c>
      <c r="G262" s="97" t="b">
        <v>1</v>
      </c>
      <c r="H262" s="98">
        <f>IF(A262:A2055="", "", COUNTIF(Check!H:H, A261:A2055))</f>
        <v>1</v>
      </c>
      <c r="I262" s="98"/>
      <c r="J262" s="98"/>
      <c r="K262" s="100" t="s">
        <v>639</v>
      </c>
      <c r="L262" s="101">
        <f>COUNTIFS($D$2:$D$1039, K262, $F$2:$F$1039, TRUE)</f>
        <v>2</v>
      </c>
      <c r="M262" s="100" t="s">
        <v>711</v>
      </c>
      <c r="N262" s="101">
        <f>COUNTIFS($E$2:$E$1039, M262, $F$2:$F$1039, TRUE)</f>
        <v>15</v>
      </c>
      <c r="O262" s="105"/>
      <c r="P262" s="105"/>
      <c r="Q262" s="98"/>
    </row>
    <row r="263">
      <c r="A263" s="96" t="s">
        <v>1372</v>
      </c>
      <c r="B263" s="97" t="s">
        <v>1373</v>
      </c>
      <c r="C263" s="97" t="s">
        <v>1374</v>
      </c>
      <c r="D263" s="97" t="s">
        <v>696</v>
      </c>
      <c r="E263" s="97" t="s">
        <v>620</v>
      </c>
      <c r="F263" s="97" t="b">
        <v>0</v>
      </c>
      <c r="G263" s="97" t="b">
        <v>0</v>
      </c>
      <c r="H263" s="98"/>
      <c r="I263" s="98"/>
      <c r="J263" s="98"/>
      <c r="K263" s="102"/>
      <c r="L263" s="102"/>
      <c r="M263" s="102"/>
      <c r="N263" s="102"/>
      <c r="O263" s="98"/>
      <c r="P263" s="98"/>
      <c r="Q263" s="98"/>
    </row>
    <row r="264">
      <c r="A264" s="96" t="s">
        <v>478</v>
      </c>
      <c r="B264" s="97" t="s">
        <v>1375</v>
      </c>
      <c r="C264" s="97" t="s">
        <v>1376</v>
      </c>
      <c r="D264" s="97" t="s">
        <v>948</v>
      </c>
      <c r="E264" s="97" t="s">
        <v>607</v>
      </c>
      <c r="F264" s="97" t="b">
        <v>1</v>
      </c>
      <c r="G264" s="97" t="b">
        <v>1</v>
      </c>
      <c r="H264" s="98">
        <f>IF(A264:A2055="", "", COUNTIF(Check!H:H, A263:A2055))</f>
        <v>1</v>
      </c>
      <c r="I264" s="98"/>
      <c r="J264" s="98"/>
      <c r="K264" s="99"/>
      <c r="L264" s="99"/>
      <c r="M264" s="100"/>
      <c r="N264" s="101"/>
      <c r="O264" s="98"/>
      <c r="P264" s="98"/>
      <c r="Q264" s="98"/>
    </row>
    <row r="265">
      <c r="A265" s="96" t="s">
        <v>275</v>
      </c>
      <c r="B265" s="97" t="s">
        <v>1377</v>
      </c>
      <c r="C265" s="97" t="s">
        <v>1378</v>
      </c>
      <c r="D265" s="97" t="s">
        <v>847</v>
      </c>
      <c r="E265" s="97" t="s">
        <v>586</v>
      </c>
      <c r="F265" s="97" t="b">
        <v>1</v>
      </c>
      <c r="G265" s="97" t="b">
        <v>1</v>
      </c>
      <c r="H265" s="98">
        <f>IF(A265:A2055="", "", COUNTIF(Check!H:H, A264:A2055))</f>
        <v>1</v>
      </c>
      <c r="I265" s="98"/>
      <c r="J265" s="98"/>
      <c r="K265" s="99"/>
      <c r="L265" s="99"/>
      <c r="M265" s="102"/>
      <c r="N265" s="102"/>
      <c r="O265" s="98"/>
      <c r="P265" s="98"/>
      <c r="Q265" s="98"/>
    </row>
    <row r="266">
      <c r="A266" s="96" t="s">
        <v>1379</v>
      </c>
      <c r="B266" s="97" t="s">
        <v>1380</v>
      </c>
      <c r="C266" s="97" t="s">
        <v>1381</v>
      </c>
      <c r="D266" s="97" t="s">
        <v>674</v>
      </c>
      <c r="E266" s="97" t="s">
        <v>688</v>
      </c>
      <c r="F266" s="97" t="b">
        <v>0</v>
      </c>
      <c r="G266" s="97" t="b">
        <v>0</v>
      </c>
      <c r="H266" s="98"/>
      <c r="I266" s="98"/>
      <c r="J266" s="98"/>
      <c r="K266" s="99"/>
      <c r="L266" s="99"/>
      <c r="M266" s="102"/>
      <c r="N266" s="102"/>
      <c r="O266" s="98"/>
      <c r="P266" s="98"/>
      <c r="Q266" s="98"/>
    </row>
    <row r="267">
      <c r="A267" s="96" t="s">
        <v>1379</v>
      </c>
      <c r="B267" s="97" t="s">
        <v>1380</v>
      </c>
      <c r="C267" s="97" t="s">
        <v>1381</v>
      </c>
      <c r="D267" s="97" t="s">
        <v>674</v>
      </c>
      <c r="E267" s="97" t="s">
        <v>688</v>
      </c>
      <c r="F267" s="97" t="b">
        <v>0</v>
      </c>
      <c r="G267" s="97" t="b">
        <v>0</v>
      </c>
      <c r="H267" s="98"/>
      <c r="I267" s="98"/>
      <c r="J267" s="98"/>
      <c r="K267" s="108"/>
      <c r="L267" s="110"/>
      <c r="M267" s="102"/>
      <c r="N267" s="102"/>
      <c r="O267" s="98"/>
      <c r="P267" s="98"/>
      <c r="Q267" s="98"/>
    </row>
    <row r="268">
      <c r="A268" s="96" t="s">
        <v>150</v>
      </c>
      <c r="B268" s="97" t="s">
        <v>1382</v>
      </c>
      <c r="C268" s="97" t="s">
        <v>1383</v>
      </c>
      <c r="D268" s="97"/>
      <c r="E268" s="97"/>
      <c r="F268" s="97" t="b">
        <v>1</v>
      </c>
      <c r="G268" s="97" t="b">
        <v>1</v>
      </c>
      <c r="H268" s="98">
        <f>IF(A268:A2055="", "", COUNTIF(Check!H:H, A267:A2055))</f>
        <v>1</v>
      </c>
      <c r="I268" s="98"/>
      <c r="J268" s="98"/>
      <c r="K268" s="102"/>
      <c r="L268" s="102"/>
      <c r="M268" s="100"/>
      <c r="N268" s="101"/>
      <c r="O268" s="98"/>
      <c r="P268" s="98"/>
      <c r="Q268" s="98"/>
    </row>
    <row r="269">
      <c r="A269" s="96" t="s">
        <v>1384</v>
      </c>
      <c r="B269" s="97" t="s">
        <v>1385</v>
      </c>
      <c r="C269" s="97" t="s">
        <v>1386</v>
      </c>
      <c r="D269" s="97" t="s">
        <v>1230</v>
      </c>
      <c r="E269" s="97" t="s">
        <v>777</v>
      </c>
      <c r="F269" s="97" t="b">
        <v>0</v>
      </c>
      <c r="G269" s="97" t="b">
        <v>0</v>
      </c>
      <c r="H269" s="98"/>
      <c r="I269" s="98"/>
      <c r="J269" s="98"/>
      <c r="K269" s="99"/>
      <c r="L269" s="99"/>
      <c r="M269" s="102"/>
      <c r="N269" s="102"/>
      <c r="O269" s="98"/>
      <c r="P269" s="98"/>
      <c r="Q269" s="98"/>
    </row>
    <row r="270">
      <c r="A270" s="96" t="s">
        <v>1387</v>
      </c>
      <c r="B270" s="97" t="s">
        <v>1388</v>
      </c>
      <c r="C270" s="97" t="s">
        <v>1389</v>
      </c>
      <c r="D270" s="97" t="s">
        <v>1026</v>
      </c>
      <c r="E270" s="97" t="s">
        <v>895</v>
      </c>
      <c r="F270" s="97" t="b">
        <v>0</v>
      </c>
      <c r="G270" s="97" t="b">
        <v>0</v>
      </c>
      <c r="H270" s="98"/>
      <c r="I270" s="98"/>
      <c r="J270" s="98"/>
      <c r="K270" s="99"/>
      <c r="L270" s="99"/>
      <c r="M270" s="102"/>
      <c r="N270" s="102"/>
      <c r="O270" s="98"/>
      <c r="P270" s="98"/>
      <c r="Q270" s="98"/>
    </row>
    <row r="271">
      <c r="A271" s="96" t="s">
        <v>1390</v>
      </c>
      <c r="B271" s="97" t="s">
        <v>1391</v>
      </c>
      <c r="C271" s="97" t="s">
        <v>1392</v>
      </c>
      <c r="D271" s="97" t="s">
        <v>942</v>
      </c>
      <c r="E271" s="97" t="s">
        <v>777</v>
      </c>
      <c r="F271" s="97" t="b">
        <v>0</v>
      </c>
      <c r="G271" s="97" t="b">
        <v>0</v>
      </c>
      <c r="H271" s="98"/>
      <c r="I271" s="98"/>
      <c r="J271" s="98"/>
      <c r="K271" s="100"/>
      <c r="L271" s="107"/>
      <c r="M271" s="102"/>
      <c r="N271" s="102"/>
      <c r="O271" s="98"/>
      <c r="P271" s="98"/>
      <c r="Q271" s="98"/>
    </row>
    <row r="272">
      <c r="A272" s="96" t="s">
        <v>327</v>
      </c>
      <c r="B272" s="97" t="s">
        <v>1393</v>
      </c>
      <c r="C272" s="97" t="s">
        <v>1394</v>
      </c>
      <c r="D272" s="97" t="s">
        <v>878</v>
      </c>
      <c r="E272" s="97" t="s">
        <v>830</v>
      </c>
      <c r="F272" s="97" t="b">
        <v>1</v>
      </c>
      <c r="G272" s="97" t="b">
        <v>1</v>
      </c>
      <c r="H272" s="98">
        <f>IF(A272:A2055="", "", COUNTIF(Check!H:H, A271:A2055))</f>
        <v>1</v>
      </c>
      <c r="I272" s="98"/>
      <c r="J272" s="98"/>
      <c r="K272" s="108"/>
      <c r="L272" s="109"/>
      <c r="M272" s="100"/>
      <c r="N272" s="101"/>
      <c r="O272" s="98"/>
      <c r="P272" s="98"/>
      <c r="Q272" s="98"/>
    </row>
    <row r="273">
      <c r="A273" s="96" t="s">
        <v>261</v>
      </c>
      <c r="B273" s="97" t="s">
        <v>1395</v>
      </c>
      <c r="C273" s="97" t="s">
        <v>1396</v>
      </c>
      <c r="D273" s="97" t="s">
        <v>681</v>
      </c>
      <c r="E273" s="97" t="s">
        <v>611</v>
      </c>
      <c r="F273" s="97" t="b">
        <v>1</v>
      </c>
      <c r="G273" s="97" t="b">
        <v>1</v>
      </c>
      <c r="H273" s="98">
        <f>IF(A273:A2055="", "", COUNTIF(Check!H:H, A272:A2055))</f>
        <v>1</v>
      </c>
      <c r="I273" s="98"/>
      <c r="J273" s="98"/>
      <c r="K273" s="99"/>
      <c r="L273" s="99"/>
      <c r="M273" s="102"/>
      <c r="N273" s="102"/>
      <c r="O273" s="98"/>
      <c r="P273" s="98"/>
      <c r="Q273" s="98"/>
    </row>
    <row r="274">
      <c r="A274" s="96" t="s">
        <v>1397</v>
      </c>
      <c r="B274" s="97" t="s">
        <v>1398</v>
      </c>
      <c r="C274" s="97" t="s">
        <v>1399</v>
      </c>
      <c r="D274" s="97" t="s">
        <v>773</v>
      </c>
      <c r="E274" s="97" t="s">
        <v>630</v>
      </c>
      <c r="F274" s="97" t="b">
        <v>0</v>
      </c>
      <c r="G274" s="97" t="b">
        <v>0</v>
      </c>
      <c r="H274" s="98"/>
      <c r="I274" s="98"/>
      <c r="J274" s="98"/>
      <c r="K274" s="100"/>
      <c r="L274" s="107"/>
      <c r="M274" s="102"/>
      <c r="N274" s="102"/>
      <c r="O274" s="98"/>
      <c r="P274" s="98"/>
      <c r="Q274" s="98"/>
    </row>
    <row r="275">
      <c r="A275" s="96" t="s">
        <v>318</v>
      </c>
      <c r="B275" s="97" t="s">
        <v>1400</v>
      </c>
      <c r="C275" s="97" t="s">
        <v>1401</v>
      </c>
      <c r="D275" s="97" t="s">
        <v>985</v>
      </c>
      <c r="E275" s="97" t="s">
        <v>830</v>
      </c>
      <c r="F275" s="97" t="b">
        <v>1</v>
      </c>
      <c r="G275" s="97" t="b">
        <v>1</v>
      </c>
      <c r="H275" s="98">
        <f>IF(A275:A2055="", "", COUNTIF(Check!H:H, A274:A2055))</f>
        <v>1</v>
      </c>
      <c r="I275" s="98"/>
      <c r="J275" s="98"/>
      <c r="K275" s="99"/>
      <c r="L275" s="99"/>
      <c r="M275" s="102"/>
      <c r="N275" s="102"/>
      <c r="O275" s="98"/>
      <c r="P275" s="98"/>
      <c r="Q275" s="98"/>
    </row>
    <row r="276">
      <c r="A276" s="96" t="s">
        <v>1402</v>
      </c>
      <c r="B276" s="97" t="s">
        <v>1403</v>
      </c>
      <c r="C276" s="97" t="s">
        <v>1404</v>
      </c>
      <c r="D276" s="97" t="s">
        <v>643</v>
      </c>
      <c r="E276" s="97" t="s">
        <v>722</v>
      </c>
      <c r="F276" s="97" t="b">
        <v>0</v>
      </c>
      <c r="G276" s="97" t="b">
        <v>0</v>
      </c>
      <c r="H276" s="98"/>
      <c r="I276" s="98"/>
      <c r="J276" s="98"/>
      <c r="K276" s="102"/>
      <c r="L276" s="102"/>
      <c r="M276" s="100"/>
      <c r="N276" s="101"/>
      <c r="O276" s="98"/>
      <c r="P276" s="98"/>
      <c r="Q276" s="98"/>
    </row>
    <row r="277">
      <c r="A277" s="96" t="s">
        <v>1405</v>
      </c>
      <c r="B277" s="97" t="s">
        <v>1406</v>
      </c>
      <c r="C277" s="97" t="s">
        <v>1407</v>
      </c>
      <c r="D277" s="97" t="s">
        <v>615</v>
      </c>
      <c r="E277" s="97" t="s">
        <v>921</v>
      </c>
      <c r="F277" s="97" t="b">
        <v>0</v>
      </c>
      <c r="G277" s="97" t="b">
        <v>0</v>
      </c>
      <c r="H277" s="98"/>
      <c r="I277" s="98"/>
      <c r="J277" s="98"/>
      <c r="K277" s="108"/>
      <c r="L277" s="109"/>
      <c r="M277" s="103"/>
      <c r="N277" s="104"/>
      <c r="O277" s="106"/>
      <c r="P277" s="106"/>
      <c r="Q277" s="98"/>
    </row>
    <row r="278">
      <c r="A278" s="96" t="s">
        <v>1408</v>
      </c>
      <c r="B278" s="97" t="s">
        <v>1409</v>
      </c>
      <c r="C278" s="97" t="s">
        <v>1410</v>
      </c>
      <c r="D278" s="97" t="s">
        <v>826</v>
      </c>
      <c r="E278" s="97" t="s">
        <v>1134</v>
      </c>
      <c r="F278" s="97" t="b">
        <v>0</v>
      </c>
      <c r="G278" s="97" t="b">
        <v>0</v>
      </c>
      <c r="H278" s="98"/>
      <c r="I278" s="98"/>
      <c r="J278" s="98"/>
      <c r="K278" s="99"/>
      <c r="L278" s="99"/>
      <c r="M278" s="102"/>
      <c r="N278" s="102"/>
      <c r="O278" s="98"/>
      <c r="P278" s="98"/>
      <c r="Q278" s="98"/>
    </row>
    <row r="279">
      <c r="A279" s="96" t="s">
        <v>1411</v>
      </c>
      <c r="B279" s="97" t="s">
        <v>1412</v>
      </c>
      <c r="C279" s="97" t="s">
        <v>1413</v>
      </c>
      <c r="D279" s="97" t="s">
        <v>1127</v>
      </c>
      <c r="E279" s="97" t="s">
        <v>830</v>
      </c>
      <c r="F279" s="97" t="b">
        <v>0</v>
      </c>
      <c r="G279" s="97" t="b">
        <v>0</v>
      </c>
      <c r="H279" s="98"/>
      <c r="I279" s="98"/>
      <c r="J279" s="98"/>
      <c r="K279" s="99"/>
      <c r="L279" s="99"/>
      <c r="M279" s="102"/>
      <c r="N279" s="102"/>
      <c r="O279" s="98"/>
      <c r="P279" s="98"/>
      <c r="Q279" s="98"/>
    </row>
    <row r="280">
      <c r="A280" s="96" t="s">
        <v>1414</v>
      </c>
      <c r="B280" s="97" t="s">
        <v>1415</v>
      </c>
      <c r="C280" s="97" t="s">
        <v>1416</v>
      </c>
      <c r="D280" s="97" t="s">
        <v>1417</v>
      </c>
      <c r="E280" s="97" t="s">
        <v>727</v>
      </c>
      <c r="F280" s="97" t="b">
        <v>0</v>
      </c>
      <c r="G280" s="97" t="b">
        <v>0</v>
      </c>
      <c r="H280" s="98"/>
      <c r="I280" s="98"/>
      <c r="J280" s="98"/>
      <c r="K280" s="99"/>
      <c r="L280" s="99"/>
      <c r="M280" s="102"/>
      <c r="N280" s="102"/>
      <c r="O280" s="98"/>
      <c r="P280" s="98"/>
      <c r="Q280" s="98"/>
    </row>
    <row r="281">
      <c r="A281" s="96" t="s">
        <v>249</v>
      </c>
      <c r="B281" s="97" t="s">
        <v>1418</v>
      </c>
      <c r="C281" s="97" t="s">
        <v>1419</v>
      </c>
      <c r="D281" s="97" t="s">
        <v>1177</v>
      </c>
      <c r="E281" s="97" t="s">
        <v>921</v>
      </c>
      <c r="F281" s="97" t="b">
        <v>1</v>
      </c>
      <c r="G281" s="97" t="b">
        <v>1</v>
      </c>
      <c r="H281" s="98">
        <f>IF(A281:A2055="", "", COUNTIF(Check!H:H, A280:A2055))</f>
        <v>1</v>
      </c>
      <c r="I281" s="98"/>
      <c r="J281" s="98"/>
      <c r="K281" s="99"/>
      <c r="L281" s="99"/>
      <c r="M281" s="102"/>
      <c r="N281" s="102"/>
      <c r="O281" s="98"/>
      <c r="P281" s="98"/>
      <c r="Q281" s="98"/>
    </row>
    <row r="282">
      <c r="A282" s="96" t="s">
        <v>149</v>
      </c>
      <c r="B282" s="97" t="s">
        <v>1420</v>
      </c>
      <c r="C282" s="97" t="s">
        <v>1421</v>
      </c>
      <c r="D282" s="97" t="s">
        <v>619</v>
      </c>
      <c r="E282" s="97" t="s">
        <v>733</v>
      </c>
      <c r="F282" s="97" t="b">
        <v>1</v>
      </c>
      <c r="G282" s="97" t="b">
        <v>1</v>
      </c>
      <c r="H282" s="98">
        <f>IF(A282:A2055="", "", COUNTIF(Check!H:H, A281:A2055))</f>
        <v>1</v>
      </c>
      <c r="I282" s="98"/>
      <c r="J282" s="98"/>
      <c r="K282" s="100"/>
      <c r="L282" s="101"/>
      <c r="M282" s="100"/>
      <c r="N282" s="101"/>
      <c r="O282" s="98"/>
      <c r="P282" s="98"/>
      <c r="Q282" s="98"/>
    </row>
    <row r="283">
      <c r="A283" s="96" t="s">
        <v>353</v>
      </c>
      <c r="B283" s="97" t="s">
        <v>1422</v>
      </c>
      <c r="C283" s="97" t="s">
        <v>1423</v>
      </c>
      <c r="D283" s="97" t="s">
        <v>737</v>
      </c>
      <c r="E283" s="97" t="s">
        <v>582</v>
      </c>
      <c r="F283" s="97" t="b">
        <v>1</v>
      </c>
      <c r="G283" s="97" t="b">
        <v>1</v>
      </c>
      <c r="H283" s="98">
        <f>IF(A283:A2055="", "", COUNTIF(Check!H:H, A282:A2055))</f>
        <v>1</v>
      </c>
      <c r="I283" s="98"/>
      <c r="J283" s="98"/>
      <c r="K283" s="99"/>
      <c r="L283" s="99"/>
      <c r="M283" s="102"/>
      <c r="N283" s="102"/>
      <c r="O283" s="98"/>
      <c r="P283" s="98"/>
      <c r="Q283" s="98"/>
    </row>
    <row r="284">
      <c r="A284" s="96" t="s">
        <v>1424</v>
      </c>
      <c r="B284" s="97" t="s">
        <v>1425</v>
      </c>
      <c r="C284" s="97" t="s">
        <v>1426</v>
      </c>
      <c r="D284" s="97" t="s">
        <v>844</v>
      </c>
      <c r="E284" s="97" t="s">
        <v>640</v>
      </c>
      <c r="F284" s="97" t="b">
        <v>0</v>
      </c>
      <c r="G284" s="97" t="b">
        <v>0</v>
      </c>
      <c r="H284" s="98"/>
      <c r="I284" s="98"/>
      <c r="J284" s="98"/>
      <c r="K284" s="99"/>
      <c r="L284" s="99"/>
      <c r="M284" s="103"/>
      <c r="N284" s="104"/>
      <c r="O284" s="98"/>
      <c r="P284" s="98"/>
      <c r="Q284" s="98"/>
    </row>
    <row r="285">
      <c r="A285" s="96" t="s">
        <v>212</v>
      </c>
      <c r="B285" s="97" t="s">
        <v>1427</v>
      </c>
      <c r="C285" s="97" t="s">
        <v>1428</v>
      </c>
      <c r="D285" s="97" t="s">
        <v>1089</v>
      </c>
      <c r="E285" s="97" t="s">
        <v>727</v>
      </c>
      <c r="F285" s="97" t="b">
        <v>1</v>
      </c>
      <c r="G285" s="97" t="b">
        <v>1</v>
      </c>
      <c r="H285" s="98">
        <f>IF(A285:A2055="", "", COUNTIF(Check!H:H, A284:A2055))</f>
        <v>1</v>
      </c>
      <c r="I285" s="98"/>
      <c r="J285" s="98"/>
      <c r="K285" s="99"/>
      <c r="L285" s="99"/>
      <c r="M285" s="100"/>
      <c r="N285" s="101"/>
      <c r="O285" s="98"/>
      <c r="P285" s="98"/>
      <c r="Q285" s="98"/>
    </row>
    <row r="286">
      <c r="A286" s="96" t="s">
        <v>1429</v>
      </c>
      <c r="B286" s="97" t="s">
        <v>1430</v>
      </c>
      <c r="C286" s="97" t="s">
        <v>1431</v>
      </c>
      <c r="D286" s="97" t="s">
        <v>821</v>
      </c>
      <c r="E286" s="97" t="s">
        <v>932</v>
      </c>
      <c r="F286" s="97" t="b">
        <v>0</v>
      </c>
      <c r="G286" s="97" t="b">
        <v>0</v>
      </c>
      <c r="H286" s="98"/>
      <c r="I286" s="98"/>
      <c r="J286" s="98"/>
      <c r="K286" s="99"/>
      <c r="L286" s="99"/>
      <c r="M286" s="102"/>
      <c r="N286" s="102"/>
      <c r="O286" s="98"/>
      <c r="P286" s="98"/>
      <c r="Q286" s="106"/>
    </row>
    <row r="287">
      <c r="A287" s="96" t="s">
        <v>1432</v>
      </c>
      <c r="B287" s="97" t="s">
        <v>1433</v>
      </c>
      <c r="C287" s="97" t="s">
        <v>1434</v>
      </c>
      <c r="D287" s="97" t="s">
        <v>721</v>
      </c>
      <c r="E287" s="97" t="s">
        <v>620</v>
      </c>
      <c r="F287" s="97" t="b">
        <v>0</v>
      </c>
      <c r="G287" s="97" t="b">
        <v>0</v>
      </c>
      <c r="H287" s="98"/>
      <c r="I287" s="98"/>
      <c r="J287" s="98"/>
      <c r="K287" s="102"/>
      <c r="L287" s="102"/>
      <c r="M287" s="102"/>
      <c r="N287" s="102"/>
      <c r="O287" s="98"/>
      <c r="P287" s="98"/>
      <c r="Q287" s="98"/>
    </row>
    <row r="288">
      <c r="A288" s="96" t="s">
        <v>1435</v>
      </c>
      <c r="B288" s="97" t="s">
        <v>1436</v>
      </c>
      <c r="C288" s="97" t="s">
        <v>1437</v>
      </c>
      <c r="D288" s="97" t="s">
        <v>726</v>
      </c>
      <c r="E288" s="97" t="s">
        <v>630</v>
      </c>
      <c r="F288" s="97" t="b">
        <v>0</v>
      </c>
      <c r="G288" s="97" t="b">
        <v>0</v>
      </c>
      <c r="H288" s="98"/>
      <c r="I288" s="98"/>
      <c r="J288" s="98"/>
      <c r="K288" s="99"/>
      <c r="L288" s="99"/>
      <c r="M288" s="100"/>
      <c r="N288" s="101"/>
      <c r="O288" s="98"/>
      <c r="P288" s="98"/>
      <c r="Q288" s="98"/>
    </row>
    <row r="289">
      <c r="A289" s="96" t="s">
        <v>1438</v>
      </c>
      <c r="B289" s="97" t="s">
        <v>1439</v>
      </c>
      <c r="C289" s="97" t="s">
        <v>1440</v>
      </c>
      <c r="D289" s="97" t="s">
        <v>788</v>
      </c>
      <c r="E289" s="97" t="s">
        <v>932</v>
      </c>
      <c r="F289" s="97" t="b">
        <v>0</v>
      </c>
      <c r="G289" s="97" t="b">
        <v>0</v>
      </c>
      <c r="H289" s="98"/>
      <c r="I289" s="98"/>
      <c r="J289" s="98"/>
      <c r="K289" s="99"/>
      <c r="L289" s="99"/>
      <c r="M289" s="102"/>
      <c r="N289" s="102"/>
      <c r="O289" s="98"/>
      <c r="P289" s="98"/>
      <c r="Q289" s="105"/>
    </row>
    <row r="290">
      <c r="A290" s="96" t="s">
        <v>1441</v>
      </c>
      <c r="B290" s="97" t="s">
        <v>1442</v>
      </c>
      <c r="C290" s="97" t="s">
        <v>1443</v>
      </c>
      <c r="D290" s="97" t="s">
        <v>704</v>
      </c>
      <c r="E290" s="97" t="s">
        <v>789</v>
      </c>
      <c r="F290" s="97" t="b">
        <v>0</v>
      </c>
      <c r="G290" s="97" t="b">
        <v>0</v>
      </c>
      <c r="H290" s="98"/>
      <c r="I290" s="98"/>
      <c r="J290" s="98"/>
      <c r="K290" s="102"/>
      <c r="L290" s="102"/>
      <c r="M290" s="102"/>
      <c r="N290" s="102"/>
      <c r="O290" s="98"/>
      <c r="P290" s="98"/>
      <c r="Q290" s="106"/>
    </row>
    <row r="291">
      <c r="A291" s="96" t="s">
        <v>1444</v>
      </c>
      <c r="B291" s="97" t="s">
        <v>1445</v>
      </c>
      <c r="C291" s="97" t="s">
        <v>1446</v>
      </c>
      <c r="D291" s="97" t="s">
        <v>1099</v>
      </c>
      <c r="E291" s="97" t="s">
        <v>1447</v>
      </c>
      <c r="F291" s="97" t="b">
        <v>0</v>
      </c>
      <c r="G291" s="97" t="b">
        <v>0</v>
      </c>
      <c r="H291" s="98"/>
      <c r="I291" s="98"/>
      <c r="J291" s="98"/>
      <c r="K291" s="100" t="s">
        <v>1099</v>
      </c>
      <c r="L291" s="101">
        <f>COUNTIFS($D$2:$D$1039, K291, $F$2:$F$1039, TRUE)</f>
        <v>3</v>
      </c>
      <c r="M291" s="108" t="s">
        <v>685</v>
      </c>
      <c r="N291" s="109">
        <f>COUNTIFS($E$2:$E$1039, M291, $F$2:$F$1039, TRUE)</f>
        <v>10</v>
      </c>
      <c r="O291" s="98"/>
      <c r="P291" s="98"/>
      <c r="Q291" s="98"/>
    </row>
    <row r="292">
      <c r="A292" s="96" t="s">
        <v>1448</v>
      </c>
      <c r="B292" s="97" t="s">
        <v>1449</v>
      </c>
      <c r="C292" s="97" t="s">
        <v>1450</v>
      </c>
      <c r="D292" s="97" t="s">
        <v>1451</v>
      </c>
      <c r="E292" s="97" t="s">
        <v>1047</v>
      </c>
      <c r="F292" s="97" t="b">
        <v>0</v>
      </c>
      <c r="G292" s="97" t="b">
        <v>0</v>
      </c>
      <c r="H292" s="98"/>
      <c r="I292" s="98"/>
      <c r="J292" s="98"/>
      <c r="K292" s="99"/>
      <c r="L292" s="99"/>
      <c r="M292" s="102"/>
      <c r="N292" s="102"/>
      <c r="O292" s="98"/>
      <c r="P292" s="98"/>
      <c r="Q292" s="105"/>
    </row>
    <row r="293">
      <c r="A293" s="96" t="s">
        <v>556</v>
      </c>
      <c r="B293" s="97" t="s">
        <v>1452</v>
      </c>
      <c r="C293" s="97" t="s">
        <v>1453</v>
      </c>
      <c r="D293" s="97" t="s">
        <v>972</v>
      </c>
      <c r="E293" s="97" t="s">
        <v>921</v>
      </c>
      <c r="F293" s="97" t="b">
        <v>0</v>
      </c>
      <c r="G293" s="97" t="b">
        <v>0</v>
      </c>
      <c r="H293" s="98"/>
      <c r="I293" s="98"/>
      <c r="J293" s="98"/>
      <c r="K293" s="99"/>
      <c r="L293" s="99"/>
      <c r="M293" s="102"/>
      <c r="N293" s="102"/>
      <c r="O293" s="98"/>
      <c r="P293" s="98"/>
      <c r="Q293" s="98"/>
    </row>
    <row r="294">
      <c r="A294" s="96" t="s">
        <v>473</v>
      </c>
      <c r="B294" s="97" t="s">
        <v>1454</v>
      </c>
      <c r="C294" s="97" t="s">
        <v>1455</v>
      </c>
      <c r="D294" s="97" t="s">
        <v>725</v>
      </c>
      <c r="E294" s="97" t="s">
        <v>722</v>
      </c>
      <c r="F294" s="97" t="b">
        <v>1</v>
      </c>
      <c r="G294" s="97" t="b">
        <v>1</v>
      </c>
      <c r="H294" s="98">
        <f>IF(A294:A2055="", "", COUNTIF(Check!H:H, A293:A2055))</f>
        <v>1</v>
      </c>
      <c r="I294" s="98"/>
      <c r="J294" s="98"/>
      <c r="K294" s="102"/>
      <c r="L294" s="102"/>
      <c r="M294" s="100"/>
      <c r="N294" s="101"/>
      <c r="O294" s="98"/>
      <c r="P294" s="98"/>
      <c r="Q294" s="98"/>
    </row>
    <row r="295">
      <c r="A295" s="96" t="s">
        <v>486</v>
      </c>
      <c r="B295" s="97" t="s">
        <v>1456</v>
      </c>
      <c r="C295" s="97" t="s">
        <v>1457</v>
      </c>
      <c r="D295" s="97" t="s">
        <v>784</v>
      </c>
      <c r="E295" s="97" t="s">
        <v>722</v>
      </c>
      <c r="F295" s="97" t="b">
        <v>1</v>
      </c>
      <c r="G295" s="97" t="b">
        <v>1</v>
      </c>
      <c r="H295" s="98">
        <f>IF(A295:A2055="", "", COUNTIF(Check!H:H, A294:A2055))</f>
        <v>1</v>
      </c>
      <c r="I295" s="98"/>
      <c r="J295" s="98"/>
      <c r="K295" s="102"/>
      <c r="L295" s="102"/>
      <c r="M295" s="108"/>
      <c r="N295" s="109"/>
      <c r="O295" s="98"/>
      <c r="P295" s="98"/>
      <c r="Q295" s="98"/>
    </row>
    <row r="296">
      <c r="A296" s="96" t="s">
        <v>44</v>
      </c>
      <c r="B296" s="97" t="s">
        <v>1458</v>
      </c>
      <c r="C296" s="97" t="s">
        <v>1459</v>
      </c>
      <c r="D296" s="97" t="s">
        <v>1301</v>
      </c>
      <c r="E296" s="97" t="s">
        <v>767</v>
      </c>
      <c r="F296" s="97" t="b">
        <v>1</v>
      </c>
      <c r="G296" s="97" t="b">
        <v>1</v>
      </c>
      <c r="H296" s="98">
        <f>IF(A296:A2055="", "", COUNTIF(Check!H:H, A295:A2055))</f>
        <v>1</v>
      </c>
      <c r="I296" s="98"/>
      <c r="J296" s="98"/>
      <c r="K296" s="99"/>
      <c r="L296" s="99"/>
      <c r="M296" s="100"/>
      <c r="N296" s="101"/>
      <c r="O296" s="98"/>
      <c r="P296" s="98"/>
      <c r="Q296" s="98"/>
    </row>
    <row r="297">
      <c r="A297" s="96" t="s">
        <v>1460</v>
      </c>
      <c r="B297" s="97" t="s">
        <v>1461</v>
      </c>
      <c r="C297" s="97" t="s">
        <v>1462</v>
      </c>
      <c r="D297" s="97" t="s">
        <v>972</v>
      </c>
      <c r="E297" s="97" t="s">
        <v>685</v>
      </c>
      <c r="F297" s="97" t="b">
        <v>0</v>
      </c>
      <c r="G297" s="97" t="b">
        <v>0</v>
      </c>
      <c r="H297" s="98"/>
      <c r="I297" s="98"/>
      <c r="J297" s="98"/>
      <c r="K297" s="99"/>
      <c r="L297" s="99"/>
      <c r="M297" s="100"/>
      <c r="N297" s="101"/>
      <c r="O297" s="98"/>
      <c r="P297" s="98"/>
      <c r="Q297" s="98"/>
    </row>
    <row r="298">
      <c r="A298" s="96" t="s">
        <v>429</v>
      </c>
      <c r="B298" s="97" t="s">
        <v>1463</v>
      </c>
      <c r="C298" s="97" t="s">
        <v>1464</v>
      </c>
      <c r="D298" s="97" t="s">
        <v>648</v>
      </c>
      <c r="E298" s="97" t="s">
        <v>649</v>
      </c>
      <c r="F298" s="97" t="b">
        <v>1</v>
      </c>
      <c r="G298" s="97" t="b">
        <v>1</v>
      </c>
      <c r="H298" s="98">
        <f>IF(A298:A2055="", "", COUNTIF(Check!H:H, A297:A2055))</f>
        <v>1</v>
      </c>
      <c r="I298" s="98"/>
      <c r="J298" s="98"/>
      <c r="K298" s="100" t="s">
        <v>1127</v>
      </c>
      <c r="L298" s="107">
        <f>COUNTIFS($D$2:$D$1039, K298, $F$2:$F$1039, TRUE)</f>
        <v>6</v>
      </c>
      <c r="M298" s="100" t="s">
        <v>1265</v>
      </c>
      <c r="N298" s="101">
        <f>COUNTIFS($E$2:$E$1039, M298, $F$2:$F$1039, TRUE)</f>
        <v>0</v>
      </c>
      <c r="O298" s="98"/>
      <c r="P298" s="98"/>
      <c r="Q298" s="98"/>
    </row>
    <row r="299">
      <c r="A299" s="96" t="s">
        <v>1465</v>
      </c>
      <c r="B299" s="97" t="s">
        <v>1466</v>
      </c>
      <c r="C299" s="97" t="s">
        <v>1467</v>
      </c>
      <c r="D299" s="97" t="s">
        <v>1026</v>
      </c>
      <c r="E299" s="97" t="s">
        <v>582</v>
      </c>
      <c r="F299" s="97" t="b">
        <v>0</v>
      </c>
      <c r="G299" s="97" t="b">
        <v>0</v>
      </c>
      <c r="H299" s="98"/>
      <c r="I299" s="98"/>
      <c r="J299" s="98"/>
      <c r="K299" s="99"/>
      <c r="L299" s="99"/>
      <c r="M299" s="108"/>
      <c r="N299" s="109"/>
      <c r="O299" s="98"/>
      <c r="P299" s="98"/>
      <c r="Q299" s="98"/>
    </row>
    <row r="300">
      <c r="A300" s="96" t="s">
        <v>1465</v>
      </c>
      <c r="B300" s="97" t="s">
        <v>1466</v>
      </c>
      <c r="C300" s="97" t="s">
        <v>1467</v>
      </c>
      <c r="D300" s="97" t="s">
        <v>1026</v>
      </c>
      <c r="E300" s="97" t="s">
        <v>582</v>
      </c>
      <c r="F300" s="97" t="b">
        <v>0</v>
      </c>
      <c r="G300" s="97" t="b">
        <v>0</v>
      </c>
      <c r="H300" s="98"/>
      <c r="I300" s="98"/>
      <c r="J300" s="98"/>
      <c r="K300" s="99"/>
      <c r="L300" s="99"/>
      <c r="M300" s="108"/>
      <c r="N300" s="109"/>
      <c r="O300" s="98"/>
      <c r="P300" s="98"/>
      <c r="Q300" s="98"/>
    </row>
    <row r="301">
      <c r="A301" s="96" t="s">
        <v>448</v>
      </c>
      <c r="B301" s="97" t="s">
        <v>1468</v>
      </c>
      <c r="C301" s="97" t="s">
        <v>1469</v>
      </c>
      <c r="D301" s="97" t="s">
        <v>776</v>
      </c>
      <c r="E301" s="97" t="s">
        <v>649</v>
      </c>
      <c r="F301" s="97" t="b">
        <v>1</v>
      </c>
      <c r="G301" s="97" t="b">
        <v>1</v>
      </c>
      <c r="H301" s="98">
        <f>IF(A301:A2055="", "", COUNTIF(Check!H:H, A300:A2055))</f>
        <v>1</v>
      </c>
      <c r="I301" s="98"/>
      <c r="J301" s="98"/>
      <c r="K301" s="100" t="s">
        <v>643</v>
      </c>
      <c r="L301" s="107">
        <f>COUNTIFS($D$2:$D$1039, K301, $F$2:$F$1039, TRUE)</f>
        <v>1</v>
      </c>
      <c r="M301" s="100" t="s">
        <v>688</v>
      </c>
      <c r="N301" s="101">
        <f>COUNTIFS($E$2:$E$1039, M301, $F$2:$F$1039, TRUE)</f>
        <v>4</v>
      </c>
      <c r="O301" s="98"/>
      <c r="P301" s="98"/>
      <c r="Q301" s="98"/>
    </row>
    <row r="302">
      <c r="A302" s="96" t="s">
        <v>1470</v>
      </c>
      <c r="B302" s="97" t="s">
        <v>1471</v>
      </c>
      <c r="C302" s="97" t="s">
        <v>1472</v>
      </c>
      <c r="D302" s="97" t="s">
        <v>776</v>
      </c>
      <c r="E302" s="97" t="s">
        <v>1473</v>
      </c>
      <c r="F302" s="97" t="b">
        <v>0</v>
      </c>
      <c r="G302" s="97" t="b">
        <v>0</v>
      </c>
      <c r="H302" s="98"/>
      <c r="I302" s="98"/>
      <c r="J302" s="98"/>
      <c r="K302" s="99"/>
      <c r="L302" s="99"/>
      <c r="M302" s="102"/>
      <c r="N302" s="102"/>
      <c r="O302" s="98"/>
      <c r="P302" s="98"/>
      <c r="Q302" s="105"/>
    </row>
    <row r="303">
      <c r="A303" s="96" t="s">
        <v>1474</v>
      </c>
      <c r="B303" s="97" t="s">
        <v>1475</v>
      </c>
      <c r="C303" s="97" t="s">
        <v>1476</v>
      </c>
      <c r="D303" s="97" t="s">
        <v>667</v>
      </c>
      <c r="E303" s="97" t="s">
        <v>1477</v>
      </c>
      <c r="F303" s="97" t="b">
        <v>0</v>
      </c>
      <c r="G303" s="97" t="b">
        <v>0</v>
      </c>
      <c r="H303" s="98"/>
      <c r="I303" s="98"/>
      <c r="J303" s="98"/>
      <c r="K303" s="99"/>
      <c r="L303" s="99"/>
      <c r="M303" s="102"/>
      <c r="N303" s="102"/>
      <c r="O303" s="98"/>
      <c r="P303" s="98"/>
      <c r="Q303" s="98"/>
    </row>
    <row r="304">
      <c r="A304" s="96" t="s">
        <v>560</v>
      </c>
      <c r="B304" s="97" t="s">
        <v>1475</v>
      </c>
      <c r="C304" s="97" t="s">
        <v>1478</v>
      </c>
      <c r="D304" s="97" t="s">
        <v>1479</v>
      </c>
      <c r="E304" s="97" t="s">
        <v>921</v>
      </c>
      <c r="F304" s="97" t="b">
        <v>0</v>
      </c>
      <c r="G304" s="97" t="b">
        <v>0</v>
      </c>
      <c r="H304" s="98"/>
      <c r="I304" s="98"/>
      <c r="J304" s="98"/>
      <c r="K304" s="99"/>
      <c r="L304" s="99"/>
      <c r="M304" s="102"/>
      <c r="N304" s="102"/>
      <c r="O304" s="98"/>
      <c r="P304" s="98"/>
      <c r="Q304" s="98"/>
    </row>
    <row r="305">
      <c r="A305" s="96" t="s">
        <v>1480</v>
      </c>
      <c r="B305" s="97" t="s">
        <v>1481</v>
      </c>
      <c r="C305" s="97" t="s">
        <v>1482</v>
      </c>
      <c r="D305" s="97" t="s">
        <v>904</v>
      </c>
      <c r="E305" s="97" t="s">
        <v>688</v>
      </c>
      <c r="F305" s="97" t="b">
        <v>0</v>
      </c>
      <c r="G305" s="97" t="b">
        <v>0</v>
      </c>
      <c r="H305" s="98"/>
      <c r="I305" s="98"/>
      <c r="J305" s="98"/>
      <c r="K305" s="99"/>
      <c r="L305" s="99"/>
      <c r="M305" s="102"/>
      <c r="N305" s="102"/>
      <c r="O305" s="98"/>
      <c r="P305" s="98"/>
      <c r="Q305" s="106"/>
    </row>
    <row r="306">
      <c r="A306" s="96" t="s">
        <v>1483</v>
      </c>
      <c r="B306" s="97" t="s">
        <v>1484</v>
      </c>
      <c r="C306" s="97" t="s">
        <v>1485</v>
      </c>
      <c r="D306" s="97" t="s">
        <v>650</v>
      </c>
      <c r="E306" s="97" t="s">
        <v>1486</v>
      </c>
      <c r="F306" s="97" t="b">
        <v>0</v>
      </c>
      <c r="G306" s="97" t="b">
        <v>0</v>
      </c>
      <c r="H306" s="98"/>
      <c r="I306" s="98"/>
      <c r="J306" s="98"/>
      <c r="K306" s="99"/>
      <c r="L306" s="99"/>
      <c r="M306" s="102"/>
      <c r="N306" s="102"/>
      <c r="O306" s="98"/>
      <c r="P306" s="98"/>
      <c r="Q306" s="98"/>
    </row>
    <row r="307">
      <c r="A307" s="96" t="s">
        <v>58</v>
      </c>
      <c r="B307" s="97" t="s">
        <v>1487</v>
      </c>
      <c r="C307" s="97" t="s">
        <v>1488</v>
      </c>
      <c r="D307" s="97" t="s">
        <v>1169</v>
      </c>
      <c r="E307" s="97" t="s">
        <v>733</v>
      </c>
      <c r="F307" s="97" t="b">
        <v>1</v>
      </c>
      <c r="G307" s="97" t="b">
        <v>1</v>
      </c>
      <c r="H307" s="98">
        <f>IF(A307:A2055="", "", COUNTIF(Check!H:H, A306:A2055))</f>
        <v>1</v>
      </c>
      <c r="I307" s="98"/>
      <c r="J307" s="98"/>
      <c r="K307" s="102"/>
      <c r="L307" s="102"/>
      <c r="M307" s="102"/>
      <c r="N307" s="102"/>
      <c r="O307" s="98"/>
      <c r="P307" s="98"/>
      <c r="Q307" s="98"/>
    </row>
    <row r="308">
      <c r="A308" s="96" t="s">
        <v>1489</v>
      </c>
      <c r="B308" s="97" t="s">
        <v>1490</v>
      </c>
      <c r="C308" s="97" t="s">
        <v>1491</v>
      </c>
      <c r="D308" s="97" t="s">
        <v>667</v>
      </c>
      <c r="E308" s="97" t="s">
        <v>649</v>
      </c>
      <c r="F308" s="97" t="b">
        <v>0</v>
      </c>
      <c r="G308" s="97" t="b">
        <v>0</v>
      </c>
      <c r="H308" s="98"/>
      <c r="I308" s="98"/>
      <c r="J308" s="98"/>
      <c r="K308" s="100" t="s">
        <v>1169</v>
      </c>
      <c r="L308" s="107">
        <f>COUNTIFS($D$2:$D$1039, K308, $F$2:$F$1039, TRUE)</f>
        <v>2</v>
      </c>
      <c r="M308" s="100" t="s">
        <v>582</v>
      </c>
      <c r="N308" s="101">
        <f>COUNTIFS($E$2:$E$1039, M308, $F$2:$F$1039, TRUE)</f>
        <v>15</v>
      </c>
      <c r="O308" s="98"/>
      <c r="P308" s="98"/>
      <c r="Q308" s="98"/>
    </row>
    <row r="309">
      <c r="A309" s="96" t="s">
        <v>1492</v>
      </c>
      <c r="B309" s="97" t="s">
        <v>1493</v>
      </c>
      <c r="C309" s="97" t="s">
        <v>1494</v>
      </c>
      <c r="D309" s="97" t="s">
        <v>1495</v>
      </c>
      <c r="E309" s="97" t="s">
        <v>1496</v>
      </c>
      <c r="F309" s="97" t="b">
        <v>0</v>
      </c>
      <c r="G309" s="97" t="b">
        <v>0</v>
      </c>
      <c r="H309" s="98"/>
      <c r="I309" s="98"/>
      <c r="J309" s="98"/>
      <c r="K309" s="99"/>
      <c r="L309" s="99"/>
      <c r="M309" s="102"/>
      <c r="N309" s="102"/>
      <c r="O309" s="98"/>
      <c r="P309" s="98"/>
      <c r="Q309" s="98"/>
    </row>
    <row r="310">
      <c r="A310" s="96" t="s">
        <v>1497</v>
      </c>
      <c r="B310" s="97" t="s">
        <v>1498</v>
      </c>
      <c r="C310" s="97" t="s">
        <v>1499</v>
      </c>
      <c r="D310" s="97" t="s">
        <v>1500</v>
      </c>
      <c r="E310" s="97" t="s">
        <v>777</v>
      </c>
      <c r="F310" s="97" t="b">
        <v>0</v>
      </c>
      <c r="G310" s="97" t="b">
        <v>0</v>
      </c>
      <c r="H310" s="98"/>
      <c r="I310" s="98"/>
      <c r="J310" s="98"/>
      <c r="K310" s="99"/>
      <c r="L310" s="99"/>
      <c r="M310" s="102"/>
      <c r="N310" s="102"/>
      <c r="O310" s="98"/>
      <c r="P310" s="98"/>
      <c r="Q310" s="98"/>
    </row>
    <row r="311">
      <c r="A311" s="96" t="s">
        <v>363</v>
      </c>
      <c r="B311" s="97" t="s">
        <v>1501</v>
      </c>
      <c r="C311" s="97" t="s">
        <v>1502</v>
      </c>
      <c r="D311" s="97" t="s">
        <v>1503</v>
      </c>
      <c r="E311" s="97" t="s">
        <v>586</v>
      </c>
      <c r="F311" s="97" t="b">
        <v>0</v>
      </c>
      <c r="G311" s="97" t="b">
        <v>0</v>
      </c>
      <c r="H311" s="98"/>
      <c r="I311" s="98"/>
      <c r="J311" s="98"/>
      <c r="K311" s="99"/>
      <c r="L311" s="99"/>
      <c r="M311" s="102"/>
      <c r="N311" s="102"/>
      <c r="O311" s="98"/>
      <c r="P311" s="98"/>
      <c r="Q311" s="98"/>
    </row>
    <row r="312">
      <c r="A312" s="96" t="s">
        <v>377</v>
      </c>
      <c r="B312" s="97" t="s">
        <v>1504</v>
      </c>
      <c r="C312" s="97" t="s">
        <v>1505</v>
      </c>
      <c r="D312" s="97" t="s">
        <v>704</v>
      </c>
      <c r="E312" s="97" t="s">
        <v>1050</v>
      </c>
      <c r="F312" s="97" t="b">
        <v>1</v>
      </c>
      <c r="G312" s="97" t="b">
        <v>1</v>
      </c>
      <c r="H312" s="98">
        <f>IF(A312:A2055="", "", COUNTIF(Check!H:H, A311:A2055))</f>
        <v>1</v>
      </c>
      <c r="I312" s="98"/>
      <c r="J312" s="98"/>
      <c r="K312" s="100" t="s">
        <v>1022</v>
      </c>
      <c r="L312" s="101">
        <f>COUNTIFS($D$2:$D$1039, K312, $F$2:$F$1039, TRUE)</f>
        <v>5</v>
      </c>
      <c r="M312" s="108" t="s">
        <v>1346</v>
      </c>
      <c r="N312" s="109">
        <f>COUNTIFS($E$2:$E$1039, M312, $F$2:$F$1039, TRUE)</f>
        <v>0</v>
      </c>
      <c r="O312" s="98"/>
      <c r="P312" s="98"/>
      <c r="Q312" s="98"/>
    </row>
    <row r="313">
      <c r="A313" s="96" t="s">
        <v>1506</v>
      </c>
      <c r="B313" s="97" t="s">
        <v>1507</v>
      </c>
      <c r="C313" s="97" t="s">
        <v>1508</v>
      </c>
      <c r="D313" s="97" t="s">
        <v>1500</v>
      </c>
      <c r="E313" s="97" t="s">
        <v>932</v>
      </c>
      <c r="F313" s="97" t="b">
        <v>0</v>
      </c>
      <c r="G313" s="97" t="b">
        <v>0</v>
      </c>
      <c r="H313" s="98"/>
      <c r="I313" s="98"/>
      <c r="J313" s="98"/>
      <c r="K313" s="99"/>
      <c r="L313" s="99"/>
      <c r="M313" s="102"/>
      <c r="N313" s="102"/>
      <c r="O313" s="98"/>
      <c r="P313" s="98"/>
      <c r="Q313" s="98"/>
    </row>
    <row r="314">
      <c r="A314" s="96" t="s">
        <v>1509</v>
      </c>
      <c r="B314" s="97" t="s">
        <v>1510</v>
      </c>
      <c r="C314" s="97" t="s">
        <v>1511</v>
      </c>
      <c r="D314" s="97" t="s">
        <v>1017</v>
      </c>
      <c r="E314" s="97" t="s">
        <v>1512</v>
      </c>
      <c r="F314" s="97" t="b">
        <v>0</v>
      </c>
      <c r="G314" s="97" t="b">
        <v>0</v>
      </c>
      <c r="H314" s="98"/>
      <c r="I314" s="98"/>
      <c r="J314" s="98"/>
      <c r="K314" s="99"/>
      <c r="L314" s="99"/>
      <c r="M314" s="108"/>
      <c r="N314" s="109"/>
      <c r="O314" s="98"/>
      <c r="P314" s="98"/>
      <c r="Q314" s="98"/>
    </row>
    <row r="315">
      <c r="A315" s="96" t="s">
        <v>535</v>
      </c>
      <c r="B315" s="97" t="s">
        <v>1513</v>
      </c>
      <c r="C315" s="97" t="s">
        <v>1514</v>
      </c>
      <c r="D315" s="97" t="s">
        <v>1417</v>
      </c>
      <c r="E315" s="97" t="s">
        <v>630</v>
      </c>
      <c r="F315" s="97" t="b">
        <v>0</v>
      </c>
      <c r="G315" s="97" t="b">
        <v>0</v>
      </c>
      <c r="H315" s="98"/>
      <c r="I315" s="98"/>
      <c r="J315" s="98"/>
      <c r="K315" s="99"/>
      <c r="L315" s="99"/>
      <c r="M315" s="102"/>
      <c r="N315" s="102"/>
      <c r="O315" s="98"/>
      <c r="P315" s="98"/>
      <c r="Q315" s="98"/>
    </row>
    <row r="316">
      <c r="A316" s="96" t="s">
        <v>494</v>
      </c>
      <c r="B316" s="97" t="s">
        <v>1515</v>
      </c>
      <c r="C316" s="97" t="s">
        <v>1516</v>
      </c>
      <c r="D316" s="97" t="s">
        <v>740</v>
      </c>
      <c r="E316" s="97" t="s">
        <v>722</v>
      </c>
      <c r="F316" s="97" t="b">
        <v>1</v>
      </c>
      <c r="G316" s="97" t="b">
        <v>1</v>
      </c>
      <c r="H316" s="98">
        <f>IF(A316:A2055="", "", COUNTIF(Check!H:H, A315:A2055))</f>
        <v>1</v>
      </c>
      <c r="I316" s="98"/>
      <c r="J316" s="98"/>
      <c r="K316" s="102"/>
      <c r="L316" s="102"/>
      <c r="M316" s="108"/>
      <c r="N316" s="109"/>
      <c r="O316" s="98"/>
      <c r="P316" s="98"/>
      <c r="Q316" s="98"/>
    </row>
    <row r="317">
      <c r="A317" s="96" t="s">
        <v>316</v>
      </c>
      <c r="B317" s="97" t="s">
        <v>1517</v>
      </c>
      <c r="C317" s="97" t="s">
        <v>1518</v>
      </c>
      <c r="D317" s="97" t="s">
        <v>844</v>
      </c>
      <c r="E317" s="97" t="s">
        <v>932</v>
      </c>
      <c r="F317" s="97" t="b">
        <v>0</v>
      </c>
      <c r="G317" s="97" t="b">
        <v>0</v>
      </c>
      <c r="H317" s="98"/>
      <c r="I317" s="98"/>
      <c r="J317" s="98"/>
      <c r="K317" s="99"/>
      <c r="L317" s="99"/>
      <c r="M317" s="102"/>
      <c r="N317" s="102"/>
      <c r="O317" s="98"/>
      <c r="P317" s="98"/>
      <c r="Q317" s="98"/>
    </row>
    <row r="318">
      <c r="A318" s="96" t="s">
        <v>536</v>
      </c>
      <c r="B318" s="97" t="s">
        <v>1519</v>
      </c>
      <c r="C318" s="97" t="s">
        <v>1520</v>
      </c>
      <c r="D318" s="97" t="s">
        <v>894</v>
      </c>
      <c r="E318" s="97" t="s">
        <v>688</v>
      </c>
      <c r="F318" s="97" t="b">
        <v>1</v>
      </c>
      <c r="G318" s="97" t="b">
        <v>1</v>
      </c>
      <c r="H318" s="98">
        <f>IF(A318:A2055="", "", COUNTIF(Check!H:H, A317:A2055))</f>
        <v>1</v>
      </c>
      <c r="I318" s="98"/>
      <c r="J318" s="98"/>
      <c r="K318" s="99"/>
      <c r="L318" s="99"/>
      <c r="M318" s="102"/>
      <c r="N318" s="102"/>
      <c r="O318" s="98"/>
      <c r="P318" s="98"/>
      <c r="Q318" s="98"/>
    </row>
    <row r="319">
      <c r="A319" s="96" t="s">
        <v>567</v>
      </c>
      <c r="B319" s="97" t="s">
        <v>1521</v>
      </c>
      <c r="C319" s="97" t="s">
        <v>1522</v>
      </c>
      <c r="D319" s="97" t="s">
        <v>939</v>
      </c>
      <c r="E319" s="97" t="s">
        <v>697</v>
      </c>
      <c r="F319" s="97" t="b">
        <v>0</v>
      </c>
      <c r="G319" s="97" t="b">
        <v>0</v>
      </c>
      <c r="H319" s="98"/>
      <c r="I319" s="98"/>
      <c r="J319" s="98"/>
      <c r="K319" s="100" t="s">
        <v>624</v>
      </c>
      <c r="L319" s="101">
        <f>COUNTIFS($D$2:$D$1039, K319, $F$2:$F$1039, TRUE)</f>
        <v>3</v>
      </c>
      <c r="M319" s="100" t="s">
        <v>895</v>
      </c>
      <c r="N319" s="101">
        <f>COUNTIFS($E$2:$E$1039, M319, $F$2:$F$1039, TRUE)</f>
        <v>14</v>
      </c>
      <c r="O319" s="98"/>
      <c r="P319" s="98"/>
      <c r="Q319" s="98"/>
    </row>
    <row r="320">
      <c r="A320" s="96" t="s">
        <v>1523</v>
      </c>
      <c r="B320" s="97" t="s">
        <v>1524</v>
      </c>
      <c r="C320" s="97" t="s">
        <v>1525</v>
      </c>
      <c r="D320" s="97" t="s">
        <v>894</v>
      </c>
      <c r="E320" s="97" t="s">
        <v>1009</v>
      </c>
      <c r="F320" s="97" t="b">
        <v>0</v>
      </c>
      <c r="G320" s="97" t="b">
        <v>0</v>
      </c>
      <c r="H320" s="98"/>
      <c r="I320" s="98"/>
      <c r="J320" s="98"/>
      <c r="K320" s="99"/>
      <c r="L320" s="99"/>
      <c r="M320" s="102"/>
      <c r="N320" s="102"/>
      <c r="O320" s="98"/>
      <c r="P320" s="98"/>
      <c r="Q320" s="98"/>
    </row>
    <row r="321">
      <c r="A321" s="96" t="s">
        <v>462</v>
      </c>
      <c r="B321" s="97" t="s">
        <v>1526</v>
      </c>
      <c r="C321" s="97" t="s">
        <v>1527</v>
      </c>
      <c r="D321" s="97" t="s">
        <v>721</v>
      </c>
      <c r="E321" s="97" t="s">
        <v>590</v>
      </c>
      <c r="F321" s="97" t="b">
        <v>1</v>
      </c>
      <c r="G321" s="97" t="b">
        <v>1</v>
      </c>
      <c r="H321" s="98">
        <f>IF(A321:A2055="", "", COUNTIF(Check!H:H, A320:A2055))</f>
        <v>1</v>
      </c>
      <c r="I321" s="98"/>
      <c r="J321" s="98"/>
      <c r="K321" s="99"/>
      <c r="L321" s="99"/>
      <c r="M321" s="102"/>
      <c r="N321" s="102"/>
      <c r="O321" s="98"/>
      <c r="P321" s="98"/>
      <c r="Q321" s="98"/>
    </row>
    <row r="322">
      <c r="A322" s="96" t="s">
        <v>402</v>
      </c>
      <c r="B322" s="97" t="s">
        <v>1528</v>
      </c>
      <c r="C322" s="97" t="s">
        <v>1529</v>
      </c>
      <c r="D322" s="97" t="s">
        <v>854</v>
      </c>
      <c r="E322" s="97" t="s">
        <v>733</v>
      </c>
      <c r="F322" s="97" t="b">
        <v>1</v>
      </c>
      <c r="G322" s="97" t="b">
        <v>1</v>
      </c>
      <c r="H322" s="98">
        <f>IF(A322:A2055="", "", COUNTIF(Check!H:H, A321:A2055))</f>
        <v>1</v>
      </c>
      <c r="I322" s="98"/>
      <c r="J322" s="98"/>
      <c r="K322" s="100"/>
      <c r="L322" s="107"/>
      <c r="M322" s="100"/>
      <c r="N322" s="101"/>
      <c r="O322" s="98"/>
      <c r="P322" s="98"/>
      <c r="Q322" s="98"/>
    </row>
    <row r="323">
      <c r="A323" s="96" t="s">
        <v>1530</v>
      </c>
      <c r="B323" s="97" t="s">
        <v>1531</v>
      </c>
      <c r="C323" s="97" t="s">
        <v>1532</v>
      </c>
      <c r="D323" s="97" t="s">
        <v>792</v>
      </c>
      <c r="E323" s="97" t="s">
        <v>611</v>
      </c>
      <c r="F323" s="97" t="b">
        <v>0</v>
      </c>
      <c r="G323" s="97" t="b">
        <v>0</v>
      </c>
      <c r="H323" s="98"/>
      <c r="I323" s="98"/>
      <c r="J323" s="98"/>
      <c r="K323" s="99"/>
      <c r="L323" s="99"/>
      <c r="M323" s="102"/>
      <c r="N323" s="102"/>
      <c r="O323" s="98"/>
      <c r="P323" s="98"/>
      <c r="Q323" s="98"/>
    </row>
    <row r="324">
      <c r="A324" s="96" t="s">
        <v>1533</v>
      </c>
      <c r="B324" s="97" t="s">
        <v>1534</v>
      </c>
      <c r="C324" s="97" t="s">
        <v>1535</v>
      </c>
      <c r="D324" s="97" t="s">
        <v>619</v>
      </c>
      <c r="E324" s="97" t="s">
        <v>789</v>
      </c>
      <c r="F324" s="97" t="b">
        <v>0</v>
      </c>
      <c r="G324" s="97" t="b">
        <v>0</v>
      </c>
      <c r="H324" s="98"/>
      <c r="I324" s="98"/>
      <c r="J324" s="98"/>
      <c r="K324" s="102"/>
      <c r="L324" s="102"/>
      <c r="M324" s="100"/>
      <c r="N324" s="101"/>
      <c r="O324" s="98"/>
      <c r="P324" s="98"/>
      <c r="Q324" s="98"/>
    </row>
    <row r="325">
      <c r="A325" s="96" t="s">
        <v>1536</v>
      </c>
      <c r="B325" s="97" t="s">
        <v>1537</v>
      </c>
      <c r="C325" s="97" t="s">
        <v>1538</v>
      </c>
      <c r="D325" s="97" t="s">
        <v>684</v>
      </c>
      <c r="E325" s="97" t="s">
        <v>895</v>
      </c>
      <c r="F325" s="97" t="b">
        <v>0</v>
      </c>
      <c r="G325" s="97" t="b">
        <v>0</v>
      </c>
      <c r="H325" s="98"/>
      <c r="I325" s="98"/>
      <c r="J325" s="98"/>
      <c r="K325" s="99"/>
      <c r="L325" s="99"/>
      <c r="M325" s="102"/>
      <c r="N325" s="102"/>
      <c r="O325" s="98"/>
      <c r="P325" s="98"/>
      <c r="Q325" s="98"/>
    </row>
    <row r="326">
      <c r="A326" s="96" t="s">
        <v>465</v>
      </c>
      <c r="B326" s="97" t="s">
        <v>1539</v>
      </c>
      <c r="C326" s="97" t="s">
        <v>1540</v>
      </c>
      <c r="D326" s="97" t="s">
        <v>1541</v>
      </c>
      <c r="E326" s="97" t="s">
        <v>659</v>
      </c>
      <c r="F326" s="97" t="b">
        <v>0</v>
      </c>
      <c r="G326" s="97" t="b">
        <v>0</v>
      </c>
      <c r="H326" s="98"/>
      <c r="I326" s="98"/>
      <c r="J326" s="98"/>
      <c r="K326" s="99"/>
      <c r="L326" s="99"/>
      <c r="M326" s="103"/>
      <c r="N326" s="104"/>
      <c r="O326" s="106"/>
      <c r="P326" s="106"/>
      <c r="Q326" s="98"/>
    </row>
    <row r="327">
      <c r="A327" s="96" t="s">
        <v>1542</v>
      </c>
      <c r="B327" s="97" t="s">
        <v>1543</v>
      </c>
      <c r="C327" s="97" t="s">
        <v>1544</v>
      </c>
      <c r="D327" s="97" t="s">
        <v>1495</v>
      </c>
      <c r="E327" s="97" t="s">
        <v>688</v>
      </c>
      <c r="F327" s="97" t="b">
        <v>0</v>
      </c>
      <c r="G327" s="97" t="b">
        <v>0</v>
      </c>
      <c r="H327" s="98"/>
      <c r="I327" s="98"/>
      <c r="J327" s="98"/>
      <c r="K327" s="99"/>
      <c r="L327" s="99"/>
      <c r="M327" s="102"/>
      <c r="N327" s="102"/>
      <c r="O327" s="98"/>
      <c r="P327" s="98"/>
      <c r="Q327" s="98"/>
    </row>
    <row r="328">
      <c r="A328" s="96" t="s">
        <v>1545</v>
      </c>
      <c r="B328" s="97" t="s">
        <v>1546</v>
      </c>
      <c r="C328" s="97" t="s">
        <v>1547</v>
      </c>
      <c r="D328" s="97" t="s">
        <v>894</v>
      </c>
      <c r="E328" s="97" t="s">
        <v>1548</v>
      </c>
      <c r="F328" s="97" t="b">
        <v>0</v>
      </c>
      <c r="G328" s="97" t="b">
        <v>0</v>
      </c>
      <c r="H328" s="98"/>
      <c r="I328" s="98"/>
      <c r="J328" s="98"/>
      <c r="K328" s="99"/>
      <c r="L328" s="99"/>
      <c r="M328" s="102"/>
      <c r="N328" s="102"/>
      <c r="O328" s="98"/>
      <c r="P328" s="98"/>
      <c r="Q328" s="98"/>
    </row>
    <row r="329">
      <c r="A329" s="96" t="s">
        <v>1549</v>
      </c>
      <c r="B329" s="97" t="s">
        <v>1550</v>
      </c>
      <c r="C329" s="97" t="s">
        <v>1551</v>
      </c>
      <c r="D329" s="97" t="s">
        <v>747</v>
      </c>
      <c r="E329" s="97" t="s">
        <v>1552</v>
      </c>
      <c r="F329" s="97" t="b">
        <v>0</v>
      </c>
      <c r="G329" s="97" t="b">
        <v>0</v>
      </c>
      <c r="H329" s="98"/>
      <c r="I329" s="98"/>
      <c r="J329" s="98"/>
      <c r="K329" s="99"/>
      <c r="L329" s="99"/>
      <c r="M329" s="102"/>
      <c r="N329" s="102"/>
      <c r="O329" s="98"/>
      <c r="P329" s="98"/>
      <c r="Q329" s="98"/>
    </row>
    <row r="330">
      <c r="A330" s="96" t="s">
        <v>1553</v>
      </c>
      <c r="B330" s="97" t="s">
        <v>1554</v>
      </c>
      <c r="C330" s="97" t="s">
        <v>1555</v>
      </c>
      <c r="D330" s="97" t="s">
        <v>760</v>
      </c>
      <c r="E330" s="97" t="s">
        <v>761</v>
      </c>
      <c r="F330" s="97" t="b">
        <v>0</v>
      </c>
      <c r="G330" s="97" t="b">
        <v>0</v>
      </c>
      <c r="H330" s="98"/>
      <c r="I330" s="98"/>
      <c r="J330" s="98"/>
      <c r="K330" s="99"/>
      <c r="L330" s="99"/>
      <c r="M330" s="102"/>
      <c r="N330" s="102"/>
      <c r="O330" s="98"/>
      <c r="P330" s="98"/>
      <c r="Q330" s="98"/>
    </row>
    <row r="331">
      <c r="A331" s="96" t="s">
        <v>451</v>
      </c>
      <c r="B331" s="97" t="s">
        <v>1556</v>
      </c>
      <c r="C331" s="97" t="s">
        <v>1557</v>
      </c>
      <c r="D331" s="97" t="s">
        <v>615</v>
      </c>
      <c r="E331" s="97" t="s">
        <v>607</v>
      </c>
      <c r="F331" s="97" t="b">
        <v>1</v>
      </c>
      <c r="G331" s="97" t="b">
        <v>1</v>
      </c>
      <c r="H331" s="98">
        <f>IF(A331:A2055="", "", COUNTIF(Check!H:H, A330:A2055))</f>
        <v>1</v>
      </c>
      <c r="I331" s="98"/>
      <c r="J331" s="98"/>
      <c r="K331" s="99"/>
      <c r="L331" s="99"/>
      <c r="M331" s="103"/>
      <c r="N331" s="104"/>
      <c r="O331" s="105"/>
      <c r="P331" s="105"/>
      <c r="Q331" s="98"/>
    </row>
    <row r="332">
      <c r="A332" s="96" t="s">
        <v>451</v>
      </c>
      <c r="B332" s="97" t="s">
        <v>1556</v>
      </c>
      <c r="C332" s="97" t="s">
        <v>1557</v>
      </c>
      <c r="D332" s="97" t="s">
        <v>615</v>
      </c>
      <c r="E332" s="97" t="s">
        <v>607</v>
      </c>
      <c r="F332" s="97" t="b">
        <v>0</v>
      </c>
      <c r="G332" s="97" t="b">
        <v>0</v>
      </c>
      <c r="H332" s="98"/>
      <c r="I332" s="98"/>
      <c r="J332" s="98"/>
      <c r="K332" s="99"/>
      <c r="L332" s="99"/>
      <c r="M332" s="103"/>
      <c r="N332" s="104"/>
      <c r="O332" s="105"/>
      <c r="P332" s="105"/>
      <c r="Q332" s="98"/>
    </row>
    <row r="333">
      <c r="A333" s="96" t="s">
        <v>1558</v>
      </c>
      <c r="B333" s="97" t="s">
        <v>1559</v>
      </c>
      <c r="C333" s="97" t="s">
        <v>1560</v>
      </c>
      <c r="D333" s="97" t="s">
        <v>610</v>
      </c>
      <c r="E333" s="97" t="s">
        <v>711</v>
      </c>
      <c r="F333" s="97" t="b">
        <v>0</v>
      </c>
      <c r="G333" s="97" t="b">
        <v>0</v>
      </c>
      <c r="H333" s="98"/>
      <c r="I333" s="98"/>
      <c r="J333" s="98"/>
      <c r="K333" s="99"/>
      <c r="L333" s="99"/>
      <c r="M333" s="108"/>
      <c r="N333" s="109"/>
      <c r="O333" s="98"/>
      <c r="P333" s="98"/>
      <c r="Q333" s="98"/>
    </row>
    <row r="334">
      <c r="A334" s="96" t="s">
        <v>1561</v>
      </c>
      <c r="B334" s="97" t="s">
        <v>1562</v>
      </c>
      <c r="C334" s="97" t="s">
        <v>1563</v>
      </c>
      <c r="D334" s="97" t="s">
        <v>717</v>
      </c>
      <c r="E334" s="97" t="s">
        <v>644</v>
      </c>
      <c r="F334" s="97" t="b">
        <v>0</v>
      </c>
      <c r="G334" s="97" t="b">
        <v>0</v>
      </c>
      <c r="H334" s="98"/>
      <c r="I334" s="98"/>
      <c r="J334" s="98"/>
      <c r="K334" s="99"/>
      <c r="L334" s="99"/>
      <c r="M334" s="102"/>
      <c r="N334" s="102"/>
      <c r="O334" s="98"/>
      <c r="P334" s="98"/>
      <c r="Q334" s="98"/>
    </row>
    <row r="335">
      <c r="A335" s="96" t="s">
        <v>1564</v>
      </c>
      <c r="B335" s="97" t="s">
        <v>1565</v>
      </c>
      <c r="C335" s="97" t="s">
        <v>1566</v>
      </c>
      <c r="D335" s="97" t="s">
        <v>972</v>
      </c>
      <c r="E335" s="97" t="s">
        <v>1567</v>
      </c>
      <c r="F335" s="97" t="b">
        <v>0</v>
      </c>
      <c r="G335" s="97" t="b">
        <v>0</v>
      </c>
      <c r="H335" s="98"/>
      <c r="I335" s="98"/>
      <c r="J335" s="98"/>
      <c r="K335" s="99"/>
      <c r="L335" s="99"/>
      <c r="M335" s="102"/>
      <c r="N335" s="102"/>
      <c r="O335" s="98"/>
      <c r="P335" s="98"/>
      <c r="Q335" s="98"/>
    </row>
    <row r="336">
      <c r="A336" s="96" t="s">
        <v>264</v>
      </c>
      <c r="B336" s="97" t="s">
        <v>1568</v>
      </c>
      <c r="C336" s="97" t="s">
        <v>1569</v>
      </c>
      <c r="D336" s="97" t="s">
        <v>792</v>
      </c>
      <c r="E336" s="97" t="s">
        <v>611</v>
      </c>
      <c r="F336" s="97" t="b">
        <v>1</v>
      </c>
      <c r="G336" s="97" t="b">
        <v>1</v>
      </c>
      <c r="H336" s="98">
        <f>IF(A336:A2055="", "", COUNTIF(Check!H:H, A335:A2055))</f>
        <v>1</v>
      </c>
      <c r="I336" s="98"/>
      <c r="J336" s="98"/>
      <c r="K336" s="99"/>
      <c r="L336" s="99"/>
      <c r="M336" s="102"/>
      <c r="N336" s="102"/>
      <c r="O336" s="98"/>
      <c r="P336" s="98"/>
      <c r="Q336" s="98"/>
    </row>
    <row r="337">
      <c r="A337" s="96" t="s">
        <v>90</v>
      </c>
      <c r="B337" s="97" t="s">
        <v>1570</v>
      </c>
      <c r="C337" s="97" t="s">
        <v>1571</v>
      </c>
      <c r="D337" s="97" t="s">
        <v>801</v>
      </c>
      <c r="E337" s="97" t="s">
        <v>697</v>
      </c>
      <c r="F337" s="97" t="b">
        <v>1</v>
      </c>
      <c r="G337" s="97" t="b">
        <v>1</v>
      </c>
      <c r="H337" s="98">
        <f>IF(A337:A2055="", "", COUNTIF(Check!H:H, A336:A2055))</f>
        <v>1</v>
      </c>
      <c r="I337" s="98"/>
      <c r="J337" s="98"/>
      <c r="K337" s="100" t="s">
        <v>844</v>
      </c>
      <c r="L337" s="107">
        <f>COUNTIFS($D$2:$D$1039, K337, $F$2:$F$1039, TRUE)</f>
        <v>1</v>
      </c>
      <c r="M337" s="100" t="s">
        <v>1512</v>
      </c>
      <c r="N337" s="101">
        <f>COUNTIFS($E$2:$E$1039, M337, $F$2:$F$1039, TRUE)</f>
        <v>0</v>
      </c>
      <c r="O337" s="98"/>
      <c r="P337" s="98"/>
      <c r="Q337" s="98"/>
    </row>
    <row r="338">
      <c r="A338" s="96" t="s">
        <v>452</v>
      </c>
      <c r="B338" s="97" t="s">
        <v>1572</v>
      </c>
      <c r="C338" s="97" t="s">
        <v>1573</v>
      </c>
      <c r="D338" s="97" t="s">
        <v>619</v>
      </c>
      <c r="E338" s="97" t="s">
        <v>777</v>
      </c>
      <c r="F338" s="97" t="b">
        <v>1</v>
      </c>
      <c r="G338" s="97" t="b">
        <v>1</v>
      </c>
      <c r="H338" s="98">
        <f>IF(A338:A2055="", "", COUNTIF(Check!H:H, A337:A2055))</f>
        <v>1</v>
      </c>
      <c r="I338" s="98"/>
      <c r="J338" s="98"/>
      <c r="K338" s="99"/>
      <c r="L338" s="99"/>
      <c r="M338" s="102"/>
      <c r="N338" s="102"/>
      <c r="O338" s="98"/>
      <c r="P338" s="98"/>
      <c r="Q338" s="98"/>
    </row>
    <row r="339">
      <c r="A339" s="96" t="s">
        <v>1574</v>
      </c>
      <c r="B339" s="97" t="s">
        <v>1575</v>
      </c>
      <c r="C339" s="97" t="s">
        <v>1576</v>
      </c>
      <c r="D339" s="97" t="s">
        <v>912</v>
      </c>
      <c r="E339" s="97" t="s">
        <v>733</v>
      </c>
      <c r="F339" s="97" t="b">
        <v>0</v>
      </c>
      <c r="G339" s="97" t="b">
        <v>0</v>
      </c>
      <c r="H339" s="98"/>
      <c r="I339" s="98"/>
      <c r="J339" s="98"/>
      <c r="K339" s="100"/>
      <c r="L339" s="101"/>
      <c r="M339" s="100"/>
      <c r="N339" s="101"/>
      <c r="O339" s="98"/>
      <c r="P339" s="98"/>
      <c r="Q339" s="98"/>
    </row>
    <row r="340">
      <c r="A340" s="96" t="s">
        <v>114</v>
      </c>
      <c r="B340" s="97" t="s">
        <v>1577</v>
      </c>
      <c r="C340" s="97" t="s">
        <v>1578</v>
      </c>
      <c r="D340" s="97" t="s">
        <v>674</v>
      </c>
      <c r="E340" s="97" t="s">
        <v>607</v>
      </c>
      <c r="F340" s="97" t="b">
        <v>1</v>
      </c>
      <c r="G340" s="97" t="b">
        <v>1</v>
      </c>
      <c r="H340" s="98">
        <f>IF(A340:A2055="", "", COUNTIF(Check!H:H, A339:A2055))</f>
        <v>1</v>
      </c>
      <c r="I340" s="98"/>
      <c r="J340" s="98"/>
      <c r="K340" s="99"/>
      <c r="L340" s="99"/>
      <c r="M340" s="100"/>
      <c r="N340" s="101"/>
      <c r="O340" s="98"/>
      <c r="P340" s="98"/>
      <c r="Q340" s="98"/>
    </row>
    <row r="341">
      <c r="A341" s="96" t="s">
        <v>1579</v>
      </c>
      <c r="B341" s="97" t="s">
        <v>1580</v>
      </c>
      <c r="C341" s="97" t="s">
        <v>1581</v>
      </c>
      <c r="D341" s="97" t="s">
        <v>1582</v>
      </c>
      <c r="E341" s="97" t="s">
        <v>659</v>
      </c>
      <c r="F341" s="97" t="b">
        <v>0</v>
      </c>
      <c r="G341" s="97" t="b">
        <v>0</v>
      </c>
      <c r="H341" s="98"/>
      <c r="I341" s="98"/>
      <c r="J341" s="98"/>
      <c r="K341" s="99"/>
      <c r="L341" s="99"/>
      <c r="M341" s="100"/>
      <c r="N341" s="101"/>
      <c r="O341" s="98"/>
      <c r="P341" s="98"/>
      <c r="Q341" s="98"/>
    </row>
    <row r="342">
      <c r="A342" s="96" t="s">
        <v>410</v>
      </c>
      <c r="B342" s="97" t="s">
        <v>1583</v>
      </c>
      <c r="C342" s="97" t="s">
        <v>1584</v>
      </c>
      <c r="D342" s="97" t="s">
        <v>801</v>
      </c>
      <c r="E342" s="97" t="s">
        <v>727</v>
      </c>
      <c r="F342" s="97" t="b">
        <v>1</v>
      </c>
      <c r="G342" s="97" t="b">
        <v>1</v>
      </c>
      <c r="H342" s="98">
        <f>IF(A342:A2055="", "", COUNTIF(Check!H:H, A341:A2055))</f>
        <v>1</v>
      </c>
      <c r="I342" s="98"/>
      <c r="J342" s="98"/>
      <c r="K342" s="99"/>
      <c r="L342" s="99"/>
      <c r="M342" s="102"/>
      <c r="N342" s="102"/>
      <c r="O342" s="98"/>
      <c r="P342" s="98"/>
      <c r="Q342" s="98"/>
    </row>
    <row r="343">
      <c r="A343" s="96" t="s">
        <v>223</v>
      </c>
      <c r="B343" s="97" t="s">
        <v>1585</v>
      </c>
      <c r="C343" s="97" t="s">
        <v>1586</v>
      </c>
      <c r="D343" s="97" t="s">
        <v>737</v>
      </c>
      <c r="E343" s="97" t="s">
        <v>895</v>
      </c>
      <c r="F343" s="97" t="b">
        <v>1</v>
      </c>
      <c r="G343" s="97" t="b">
        <v>1</v>
      </c>
      <c r="H343" s="98">
        <f>IF(A343:A2055="", "", COUNTIF(Check!H:H, A342:A2055))</f>
        <v>1</v>
      </c>
      <c r="I343" s="98"/>
      <c r="J343" s="98"/>
      <c r="K343" s="99"/>
      <c r="L343" s="99"/>
      <c r="M343" s="102"/>
      <c r="N343" s="102"/>
      <c r="O343" s="98"/>
      <c r="P343" s="98"/>
      <c r="Q343" s="98"/>
    </row>
    <row r="344">
      <c r="A344" s="96" t="s">
        <v>1587</v>
      </c>
      <c r="B344" s="97" t="s">
        <v>1588</v>
      </c>
      <c r="C344" s="97" t="s">
        <v>1589</v>
      </c>
      <c r="D344" s="97" t="s">
        <v>1169</v>
      </c>
      <c r="E344" s="97" t="s">
        <v>777</v>
      </c>
      <c r="F344" s="97" t="b">
        <v>0</v>
      </c>
      <c r="G344" s="97" t="b">
        <v>0</v>
      </c>
      <c r="H344" s="98"/>
      <c r="I344" s="98"/>
      <c r="J344" s="98"/>
      <c r="K344" s="100"/>
      <c r="L344" s="101"/>
      <c r="M344" s="102"/>
      <c r="N344" s="102"/>
      <c r="O344" s="98"/>
      <c r="P344" s="98"/>
      <c r="Q344" s="98"/>
    </row>
    <row r="345">
      <c r="A345" s="96" t="s">
        <v>1590</v>
      </c>
      <c r="B345" s="97" t="s">
        <v>1591</v>
      </c>
      <c r="C345" s="97" t="s">
        <v>1592</v>
      </c>
      <c r="D345" s="97" t="s">
        <v>1022</v>
      </c>
      <c r="E345" s="97" t="s">
        <v>722</v>
      </c>
      <c r="F345" s="97" t="b">
        <v>0</v>
      </c>
      <c r="G345" s="97" t="b">
        <v>0</v>
      </c>
      <c r="H345" s="98"/>
      <c r="I345" s="98"/>
      <c r="J345" s="98"/>
      <c r="K345" s="102"/>
      <c r="L345" s="102"/>
      <c r="M345" s="100"/>
      <c r="N345" s="101"/>
      <c r="O345" s="98"/>
      <c r="P345" s="98"/>
      <c r="Q345" s="98"/>
    </row>
    <row r="346">
      <c r="A346" s="96" t="s">
        <v>1593</v>
      </c>
      <c r="B346" s="97" t="s">
        <v>1594</v>
      </c>
      <c r="C346" s="97" t="s">
        <v>1595</v>
      </c>
      <c r="D346" s="97" t="s">
        <v>648</v>
      </c>
      <c r="E346" s="97" t="s">
        <v>727</v>
      </c>
      <c r="F346" s="97" t="b">
        <v>0</v>
      </c>
      <c r="G346" s="97" t="b">
        <v>0</v>
      </c>
      <c r="H346" s="98"/>
      <c r="I346" s="98"/>
      <c r="J346" s="98"/>
      <c r="K346" s="99"/>
      <c r="L346" s="99"/>
      <c r="M346" s="100"/>
      <c r="N346" s="101"/>
      <c r="O346" s="98"/>
      <c r="P346" s="98"/>
      <c r="Q346" s="98"/>
    </row>
    <row r="347">
      <c r="A347" s="96" t="s">
        <v>1596</v>
      </c>
      <c r="B347" s="97" t="s">
        <v>1597</v>
      </c>
      <c r="C347" s="97" t="s">
        <v>1598</v>
      </c>
      <c r="D347" s="97" t="s">
        <v>629</v>
      </c>
      <c r="E347" s="97" t="s">
        <v>630</v>
      </c>
      <c r="F347" s="97" t="b">
        <v>0</v>
      </c>
      <c r="G347" s="97" t="b">
        <v>0</v>
      </c>
      <c r="H347" s="98"/>
      <c r="I347" s="98"/>
      <c r="J347" s="98"/>
      <c r="K347" s="99"/>
      <c r="L347" s="99"/>
      <c r="M347" s="102"/>
      <c r="N347" s="102"/>
      <c r="O347" s="98"/>
      <c r="P347" s="98"/>
      <c r="Q347" s="98"/>
    </row>
    <row r="348">
      <c r="A348" s="96" t="s">
        <v>198</v>
      </c>
      <c r="B348" s="97" t="s">
        <v>1599</v>
      </c>
      <c r="C348" s="97" t="s">
        <v>1600</v>
      </c>
      <c r="D348" s="97" t="s">
        <v>964</v>
      </c>
      <c r="E348" s="97" t="s">
        <v>761</v>
      </c>
      <c r="F348" s="97" t="b">
        <v>1</v>
      </c>
      <c r="G348" s="97" t="b">
        <v>1</v>
      </c>
      <c r="H348" s="98">
        <f>IF(A348:A2055="", "", COUNTIF(Check!H:H, A347:A2055))</f>
        <v>1</v>
      </c>
      <c r="I348" s="98"/>
      <c r="J348" s="98"/>
      <c r="K348" s="99"/>
      <c r="L348" s="99"/>
      <c r="M348" s="103"/>
      <c r="N348" s="104"/>
      <c r="O348" s="105"/>
      <c r="P348" s="105"/>
      <c r="Q348" s="105"/>
    </row>
    <row r="349">
      <c r="A349" s="96" t="s">
        <v>1601</v>
      </c>
      <c r="B349" s="97" t="s">
        <v>1602</v>
      </c>
      <c r="C349" s="97" t="s">
        <v>1603</v>
      </c>
      <c r="D349" s="97" t="s">
        <v>1230</v>
      </c>
      <c r="E349" s="97" t="s">
        <v>590</v>
      </c>
      <c r="F349" s="97" t="b">
        <v>0</v>
      </c>
      <c r="G349" s="97" t="b">
        <v>0</v>
      </c>
      <c r="H349" s="98"/>
      <c r="I349" s="98"/>
      <c r="J349" s="98"/>
      <c r="K349" s="99"/>
      <c r="L349" s="99"/>
      <c r="M349" s="102"/>
      <c r="N349" s="102"/>
      <c r="O349" s="98"/>
      <c r="P349" s="98"/>
      <c r="Q349" s="106"/>
    </row>
    <row r="350">
      <c r="A350" s="96" t="s">
        <v>1604</v>
      </c>
      <c r="B350" s="97" t="s">
        <v>1605</v>
      </c>
      <c r="C350" s="97" t="s">
        <v>1606</v>
      </c>
      <c r="D350" s="97" t="s">
        <v>788</v>
      </c>
      <c r="E350" s="97" t="s">
        <v>733</v>
      </c>
      <c r="F350" s="97" t="b">
        <v>0</v>
      </c>
      <c r="G350" s="97" t="b">
        <v>0</v>
      </c>
      <c r="H350" s="98"/>
      <c r="I350" s="98"/>
      <c r="J350" s="98"/>
      <c r="K350" s="100"/>
      <c r="L350" s="101"/>
      <c r="M350" s="100"/>
      <c r="N350" s="101"/>
      <c r="O350" s="98"/>
      <c r="P350" s="98"/>
      <c r="Q350" s="106"/>
    </row>
    <row r="351">
      <c r="A351" s="96" t="s">
        <v>1607</v>
      </c>
      <c r="B351" s="97" t="s">
        <v>1608</v>
      </c>
      <c r="C351" s="97" t="s">
        <v>1609</v>
      </c>
      <c r="D351" s="97" t="s">
        <v>1177</v>
      </c>
      <c r="E351" s="97" t="s">
        <v>582</v>
      </c>
      <c r="F351" s="97" t="b">
        <v>0</v>
      </c>
      <c r="G351" s="97" t="b">
        <v>0</v>
      </c>
      <c r="H351" s="98"/>
      <c r="I351" s="98"/>
      <c r="J351" s="98"/>
      <c r="K351" s="99"/>
      <c r="L351" s="99"/>
      <c r="M351" s="100"/>
      <c r="N351" s="101"/>
      <c r="O351" s="98"/>
      <c r="P351" s="98"/>
      <c r="Q351" s="105"/>
    </row>
    <row r="352">
      <c r="A352" s="96" t="s">
        <v>1607</v>
      </c>
      <c r="B352" s="97" t="s">
        <v>1608</v>
      </c>
      <c r="C352" s="97" t="s">
        <v>1609</v>
      </c>
      <c r="D352" s="97" t="s">
        <v>1177</v>
      </c>
      <c r="E352" s="97" t="s">
        <v>582</v>
      </c>
      <c r="F352" s="97" t="b">
        <v>0</v>
      </c>
      <c r="G352" s="97" t="b">
        <v>0</v>
      </c>
      <c r="H352" s="98"/>
      <c r="I352" s="98"/>
      <c r="J352" s="98"/>
      <c r="K352" s="99"/>
      <c r="L352" s="99"/>
      <c r="M352" s="100"/>
      <c r="N352" s="101"/>
      <c r="O352" s="98"/>
      <c r="P352" s="98"/>
      <c r="Q352" s="105"/>
    </row>
    <row r="353">
      <c r="A353" s="96" t="s">
        <v>1610</v>
      </c>
      <c r="B353" s="97" t="s">
        <v>1611</v>
      </c>
      <c r="C353" s="97" t="s">
        <v>1612</v>
      </c>
      <c r="D353" s="97" t="s">
        <v>1541</v>
      </c>
      <c r="E353" s="97" t="s">
        <v>616</v>
      </c>
      <c r="F353" s="97" t="b">
        <v>0</v>
      </c>
      <c r="G353" s="97" t="b">
        <v>0</v>
      </c>
      <c r="H353" s="98"/>
      <c r="I353" s="98"/>
      <c r="J353" s="98"/>
      <c r="K353" s="99"/>
      <c r="L353" s="99"/>
      <c r="M353" s="103"/>
      <c r="N353" s="104"/>
      <c r="O353" s="105"/>
      <c r="P353" s="105"/>
      <c r="Q353" s="105"/>
    </row>
    <row r="354">
      <c r="A354" s="96" t="s">
        <v>372</v>
      </c>
      <c r="B354" s="97" t="s">
        <v>1613</v>
      </c>
      <c r="C354" s="97" t="s">
        <v>1614</v>
      </c>
      <c r="D354" s="97" t="s">
        <v>1615</v>
      </c>
      <c r="E354" s="97" t="s">
        <v>932</v>
      </c>
      <c r="F354" s="97" t="b">
        <v>0</v>
      </c>
      <c r="G354" s="97" t="b">
        <v>0</v>
      </c>
      <c r="H354" s="98"/>
      <c r="I354" s="98"/>
      <c r="J354" s="98"/>
      <c r="K354" s="99"/>
      <c r="L354" s="99"/>
      <c r="M354" s="102"/>
      <c r="N354" s="102"/>
      <c r="O354" s="98"/>
      <c r="P354" s="98"/>
      <c r="Q354" s="98"/>
    </row>
    <row r="355">
      <c r="A355" s="96" t="s">
        <v>441</v>
      </c>
      <c r="B355" s="97" t="s">
        <v>1616</v>
      </c>
      <c r="C355" s="97" t="s">
        <v>1617</v>
      </c>
      <c r="D355" s="97"/>
      <c r="E355" s="97"/>
      <c r="F355" s="97" t="b">
        <v>1</v>
      </c>
      <c r="G355" s="97" t="b">
        <v>1</v>
      </c>
      <c r="H355" s="98">
        <f>IF(A355:A2055="", "", COUNTIF(Check!H:H, A354:A2055))</f>
        <v>1</v>
      </c>
      <c r="I355" s="98"/>
      <c r="J355" s="98"/>
      <c r="K355" s="102"/>
      <c r="L355" s="102"/>
      <c r="M355" s="102"/>
      <c r="N355" s="102"/>
      <c r="O355" s="98"/>
      <c r="P355" s="98"/>
      <c r="Q355" s="98"/>
    </row>
    <row r="356">
      <c r="A356" s="96" t="s">
        <v>1618</v>
      </c>
      <c r="B356" s="97" t="s">
        <v>1619</v>
      </c>
      <c r="C356" s="97" t="s">
        <v>1620</v>
      </c>
      <c r="D356" s="97" t="s">
        <v>655</v>
      </c>
      <c r="E356" s="97" t="s">
        <v>590</v>
      </c>
      <c r="F356" s="97" t="b">
        <v>0</v>
      </c>
      <c r="G356" s="97" t="b">
        <v>0</v>
      </c>
      <c r="H356" s="98"/>
      <c r="I356" s="98"/>
      <c r="J356" s="98"/>
      <c r="K356" s="99"/>
      <c r="L356" s="99"/>
      <c r="M356" s="102"/>
      <c r="N356" s="102"/>
      <c r="O356" s="98"/>
      <c r="P356" s="98"/>
      <c r="Q356" s="98"/>
    </row>
    <row r="357">
      <c r="A357" s="96" t="s">
        <v>1621</v>
      </c>
      <c r="B357" s="97" t="s">
        <v>1622</v>
      </c>
      <c r="C357" s="97" t="s">
        <v>1623</v>
      </c>
      <c r="D357" s="97" t="s">
        <v>658</v>
      </c>
      <c r="E357" s="97" t="s">
        <v>697</v>
      </c>
      <c r="F357" s="97" t="b">
        <v>0</v>
      </c>
      <c r="G357" s="97" t="b">
        <v>0</v>
      </c>
      <c r="H357" s="98"/>
      <c r="I357" s="98"/>
      <c r="J357" s="98"/>
      <c r="K357" s="100" t="s">
        <v>610</v>
      </c>
      <c r="L357" s="107">
        <f>COUNTIFS($D$2:$D$1039, K357, $F$2:$F$1039, TRUE)</f>
        <v>2</v>
      </c>
      <c r="M357" s="100" t="s">
        <v>630</v>
      </c>
      <c r="N357" s="101">
        <f>COUNTIFS($E$2:$E$1039, M357, $F$2:$F$1039, TRUE)</f>
        <v>2</v>
      </c>
      <c r="O357" s="98"/>
      <c r="P357" s="98"/>
      <c r="Q357" s="98"/>
    </row>
    <row r="358">
      <c r="A358" s="96" t="s">
        <v>1624</v>
      </c>
      <c r="B358" s="97" t="s">
        <v>1625</v>
      </c>
      <c r="C358" s="97" t="s">
        <v>1626</v>
      </c>
      <c r="D358" s="97" t="s">
        <v>1012</v>
      </c>
      <c r="E358" s="97" t="s">
        <v>616</v>
      </c>
      <c r="F358" s="97" t="b">
        <v>0</v>
      </c>
      <c r="G358" s="97" t="b">
        <v>0</v>
      </c>
      <c r="H358" s="98"/>
      <c r="I358" s="98"/>
      <c r="J358" s="98"/>
      <c r="K358" s="99"/>
      <c r="L358" s="99"/>
      <c r="M358" s="102"/>
      <c r="N358" s="102"/>
      <c r="O358" s="98"/>
      <c r="P358" s="98"/>
      <c r="Q358" s="98"/>
    </row>
    <row r="359">
      <c r="A359" s="96" t="s">
        <v>1627</v>
      </c>
      <c r="B359" s="97" t="s">
        <v>1628</v>
      </c>
      <c r="C359" s="97" t="s">
        <v>1629</v>
      </c>
      <c r="D359" s="97" t="s">
        <v>610</v>
      </c>
      <c r="E359" s="97" t="s">
        <v>697</v>
      </c>
      <c r="F359" s="97" t="b">
        <v>0</v>
      </c>
      <c r="G359" s="97" t="b">
        <v>0</v>
      </c>
      <c r="H359" s="98"/>
      <c r="I359" s="98"/>
      <c r="J359" s="98"/>
      <c r="K359" s="100" t="s">
        <v>1026</v>
      </c>
      <c r="L359" s="101">
        <f>COUNTIFS($D$2:$D$1039, K359, $F$2:$F$1039, TRUE)</f>
        <v>0</v>
      </c>
      <c r="M359" s="100" t="s">
        <v>733</v>
      </c>
      <c r="N359" s="101">
        <f>COUNTIFS($E$2:$E$1039, M359, $F$2:$F$1039, TRUE)</f>
        <v>13</v>
      </c>
      <c r="O359" s="98"/>
      <c r="P359" s="98"/>
      <c r="Q359" s="98"/>
    </row>
    <row r="360">
      <c r="A360" s="96" t="s">
        <v>1630</v>
      </c>
      <c r="B360" s="97" t="s">
        <v>1631</v>
      </c>
      <c r="C360" s="97" t="s">
        <v>1632</v>
      </c>
      <c r="D360" s="97" t="s">
        <v>1230</v>
      </c>
      <c r="E360" s="97" t="s">
        <v>777</v>
      </c>
      <c r="F360" s="97" t="b">
        <v>0</v>
      </c>
      <c r="G360" s="97" t="b">
        <v>0</v>
      </c>
      <c r="H360" s="98"/>
      <c r="I360" s="98"/>
      <c r="J360" s="98"/>
      <c r="K360" s="99"/>
      <c r="L360" s="99"/>
      <c r="M360" s="102"/>
      <c r="N360" s="102"/>
      <c r="O360" s="98"/>
      <c r="P360" s="98"/>
      <c r="Q360" s="98"/>
    </row>
    <row r="361">
      <c r="A361" s="96" t="s">
        <v>1633</v>
      </c>
      <c r="B361" s="97" t="s">
        <v>1634</v>
      </c>
      <c r="C361" s="97" t="s">
        <v>1635</v>
      </c>
      <c r="D361" s="97" t="s">
        <v>1099</v>
      </c>
      <c r="E361" s="97" t="s">
        <v>1321</v>
      </c>
      <c r="F361" s="97" t="b">
        <v>0</v>
      </c>
      <c r="G361" s="97" t="b">
        <v>0</v>
      </c>
      <c r="H361" s="98"/>
      <c r="I361" s="98"/>
      <c r="J361" s="98"/>
      <c r="K361" s="99"/>
      <c r="L361" s="99"/>
      <c r="M361" s="102"/>
      <c r="N361" s="102"/>
      <c r="O361" s="98"/>
      <c r="P361" s="98"/>
      <c r="Q361" s="98"/>
    </row>
    <row r="362">
      <c r="A362" s="96" t="s">
        <v>1636</v>
      </c>
      <c r="B362" s="97" t="s">
        <v>1637</v>
      </c>
      <c r="C362" s="97" t="s">
        <v>1638</v>
      </c>
      <c r="D362" s="97" t="s">
        <v>740</v>
      </c>
      <c r="E362" s="97" t="s">
        <v>630</v>
      </c>
      <c r="F362" s="97" t="b">
        <v>0</v>
      </c>
      <c r="G362" s="97" t="b">
        <v>0</v>
      </c>
      <c r="H362" s="98"/>
      <c r="I362" s="98"/>
      <c r="J362" s="98"/>
      <c r="K362" s="99"/>
      <c r="L362" s="99"/>
      <c r="M362" s="100"/>
      <c r="N362" s="101"/>
      <c r="O362" s="98"/>
      <c r="P362" s="98"/>
      <c r="Q362" s="98"/>
    </row>
    <row r="363">
      <c r="A363" s="96" t="s">
        <v>182</v>
      </c>
      <c r="B363" s="97" t="s">
        <v>1639</v>
      </c>
      <c r="C363" s="97" t="s">
        <v>1640</v>
      </c>
      <c r="D363" s="97" t="s">
        <v>732</v>
      </c>
      <c r="E363" s="97" t="s">
        <v>727</v>
      </c>
      <c r="F363" s="97" t="b">
        <v>1</v>
      </c>
      <c r="G363" s="97" t="b">
        <v>1</v>
      </c>
      <c r="H363" s="98">
        <f>IF(A363:A2055="", "", COUNTIF(Check!H:H, A362:A2055))</f>
        <v>1</v>
      </c>
      <c r="I363" s="98"/>
      <c r="J363" s="98"/>
      <c r="K363" s="99"/>
      <c r="L363" s="99"/>
      <c r="M363" s="102"/>
      <c r="N363" s="102"/>
      <c r="O363" s="98"/>
      <c r="P363" s="98"/>
      <c r="Q363" s="98"/>
    </row>
    <row r="364">
      <c r="A364" s="96" t="s">
        <v>1641</v>
      </c>
      <c r="B364" s="97" t="s">
        <v>1642</v>
      </c>
      <c r="C364" s="97" t="s">
        <v>1643</v>
      </c>
      <c r="D364" s="97" t="s">
        <v>725</v>
      </c>
      <c r="E364" s="97" t="s">
        <v>1644</v>
      </c>
      <c r="F364" s="97" t="b">
        <v>0</v>
      </c>
      <c r="G364" s="97" t="b">
        <v>0</v>
      </c>
      <c r="H364" s="98"/>
      <c r="I364" s="98"/>
      <c r="J364" s="98"/>
      <c r="K364" s="108" t="s">
        <v>1055</v>
      </c>
      <c r="L364" s="110">
        <f>COUNTIFS($D$2:$D$1039, K364, $F$2:$F$1039, TRUE)</f>
        <v>3</v>
      </c>
      <c r="M364" s="108" t="s">
        <v>722</v>
      </c>
      <c r="N364" s="109">
        <f>COUNTIFS($E$2:$E$1039, M364, $F$2:$F$1039, TRUE)</f>
        <v>16</v>
      </c>
      <c r="O364" s="98"/>
      <c r="P364" s="98"/>
      <c r="Q364" s="98"/>
    </row>
    <row r="365">
      <c r="A365" s="96" t="s">
        <v>508</v>
      </c>
      <c r="B365" s="97" t="s">
        <v>1645</v>
      </c>
      <c r="C365" s="97" t="s">
        <v>1646</v>
      </c>
      <c r="D365" s="97" t="s">
        <v>788</v>
      </c>
      <c r="E365" s="97" t="s">
        <v>644</v>
      </c>
      <c r="F365" s="97" t="b">
        <v>1</v>
      </c>
      <c r="G365" s="97" t="b">
        <v>1</v>
      </c>
      <c r="H365" s="98">
        <f>IF(A365:A2055="", "", COUNTIF(Check!H:H, A364:A2055))</f>
        <v>1</v>
      </c>
      <c r="I365" s="98"/>
      <c r="J365" s="98"/>
      <c r="K365" s="99"/>
      <c r="L365" s="99"/>
      <c r="M365" s="102"/>
      <c r="N365" s="102"/>
      <c r="O365" s="98"/>
      <c r="P365" s="98"/>
      <c r="Q365" s="98"/>
    </row>
    <row r="366">
      <c r="A366" s="96" t="s">
        <v>1647</v>
      </c>
      <c r="B366" s="97" t="s">
        <v>1648</v>
      </c>
      <c r="C366" s="97" t="s">
        <v>1649</v>
      </c>
      <c r="D366" s="97" t="s">
        <v>1500</v>
      </c>
      <c r="E366" s="97" t="s">
        <v>777</v>
      </c>
      <c r="F366" s="97" t="b">
        <v>0</v>
      </c>
      <c r="G366" s="97" t="b">
        <v>0</v>
      </c>
      <c r="H366" s="98"/>
      <c r="I366" s="98"/>
      <c r="J366" s="98"/>
      <c r="K366" s="99"/>
      <c r="L366" s="99"/>
      <c r="M366" s="102"/>
      <c r="N366" s="102"/>
      <c r="O366" s="98"/>
      <c r="P366" s="98"/>
      <c r="Q366" s="98"/>
    </row>
    <row r="367">
      <c r="A367" s="96" t="s">
        <v>391</v>
      </c>
      <c r="B367" s="97" t="s">
        <v>1650</v>
      </c>
      <c r="C367" s="97" t="s">
        <v>1651</v>
      </c>
      <c r="D367" s="97" t="s">
        <v>624</v>
      </c>
      <c r="E367" s="97" t="s">
        <v>1050</v>
      </c>
      <c r="F367" s="97" t="b">
        <v>1</v>
      </c>
      <c r="G367" s="97" t="b">
        <v>1</v>
      </c>
      <c r="H367" s="98">
        <f>IF(A367:A2055="", "", COUNTIF(Check!H:H, A366:A2055))</f>
        <v>1</v>
      </c>
      <c r="I367" s="98"/>
      <c r="J367" s="98"/>
      <c r="K367" s="108" t="s">
        <v>1301</v>
      </c>
      <c r="L367" s="109">
        <f>COUNTIFS($D$2:$D$1039, K367, $F$2:$F$1039, TRUE)</f>
        <v>3</v>
      </c>
      <c r="M367" s="100" t="s">
        <v>932</v>
      </c>
      <c r="N367" s="101">
        <f>COUNTIFS($E$2:$E$1039, M367, $F$2:$F$1039, TRUE)</f>
        <v>2</v>
      </c>
      <c r="O367" s="98"/>
      <c r="P367" s="98"/>
      <c r="Q367" s="98"/>
    </row>
    <row r="368">
      <c r="A368" s="96" t="s">
        <v>270</v>
      </c>
      <c r="B368" s="97" t="s">
        <v>1652</v>
      </c>
      <c r="C368" s="97" t="s">
        <v>1653</v>
      </c>
      <c r="D368" s="97" t="s">
        <v>704</v>
      </c>
      <c r="E368" s="97" t="s">
        <v>590</v>
      </c>
      <c r="F368" s="97" t="b">
        <v>1</v>
      </c>
      <c r="G368" s="97" t="b">
        <v>1</v>
      </c>
      <c r="H368" s="98">
        <f>IF(A368:A2055="", "", COUNTIF(Check!H:H, A367:A2055))</f>
        <v>1</v>
      </c>
      <c r="I368" s="98"/>
      <c r="J368" s="98"/>
      <c r="K368" s="99"/>
      <c r="L368" s="99"/>
      <c r="M368" s="102"/>
      <c r="N368" s="102"/>
      <c r="O368" s="98"/>
      <c r="P368" s="98"/>
      <c r="Q368" s="98"/>
    </row>
    <row r="369">
      <c r="A369" s="96" t="s">
        <v>1654</v>
      </c>
      <c r="B369" s="97" t="s">
        <v>1652</v>
      </c>
      <c r="C369" s="97" t="s">
        <v>1655</v>
      </c>
      <c r="D369" s="97" t="s">
        <v>667</v>
      </c>
      <c r="E369" s="97" t="s">
        <v>688</v>
      </c>
      <c r="F369" s="97" t="b">
        <v>0</v>
      </c>
      <c r="G369" s="97" t="b">
        <v>0</v>
      </c>
      <c r="H369" s="98"/>
      <c r="I369" s="98"/>
      <c r="J369" s="98"/>
      <c r="K369" s="99"/>
      <c r="L369" s="99"/>
      <c r="M369" s="102"/>
      <c r="N369" s="102"/>
      <c r="O369" s="98"/>
      <c r="P369" s="98"/>
      <c r="Q369" s="98"/>
    </row>
    <row r="370">
      <c r="A370" s="96" t="s">
        <v>515</v>
      </c>
      <c r="B370" s="97" t="s">
        <v>1656</v>
      </c>
      <c r="C370" s="97" t="s">
        <v>1657</v>
      </c>
      <c r="D370" s="97" t="s">
        <v>964</v>
      </c>
      <c r="E370" s="97" t="s">
        <v>644</v>
      </c>
      <c r="F370" s="97" t="b">
        <v>1</v>
      </c>
      <c r="G370" s="97" t="b">
        <v>1</v>
      </c>
      <c r="H370" s="98">
        <f>IF(A370:A2055="", "", COUNTIF(Check!H:H, A369:A2055))</f>
        <v>1</v>
      </c>
      <c r="I370" s="98"/>
      <c r="J370" s="98"/>
      <c r="K370" s="108"/>
      <c r="L370" s="109"/>
      <c r="M370" s="103"/>
      <c r="N370" s="104"/>
      <c r="O370" s="106"/>
      <c r="P370" s="106"/>
      <c r="Q370" s="98"/>
    </row>
    <row r="371">
      <c r="A371" s="96" t="s">
        <v>1658</v>
      </c>
      <c r="B371" s="97" t="s">
        <v>1659</v>
      </c>
      <c r="C371" s="97" t="s">
        <v>1660</v>
      </c>
      <c r="D371" s="97" t="s">
        <v>942</v>
      </c>
      <c r="E371" s="97" t="s">
        <v>932</v>
      </c>
      <c r="F371" s="97" t="b">
        <v>0</v>
      </c>
      <c r="G371" s="97" t="b">
        <v>0</v>
      </c>
      <c r="H371" s="98"/>
      <c r="I371" s="98"/>
      <c r="J371" s="98"/>
      <c r="K371" s="99"/>
      <c r="L371" s="99"/>
      <c r="M371" s="102"/>
      <c r="N371" s="102"/>
      <c r="O371" s="98"/>
      <c r="P371" s="98"/>
      <c r="Q371" s="98"/>
    </row>
    <row r="372">
      <c r="A372" s="96" t="s">
        <v>1661</v>
      </c>
      <c r="B372" s="97" t="s">
        <v>1662</v>
      </c>
      <c r="C372" s="97" t="s">
        <v>1663</v>
      </c>
      <c r="D372" s="97" t="s">
        <v>1503</v>
      </c>
      <c r="E372" s="97" t="s">
        <v>586</v>
      </c>
      <c r="F372" s="97" t="b">
        <v>0</v>
      </c>
      <c r="G372" s="97" t="b">
        <v>0</v>
      </c>
      <c r="H372" s="98"/>
      <c r="I372" s="98"/>
      <c r="J372" s="98"/>
      <c r="K372" s="99"/>
      <c r="L372" s="99"/>
      <c r="M372" s="102"/>
      <c r="N372" s="102"/>
      <c r="O372" s="98"/>
      <c r="P372" s="98"/>
      <c r="Q372" s="98"/>
    </row>
    <row r="373">
      <c r="A373" s="96" t="s">
        <v>159</v>
      </c>
      <c r="B373" s="97" t="s">
        <v>1664</v>
      </c>
      <c r="C373" s="97" t="s">
        <v>1665</v>
      </c>
      <c r="D373" s="97" t="s">
        <v>708</v>
      </c>
      <c r="E373" s="97" t="s">
        <v>630</v>
      </c>
      <c r="F373" s="97" t="b">
        <v>1</v>
      </c>
      <c r="G373" s="97" t="b">
        <v>1</v>
      </c>
      <c r="H373" s="98">
        <f>IF(A373:A2055="", "", COUNTIF(Check!H:H, A372:A2055))</f>
        <v>1</v>
      </c>
      <c r="I373" s="98"/>
      <c r="J373" s="98"/>
      <c r="K373" s="99"/>
      <c r="L373" s="99"/>
      <c r="M373" s="102"/>
      <c r="N373" s="102"/>
      <c r="O373" s="98"/>
      <c r="P373" s="98"/>
      <c r="Q373" s="98"/>
    </row>
    <row r="374">
      <c r="A374" s="96" t="s">
        <v>1666</v>
      </c>
      <c r="B374" s="97" t="s">
        <v>1667</v>
      </c>
      <c r="C374" s="97" t="s">
        <v>1668</v>
      </c>
      <c r="D374" s="97" t="s">
        <v>1055</v>
      </c>
      <c r="E374" s="97" t="s">
        <v>1085</v>
      </c>
      <c r="F374" s="97" t="b">
        <v>0</v>
      </c>
      <c r="G374" s="97" t="b">
        <v>0</v>
      </c>
      <c r="H374" s="98"/>
      <c r="I374" s="98"/>
      <c r="J374" s="98"/>
      <c r="K374" s="108"/>
      <c r="L374" s="110"/>
      <c r="M374" s="108"/>
      <c r="N374" s="109"/>
      <c r="O374" s="106"/>
      <c r="P374" s="106"/>
      <c r="Q374" s="98"/>
    </row>
    <row r="375">
      <c r="A375" s="96" t="s">
        <v>1669</v>
      </c>
      <c r="B375" s="97" t="s">
        <v>1670</v>
      </c>
      <c r="C375" s="97" t="s">
        <v>1671</v>
      </c>
      <c r="D375" s="97" t="s">
        <v>684</v>
      </c>
      <c r="E375" s="97" t="s">
        <v>611</v>
      </c>
      <c r="F375" s="97" t="b">
        <v>0</v>
      </c>
      <c r="G375" s="97" t="b">
        <v>0</v>
      </c>
      <c r="H375" s="98"/>
      <c r="I375" s="98"/>
      <c r="J375" s="98"/>
      <c r="K375" s="99"/>
      <c r="L375" s="99"/>
      <c r="M375" s="102"/>
      <c r="N375" s="102"/>
      <c r="O375" s="98"/>
      <c r="P375" s="98"/>
      <c r="Q375" s="98"/>
    </row>
    <row r="376">
      <c r="A376" s="96" t="s">
        <v>480</v>
      </c>
      <c r="B376" s="97" t="s">
        <v>1672</v>
      </c>
      <c r="C376" s="97" t="s">
        <v>1673</v>
      </c>
      <c r="D376" s="97" t="s">
        <v>857</v>
      </c>
      <c r="E376" s="97" t="s">
        <v>659</v>
      </c>
      <c r="F376" s="97" t="b">
        <v>1</v>
      </c>
      <c r="G376" s="97" t="b">
        <v>1</v>
      </c>
      <c r="H376" s="98">
        <f>IF(A376:A2055="", "", COUNTIF(Check!H:H, A375:A2055))</f>
        <v>1</v>
      </c>
      <c r="I376" s="98"/>
      <c r="J376" s="98"/>
      <c r="K376" s="99"/>
      <c r="L376" s="99"/>
      <c r="M376" s="100"/>
      <c r="N376" s="101"/>
      <c r="O376" s="98"/>
      <c r="P376" s="98"/>
      <c r="Q376" s="98"/>
    </row>
    <row r="377">
      <c r="A377" s="96" t="s">
        <v>1674</v>
      </c>
      <c r="B377" s="97" t="s">
        <v>1675</v>
      </c>
      <c r="C377" s="97" t="s">
        <v>1676</v>
      </c>
      <c r="D377" s="97" t="s">
        <v>942</v>
      </c>
      <c r="E377" s="97" t="s">
        <v>620</v>
      </c>
      <c r="F377" s="97" t="b">
        <v>0</v>
      </c>
      <c r="G377" s="97" t="b">
        <v>0</v>
      </c>
      <c r="H377" s="98"/>
      <c r="I377" s="98"/>
      <c r="J377" s="98"/>
      <c r="K377" s="102"/>
      <c r="L377" s="102"/>
      <c r="M377" s="102"/>
      <c r="N377" s="102"/>
      <c r="O377" s="98"/>
      <c r="P377" s="98"/>
      <c r="Q377" s="98"/>
    </row>
    <row r="378">
      <c r="A378" s="96" t="s">
        <v>1677</v>
      </c>
      <c r="B378" s="97" t="s">
        <v>792</v>
      </c>
      <c r="C378" s="97" t="s">
        <v>1678</v>
      </c>
      <c r="D378" s="97" t="s">
        <v>633</v>
      </c>
      <c r="E378" s="97" t="s">
        <v>678</v>
      </c>
      <c r="F378" s="97" t="b">
        <v>0</v>
      </c>
      <c r="G378" s="97" t="b">
        <v>0</v>
      </c>
      <c r="H378" s="98"/>
      <c r="I378" s="98"/>
      <c r="J378" s="98"/>
      <c r="K378" s="99"/>
      <c r="L378" s="99"/>
      <c r="M378" s="102"/>
      <c r="N378" s="102"/>
      <c r="O378" s="98"/>
      <c r="P378" s="98"/>
      <c r="Q378" s="98"/>
    </row>
    <row r="379">
      <c r="A379" s="96" t="s">
        <v>321</v>
      </c>
      <c r="B379" s="97" t="s">
        <v>1679</v>
      </c>
      <c r="C379" s="97" t="s">
        <v>1680</v>
      </c>
      <c r="D379" s="97" t="s">
        <v>629</v>
      </c>
      <c r="E379" s="97" t="s">
        <v>830</v>
      </c>
      <c r="F379" s="97" t="b">
        <v>1</v>
      </c>
      <c r="G379" s="97" t="b">
        <v>1</v>
      </c>
      <c r="H379" s="98">
        <f>IF(A379:A2055="", "", COUNTIF(Check!H:H, A378:A2055))</f>
        <v>1</v>
      </c>
      <c r="I379" s="98"/>
      <c r="J379" s="98"/>
      <c r="K379" s="100"/>
      <c r="L379" s="101"/>
      <c r="M379" s="102"/>
      <c r="N379" s="102"/>
      <c r="O379" s="98"/>
      <c r="P379" s="98"/>
      <c r="Q379" s="98"/>
    </row>
    <row r="380">
      <c r="A380" s="96" t="s">
        <v>1681</v>
      </c>
      <c r="B380" s="97" t="s">
        <v>1682</v>
      </c>
      <c r="C380" s="97" t="s">
        <v>1683</v>
      </c>
      <c r="D380" s="97" t="s">
        <v>1099</v>
      </c>
      <c r="E380" s="97" t="s">
        <v>1165</v>
      </c>
      <c r="F380" s="97" t="b">
        <v>0</v>
      </c>
      <c r="G380" s="97" t="b">
        <v>0</v>
      </c>
      <c r="H380" s="98"/>
      <c r="I380" s="98"/>
      <c r="J380" s="98"/>
      <c r="K380" s="102"/>
      <c r="L380" s="102"/>
      <c r="M380" s="108"/>
      <c r="N380" s="109"/>
      <c r="O380" s="98"/>
      <c r="P380" s="98"/>
      <c r="Q380" s="98"/>
    </row>
    <row r="381">
      <c r="A381" s="96" t="s">
        <v>1684</v>
      </c>
      <c r="B381" s="97" t="s">
        <v>1685</v>
      </c>
      <c r="C381" s="97" t="s">
        <v>1686</v>
      </c>
      <c r="D381" s="97" t="s">
        <v>639</v>
      </c>
      <c r="E381" s="97" t="s">
        <v>1567</v>
      </c>
      <c r="F381" s="97" t="b">
        <v>0</v>
      </c>
      <c r="G381" s="97" t="b">
        <v>0</v>
      </c>
      <c r="H381" s="98"/>
      <c r="I381" s="98"/>
      <c r="J381" s="98"/>
      <c r="K381" s="99"/>
      <c r="L381" s="99"/>
      <c r="M381" s="108"/>
      <c r="N381" s="109"/>
      <c r="O381" s="105"/>
      <c r="P381" s="105"/>
      <c r="Q381" s="98"/>
    </row>
    <row r="382">
      <c r="A382" s="96" t="s">
        <v>1687</v>
      </c>
      <c r="B382" s="97" t="s">
        <v>1688</v>
      </c>
      <c r="C382" s="97" t="s">
        <v>1689</v>
      </c>
      <c r="D382" s="97" t="s">
        <v>624</v>
      </c>
      <c r="E382" s="97" t="s">
        <v>1567</v>
      </c>
      <c r="F382" s="97" t="b">
        <v>0</v>
      </c>
      <c r="G382" s="97" t="b">
        <v>0</v>
      </c>
      <c r="H382" s="98"/>
      <c r="I382" s="98"/>
      <c r="J382" s="98"/>
      <c r="K382" s="99"/>
      <c r="L382" s="99"/>
      <c r="M382" s="102"/>
      <c r="N382" s="102"/>
      <c r="O382" s="98"/>
      <c r="P382" s="98"/>
      <c r="Q382" s="98"/>
    </row>
    <row r="383">
      <c r="A383" s="96" t="s">
        <v>1690</v>
      </c>
      <c r="B383" s="97" t="s">
        <v>1691</v>
      </c>
      <c r="C383" s="97" t="s">
        <v>1692</v>
      </c>
      <c r="D383" s="97" t="s">
        <v>894</v>
      </c>
      <c r="E383" s="97" t="s">
        <v>685</v>
      </c>
      <c r="F383" s="97" t="b">
        <v>0</v>
      </c>
      <c r="G383" s="97" t="b">
        <v>0</v>
      </c>
      <c r="H383" s="98"/>
      <c r="I383" s="98"/>
      <c r="J383" s="98"/>
      <c r="K383" s="108"/>
      <c r="L383" s="110"/>
      <c r="M383" s="102"/>
      <c r="N383" s="102"/>
      <c r="O383" s="98"/>
      <c r="P383" s="98"/>
      <c r="Q383" s="98"/>
    </row>
    <row r="384">
      <c r="A384" s="96" t="s">
        <v>1693</v>
      </c>
      <c r="B384" s="97" t="s">
        <v>1694</v>
      </c>
      <c r="C384" s="97" t="s">
        <v>1695</v>
      </c>
      <c r="D384" s="97" t="s">
        <v>939</v>
      </c>
      <c r="E384" s="97" t="s">
        <v>1696</v>
      </c>
      <c r="F384" s="97" t="b">
        <v>0</v>
      </c>
      <c r="G384" s="97" t="b">
        <v>0</v>
      </c>
      <c r="H384" s="98"/>
      <c r="I384" s="98"/>
      <c r="J384" s="98"/>
      <c r="K384" s="99"/>
      <c r="L384" s="99"/>
      <c r="M384" s="102"/>
      <c r="N384" s="102"/>
      <c r="O384" s="98"/>
      <c r="P384" s="98"/>
      <c r="Q384" s="98"/>
    </row>
    <row r="385">
      <c r="A385" s="96" t="s">
        <v>1697</v>
      </c>
      <c r="B385" s="97" t="s">
        <v>1694</v>
      </c>
      <c r="C385" s="97" t="s">
        <v>1698</v>
      </c>
      <c r="D385" s="97" t="s">
        <v>1699</v>
      </c>
      <c r="E385" s="97" t="s">
        <v>1134</v>
      </c>
      <c r="F385" s="97" t="b">
        <v>0</v>
      </c>
      <c r="G385" s="97" t="b">
        <v>0</v>
      </c>
      <c r="H385" s="98"/>
      <c r="I385" s="98"/>
      <c r="J385" s="98"/>
      <c r="K385" s="99"/>
      <c r="L385" s="99"/>
      <c r="M385" s="102"/>
      <c r="N385" s="102"/>
      <c r="O385" s="98"/>
      <c r="P385" s="98"/>
      <c r="Q385" s="98"/>
    </row>
    <row r="386">
      <c r="A386" s="96" t="s">
        <v>1700</v>
      </c>
      <c r="B386" s="97" t="s">
        <v>1701</v>
      </c>
      <c r="C386" s="97" t="s">
        <v>1702</v>
      </c>
      <c r="D386" s="97" t="s">
        <v>658</v>
      </c>
      <c r="E386" s="97" t="s">
        <v>1101</v>
      </c>
      <c r="F386" s="97" t="b">
        <v>0</v>
      </c>
      <c r="G386" s="97" t="b">
        <v>0</v>
      </c>
      <c r="H386" s="98"/>
      <c r="I386" s="98"/>
      <c r="J386" s="98"/>
      <c r="K386" s="99"/>
      <c r="L386" s="99"/>
      <c r="M386" s="102"/>
      <c r="N386" s="102"/>
      <c r="O386" s="98"/>
      <c r="P386" s="98"/>
      <c r="Q386" s="98"/>
    </row>
    <row r="387">
      <c r="A387" s="96" t="s">
        <v>1703</v>
      </c>
      <c r="B387" s="97" t="s">
        <v>1704</v>
      </c>
      <c r="C387" s="97" t="s">
        <v>1705</v>
      </c>
      <c r="D387" s="97" t="s">
        <v>1503</v>
      </c>
      <c r="E387" s="97" t="s">
        <v>1706</v>
      </c>
      <c r="F387" s="97" t="b">
        <v>0</v>
      </c>
      <c r="G387" s="97" t="b">
        <v>0</v>
      </c>
      <c r="H387" s="98"/>
      <c r="I387" s="98"/>
      <c r="J387" s="98"/>
      <c r="K387" s="103" t="s">
        <v>1108</v>
      </c>
      <c r="L387" s="112">
        <f>COUNTIFS($D$2:$D$1039, K387, $F$2:$F$1039, TRUE)</f>
        <v>5</v>
      </c>
      <c r="M387" s="108" t="s">
        <v>1696</v>
      </c>
      <c r="N387" s="109">
        <f>COUNTIFS($E$2:$E$1039, M387, $F$2:$F$1039, TRUE)</f>
        <v>0</v>
      </c>
      <c r="O387" s="98"/>
      <c r="P387" s="98"/>
      <c r="Q387" s="98"/>
    </row>
    <row r="388">
      <c r="A388" s="96" t="s">
        <v>1707</v>
      </c>
      <c r="B388" s="97" t="s">
        <v>1704</v>
      </c>
      <c r="C388" s="97" t="s">
        <v>1708</v>
      </c>
      <c r="D388" s="97" t="s">
        <v>1169</v>
      </c>
      <c r="E388" s="97" t="s">
        <v>830</v>
      </c>
      <c r="F388" s="97" t="b">
        <v>0</v>
      </c>
      <c r="G388" s="97" t="b">
        <v>0</v>
      </c>
      <c r="H388" s="98"/>
      <c r="I388" s="98"/>
      <c r="J388" s="98"/>
      <c r="K388" s="100"/>
      <c r="L388" s="101"/>
      <c r="M388" s="102"/>
      <c r="N388" s="102"/>
      <c r="O388" s="98"/>
      <c r="P388" s="98"/>
      <c r="Q388" s="98"/>
    </row>
    <row r="389">
      <c r="A389" s="96" t="s">
        <v>216</v>
      </c>
      <c r="B389" s="97" t="s">
        <v>1709</v>
      </c>
      <c r="C389" s="97" t="s">
        <v>1710</v>
      </c>
      <c r="D389" s="97" t="s">
        <v>721</v>
      </c>
      <c r="E389" s="97" t="s">
        <v>761</v>
      </c>
      <c r="F389" s="97" t="b">
        <v>1</v>
      </c>
      <c r="G389" s="97" t="b">
        <v>1</v>
      </c>
      <c r="H389" s="98">
        <f>IF(A389:A2055="", "", COUNTIF(Check!H:H, A388:A2055))</f>
        <v>1</v>
      </c>
      <c r="I389" s="98"/>
      <c r="J389" s="98"/>
      <c r="K389" s="100"/>
      <c r="L389" s="101"/>
      <c r="M389" s="100"/>
      <c r="N389" s="101"/>
      <c r="O389" s="98"/>
      <c r="P389" s="98"/>
      <c r="Q389" s="98"/>
    </row>
    <row r="390">
      <c r="A390" s="96" t="s">
        <v>1711</v>
      </c>
      <c r="B390" s="97" t="s">
        <v>1712</v>
      </c>
      <c r="C390" s="97" t="s">
        <v>1713</v>
      </c>
      <c r="D390" s="97" t="s">
        <v>1169</v>
      </c>
      <c r="E390" s="97" t="s">
        <v>1134</v>
      </c>
      <c r="F390" s="97" t="b">
        <v>0</v>
      </c>
      <c r="G390" s="97" t="b">
        <v>0</v>
      </c>
      <c r="H390" s="98"/>
      <c r="I390" s="98"/>
      <c r="J390" s="98"/>
      <c r="K390" s="100"/>
      <c r="L390" s="101"/>
      <c r="M390" s="102"/>
      <c r="N390" s="102"/>
      <c r="O390" s="98"/>
      <c r="P390" s="98"/>
      <c r="Q390" s="98"/>
    </row>
    <row r="391">
      <c r="A391" s="96" t="s">
        <v>1714</v>
      </c>
      <c r="B391" s="97" t="s">
        <v>1715</v>
      </c>
      <c r="C391" s="97" t="s">
        <v>1716</v>
      </c>
      <c r="D391" s="97" t="s">
        <v>764</v>
      </c>
      <c r="E391" s="97" t="s">
        <v>607</v>
      </c>
      <c r="F391" s="97" t="b">
        <v>0</v>
      </c>
      <c r="G391" s="97" t="b">
        <v>0</v>
      </c>
      <c r="H391" s="98"/>
      <c r="I391" s="98"/>
      <c r="J391" s="98"/>
      <c r="K391" s="99"/>
      <c r="L391" s="99"/>
      <c r="M391" s="100"/>
      <c r="N391" s="101"/>
      <c r="O391" s="98"/>
      <c r="P391" s="98"/>
      <c r="Q391" s="106"/>
    </row>
    <row r="392">
      <c r="A392" s="96" t="s">
        <v>1717</v>
      </c>
      <c r="B392" s="97" t="s">
        <v>1718</v>
      </c>
      <c r="C392" s="97" t="s">
        <v>1719</v>
      </c>
      <c r="D392" s="97" t="s">
        <v>904</v>
      </c>
      <c r="E392" s="97" t="s">
        <v>688</v>
      </c>
      <c r="F392" s="97" t="b">
        <v>0</v>
      </c>
      <c r="G392" s="97" t="b">
        <v>0</v>
      </c>
      <c r="H392" s="98"/>
      <c r="I392" s="98"/>
      <c r="J392" s="98"/>
      <c r="K392" s="99"/>
      <c r="L392" s="99"/>
      <c r="M392" s="102"/>
      <c r="N392" s="102"/>
      <c r="O392" s="98"/>
      <c r="P392" s="98"/>
      <c r="Q392" s="106"/>
    </row>
    <row r="393">
      <c r="A393" s="96" t="s">
        <v>467</v>
      </c>
      <c r="B393" s="97" t="s">
        <v>1720</v>
      </c>
      <c r="C393" s="97" t="s">
        <v>1721</v>
      </c>
      <c r="D393" s="97" t="s">
        <v>696</v>
      </c>
      <c r="E393" s="97" t="s">
        <v>761</v>
      </c>
      <c r="F393" s="97" t="b">
        <v>1</v>
      </c>
      <c r="G393" s="97" t="b">
        <v>1</v>
      </c>
      <c r="H393" s="98">
        <f>IF(A393:A2055="", "", COUNTIF(Check!H:H, A392:A2055))</f>
        <v>1</v>
      </c>
      <c r="I393" s="98"/>
      <c r="J393" s="98"/>
      <c r="K393" s="108"/>
      <c r="L393" s="110"/>
      <c r="M393" s="108"/>
      <c r="N393" s="109"/>
      <c r="O393" s="98"/>
      <c r="P393" s="98"/>
      <c r="Q393" s="98"/>
    </row>
    <row r="394">
      <c r="A394" s="96" t="s">
        <v>1722</v>
      </c>
      <c r="B394" s="97" t="s">
        <v>1723</v>
      </c>
      <c r="C394" s="97" t="s">
        <v>1724</v>
      </c>
      <c r="D394" s="97" t="s">
        <v>747</v>
      </c>
      <c r="E394" s="97" t="s">
        <v>718</v>
      </c>
      <c r="F394" s="97" t="b">
        <v>0</v>
      </c>
      <c r="G394" s="97" t="b">
        <v>0</v>
      </c>
      <c r="H394" s="98"/>
      <c r="I394" s="98"/>
      <c r="J394" s="98"/>
      <c r="K394" s="99"/>
      <c r="L394" s="99"/>
      <c r="M394" s="102"/>
      <c r="N394" s="102"/>
      <c r="O394" s="98"/>
      <c r="P394" s="98"/>
      <c r="Q394" s="98"/>
    </row>
    <row r="395">
      <c r="A395" s="96" t="s">
        <v>288</v>
      </c>
      <c r="B395" s="97" t="s">
        <v>1725</v>
      </c>
      <c r="C395" s="97" t="s">
        <v>1726</v>
      </c>
      <c r="D395" s="97" t="s">
        <v>878</v>
      </c>
      <c r="E395" s="97" t="s">
        <v>590</v>
      </c>
      <c r="F395" s="97" t="b">
        <v>1</v>
      </c>
      <c r="G395" s="97" t="b">
        <v>1</v>
      </c>
      <c r="H395" s="98">
        <f>IF(A395:A2055="", "", COUNTIF(Check!H:H, A394:A2055))</f>
        <v>1</v>
      </c>
      <c r="I395" s="98"/>
      <c r="K395" s="99"/>
      <c r="L395" s="99"/>
      <c r="M395" s="102"/>
      <c r="N395" s="102"/>
      <c r="O395" s="98"/>
      <c r="P395" s="98"/>
      <c r="Q395" s="98"/>
    </row>
    <row r="396">
      <c r="A396" s="96" t="s">
        <v>239</v>
      </c>
      <c r="B396" s="97" t="s">
        <v>1727</v>
      </c>
      <c r="C396" s="97" t="s">
        <v>1728</v>
      </c>
      <c r="D396" s="97" t="s">
        <v>1012</v>
      </c>
      <c r="E396" s="97" t="s">
        <v>761</v>
      </c>
      <c r="F396" s="97" t="b">
        <v>1</v>
      </c>
      <c r="G396" s="97" t="b">
        <v>1</v>
      </c>
      <c r="H396" s="98">
        <f>IF(A396:A2055="", "", COUNTIF(Check!H:H, A395:A2055))</f>
        <v>1</v>
      </c>
      <c r="I396" s="98"/>
      <c r="J396" s="98"/>
      <c r="K396" s="99"/>
      <c r="L396" s="99"/>
      <c r="M396" s="102"/>
      <c r="N396" s="102"/>
      <c r="O396" s="98"/>
      <c r="P396" s="98"/>
      <c r="Q396" s="98"/>
    </row>
    <row r="397">
      <c r="A397" s="96" t="s">
        <v>325</v>
      </c>
      <c r="B397" s="97" t="s">
        <v>1729</v>
      </c>
      <c r="C397" s="97" t="s">
        <v>1730</v>
      </c>
      <c r="D397" s="97" t="s">
        <v>1012</v>
      </c>
      <c r="E397" s="97" t="s">
        <v>830</v>
      </c>
      <c r="F397" s="97" t="b">
        <v>1</v>
      </c>
      <c r="G397" s="97" t="b">
        <v>1</v>
      </c>
      <c r="H397" s="98">
        <f>IF(A397:A2055="", "", COUNTIF(Check!H:H, A396:A2055))</f>
        <v>1</v>
      </c>
      <c r="I397" s="98"/>
      <c r="J397" s="98"/>
      <c r="K397" s="100"/>
      <c r="L397" s="107"/>
      <c r="M397" s="102"/>
      <c r="N397" s="102"/>
      <c r="O397" s="98"/>
      <c r="P397" s="98"/>
      <c r="Q397" s="98"/>
    </row>
    <row r="398">
      <c r="A398" s="96" t="s">
        <v>1731</v>
      </c>
      <c r="B398" s="97" t="s">
        <v>1732</v>
      </c>
      <c r="C398" s="97" t="s">
        <v>1733</v>
      </c>
      <c r="D398" s="97" t="s">
        <v>834</v>
      </c>
      <c r="E398" s="97" t="s">
        <v>748</v>
      </c>
      <c r="F398" s="97" t="b">
        <v>0</v>
      </c>
      <c r="G398" s="97" t="b">
        <v>0</v>
      </c>
      <c r="H398" s="98"/>
      <c r="I398" s="98"/>
      <c r="J398" s="98"/>
      <c r="K398" s="99"/>
      <c r="L398" s="99"/>
      <c r="M398" s="102"/>
      <c r="N398" s="102"/>
      <c r="O398" s="98"/>
      <c r="P398" s="98"/>
      <c r="Q398" s="98"/>
    </row>
    <row r="399">
      <c r="A399" s="96" t="s">
        <v>1734</v>
      </c>
      <c r="B399" s="97" t="s">
        <v>1735</v>
      </c>
      <c r="C399" s="97" t="s">
        <v>1736</v>
      </c>
      <c r="D399" s="97" t="s">
        <v>877</v>
      </c>
      <c r="E399" s="97" t="s">
        <v>1234</v>
      </c>
      <c r="F399" s="97" t="b">
        <v>0</v>
      </c>
      <c r="G399" s="97" t="b">
        <v>0</v>
      </c>
      <c r="H399" s="98"/>
      <c r="I399" s="98"/>
      <c r="J399" s="98"/>
      <c r="K399" s="99"/>
      <c r="L399" s="99"/>
      <c r="M399" s="102"/>
      <c r="N399" s="102"/>
      <c r="O399" s="98"/>
      <c r="P399" s="98"/>
      <c r="Q399" s="98"/>
    </row>
    <row r="400">
      <c r="A400" s="96" t="s">
        <v>1737</v>
      </c>
      <c r="B400" s="97" t="s">
        <v>1738</v>
      </c>
      <c r="C400" s="97" t="s">
        <v>1739</v>
      </c>
      <c r="D400" s="97" t="s">
        <v>1022</v>
      </c>
      <c r="E400" s="97" t="s">
        <v>607</v>
      </c>
      <c r="F400" s="97" t="b">
        <v>0</v>
      </c>
      <c r="G400" s="97" t="b">
        <v>0</v>
      </c>
      <c r="H400" s="98"/>
      <c r="I400" s="98"/>
      <c r="J400" s="98"/>
      <c r="K400" s="99"/>
      <c r="L400" s="99"/>
      <c r="M400" s="100"/>
      <c r="N400" s="101"/>
      <c r="O400" s="98"/>
      <c r="P400" s="98"/>
      <c r="Q400" s="98"/>
    </row>
    <row r="401">
      <c r="A401" s="96" t="s">
        <v>479</v>
      </c>
      <c r="B401" s="97" t="s">
        <v>1740</v>
      </c>
      <c r="C401" s="97" t="s">
        <v>1741</v>
      </c>
      <c r="D401" s="97" t="s">
        <v>1127</v>
      </c>
      <c r="E401" s="97" t="s">
        <v>659</v>
      </c>
      <c r="F401" s="97" t="b">
        <v>1</v>
      </c>
      <c r="G401" s="97" t="b">
        <v>1</v>
      </c>
      <c r="H401" s="98">
        <f>IF(A401:A2055="", "", COUNTIF(Check!H:H, A400:A2055))</f>
        <v>1</v>
      </c>
      <c r="I401" s="98"/>
      <c r="J401" s="98"/>
      <c r="K401" s="99"/>
      <c r="L401" s="99"/>
      <c r="M401" s="102"/>
      <c r="N401" s="102"/>
      <c r="O401" s="98"/>
      <c r="P401" s="98"/>
      <c r="Q401" s="98"/>
    </row>
    <row r="402">
      <c r="A402" s="96" t="s">
        <v>1742</v>
      </c>
      <c r="B402" s="97" t="s">
        <v>1743</v>
      </c>
      <c r="C402" s="97" t="s">
        <v>1744</v>
      </c>
      <c r="D402" s="97" t="s">
        <v>1127</v>
      </c>
      <c r="E402" s="97" t="s">
        <v>895</v>
      </c>
      <c r="F402" s="97" t="b">
        <v>0</v>
      </c>
      <c r="G402" s="97" t="b">
        <v>0</v>
      </c>
      <c r="H402" s="98"/>
      <c r="I402" s="98"/>
      <c r="J402" s="98"/>
      <c r="K402" s="99"/>
      <c r="L402" s="99"/>
      <c r="M402" s="102"/>
      <c r="N402" s="102"/>
      <c r="O402" s="98"/>
      <c r="P402" s="98"/>
      <c r="Q402" s="98"/>
    </row>
    <row r="403">
      <c r="A403" s="96" t="s">
        <v>1745</v>
      </c>
      <c r="B403" s="97" t="s">
        <v>1746</v>
      </c>
      <c r="C403" s="97" t="s">
        <v>1747</v>
      </c>
      <c r="D403" s="97" t="s">
        <v>1699</v>
      </c>
      <c r="E403" s="97" t="s">
        <v>777</v>
      </c>
      <c r="F403" s="97" t="b">
        <v>0</v>
      </c>
      <c r="G403" s="97" t="b">
        <v>0</v>
      </c>
      <c r="H403" s="98"/>
      <c r="I403" s="98"/>
      <c r="J403" s="98"/>
      <c r="K403" s="99"/>
      <c r="L403" s="99"/>
      <c r="M403" s="102"/>
      <c r="N403" s="102"/>
      <c r="O403" s="98"/>
      <c r="P403" s="98"/>
      <c r="Q403" s="98"/>
    </row>
    <row r="404">
      <c r="A404" s="96" t="s">
        <v>335</v>
      </c>
      <c r="B404" s="97" t="s">
        <v>1748</v>
      </c>
      <c r="C404" s="97" t="s">
        <v>1749</v>
      </c>
      <c r="D404" s="97" t="s">
        <v>629</v>
      </c>
      <c r="E404" s="97" t="s">
        <v>767</v>
      </c>
      <c r="F404" s="97" t="b">
        <v>1</v>
      </c>
      <c r="G404" s="97" t="b">
        <v>1</v>
      </c>
      <c r="H404" s="98">
        <f>IF(A404:A2055="", "", COUNTIF(Check!H:H, A403:A2055))</f>
        <v>1</v>
      </c>
      <c r="I404" s="98"/>
      <c r="J404" s="98"/>
      <c r="K404" s="99"/>
      <c r="L404" s="99"/>
      <c r="M404" s="102"/>
      <c r="N404" s="102"/>
      <c r="O404" s="98"/>
      <c r="P404" s="98"/>
      <c r="Q404" s="98"/>
    </row>
    <row r="405">
      <c r="A405" s="96" t="s">
        <v>538</v>
      </c>
      <c r="B405" s="97" t="s">
        <v>1750</v>
      </c>
      <c r="C405" s="97" t="s">
        <v>1751</v>
      </c>
      <c r="D405" s="97" t="s">
        <v>1099</v>
      </c>
      <c r="E405" s="97" t="s">
        <v>607</v>
      </c>
      <c r="F405" s="97" t="b">
        <v>1</v>
      </c>
      <c r="G405" s="97" t="b">
        <v>1</v>
      </c>
      <c r="H405" s="98">
        <f>IF(A405:A2055="", "", COUNTIF(Check!H:H, A404:A2055))</f>
        <v>1</v>
      </c>
      <c r="I405" s="98"/>
      <c r="J405" s="98"/>
      <c r="K405" s="99"/>
      <c r="L405" s="99"/>
      <c r="M405" s="108"/>
      <c r="N405" s="109"/>
      <c r="O405" s="98"/>
      <c r="P405" s="98"/>
      <c r="Q405" s="98"/>
    </row>
    <row r="406">
      <c r="A406" s="96" t="s">
        <v>128</v>
      </c>
      <c r="B406" s="97" t="s">
        <v>1752</v>
      </c>
      <c r="C406" s="97" t="s">
        <v>1753</v>
      </c>
      <c r="D406" s="97" t="s">
        <v>854</v>
      </c>
      <c r="E406" s="97" t="s">
        <v>586</v>
      </c>
      <c r="F406" s="97" t="b">
        <v>1</v>
      </c>
      <c r="G406" s="97" t="b">
        <v>1</v>
      </c>
      <c r="H406" s="98">
        <f>IF(A406:A2055="", "", COUNTIF(Check!H:H, A405:A2055))</f>
        <v>1</v>
      </c>
      <c r="I406" s="98"/>
      <c r="J406" s="98"/>
      <c r="K406" s="99"/>
      <c r="L406" s="99"/>
      <c r="M406" s="102"/>
      <c r="N406" s="102"/>
      <c r="O406" s="98"/>
      <c r="P406" s="98"/>
      <c r="Q406" s="98"/>
    </row>
    <row r="407">
      <c r="A407" s="96" t="s">
        <v>219</v>
      </c>
      <c r="B407" s="97" t="s">
        <v>1754</v>
      </c>
      <c r="C407" s="97" t="s">
        <v>1755</v>
      </c>
      <c r="D407" s="97" t="s">
        <v>1099</v>
      </c>
      <c r="E407" s="97" t="s">
        <v>895</v>
      </c>
      <c r="F407" s="97" t="b">
        <v>1</v>
      </c>
      <c r="G407" s="97" t="b">
        <v>1</v>
      </c>
      <c r="H407" s="98">
        <f>IF(A407:A2055="", "", COUNTIF(Check!H:H, A406:A2055))</f>
        <v>1</v>
      </c>
      <c r="I407" s="98"/>
      <c r="J407" s="98"/>
      <c r="K407" s="99"/>
      <c r="L407" s="99"/>
      <c r="M407" s="102"/>
      <c r="N407" s="102"/>
      <c r="O407" s="98"/>
      <c r="P407" s="98"/>
      <c r="Q407" s="98"/>
    </row>
    <row r="408">
      <c r="A408" s="96" t="s">
        <v>219</v>
      </c>
      <c r="B408" s="97" t="s">
        <v>1754</v>
      </c>
      <c r="C408" s="97" t="s">
        <v>1755</v>
      </c>
      <c r="D408" s="97" t="s">
        <v>1099</v>
      </c>
      <c r="E408" s="97" t="s">
        <v>895</v>
      </c>
      <c r="F408" s="97" t="b">
        <v>0</v>
      </c>
      <c r="G408" s="97" t="b">
        <v>0</v>
      </c>
      <c r="H408" s="98"/>
      <c r="I408" s="98"/>
      <c r="J408" s="98"/>
      <c r="K408" s="99"/>
      <c r="L408" s="99"/>
      <c r="M408" s="102"/>
      <c r="N408" s="102"/>
      <c r="O408" s="98"/>
      <c r="P408" s="98"/>
      <c r="Q408" s="98"/>
    </row>
    <row r="409">
      <c r="A409" s="96" t="s">
        <v>1756</v>
      </c>
      <c r="B409" s="97" t="s">
        <v>1757</v>
      </c>
      <c r="C409" s="97" t="s">
        <v>1758</v>
      </c>
      <c r="D409" s="97" t="s">
        <v>1699</v>
      </c>
      <c r="E409" s="97" t="s">
        <v>582</v>
      </c>
      <c r="F409" s="97" t="b">
        <v>0</v>
      </c>
      <c r="G409" s="97" t="b">
        <v>0</v>
      </c>
      <c r="H409" s="98"/>
      <c r="I409" s="98"/>
      <c r="J409" s="98"/>
      <c r="K409" s="99"/>
      <c r="L409" s="99"/>
      <c r="M409" s="100"/>
      <c r="N409" s="101"/>
      <c r="O409" s="98"/>
      <c r="P409" s="98"/>
      <c r="Q409" s="98"/>
    </row>
    <row r="410">
      <c r="A410" s="96" t="s">
        <v>351</v>
      </c>
      <c r="B410" s="97" t="s">
        <v>1759</v>
      </c>
      <c r="C410" s="97" t="s">
        <v>1760</v>
      </c>
      <c r="D410" s="97" t="s">
        <v>1237</v>
      </c>
      <c r="E410" s="97" t="s">
        <v>582</v>
      </c>
      <c r="F410" s="97" t="b">
        <v>1</v>
      </c>
      <c r="G410" s="97" t="b">
        <v>1</v>
      </c>
      <c r="H410" s="98">
        <f>IF(A410:A2055="", "", COUNTIF(Check!H:H, A409:A2055))</f>
        <v>1</v>
      </c>
      <c r="I410" s="98"/>
      <c r="J410" s="98"/>
      <c r="K410" s="99"/>
      <c r="L410" s="99"/>
      <c r="M410" s="103"/>
      <c r="N410" s="104"/>
      <c r="O410" s="106" t="s">
        <v>1761</v>
      </c>
      <c r="P410" s="106" t="str">
        <f>COUNTIF($E$2:$E$1091, "*"&amp;N2)</f>
        <v>#ERROR!</v>
      </c>
      <c r="Q410" s="98"/>
    </row>
    <row r="411">
      <c r="A411" s="96" t="s">
        <v>485</v>
      </c>
      <c r="B411" s="97" t="s">
        <v>1762</v>
      </c>
      <c r="C411" s="97" t="s">
        <v>1763</v>
      </c>
      <c r="D411" s="97" t="s">
        <v>698</v>
      </c>
      <c r="E411" s="97" t="s">
        <v>921</v>
      </c>
      <c r="F411" s="97" t="b">
        <v>1</v>
      </c>
      <c r="G411" s="97" t="b">
        <v>1</v>
      </c>
      <c r="H411" s="98">
        <f>IF(A411:A2055="", "", COUNTIF(Check!H:H, A410:A2055))</f>
        <v>1</v>
      </c>
      <c r="I411" s="98"/>
      <c r="J411" s="98"/>
      <c r="K411" s="99"/>
      <c r="L411" s="99"/>
      <c r="M411" s="102"/>
      <c r="N411" s="102"/>
      <c r="O411" s="98"/>
      <c r="P411" s="98"/>
      <c r="Q411" s="98"/>
    </row>
    <row r="412">
      <c r="A412" s="96" t="s">
        <v>1764</v>
      </c>
      <c r="B412" s="97" t="s">
        <v>1765</v>
      </c>
      <c r="C412" s="97" t="s">
        <v>1766</v>
      </c>
      <c r="D412" s="97" t="s">
        <v>894</v>
      </c>
      <c r="E412" s="97" t="s">
        <v>752</v>
      </c>
      <c r="F412" s="97" t="b">
        <v>0</v>
      </c>
      <c r="G412" s="97" t="b">
        <v>0</v>
      </c>
      <c r="H412" s="98"/>
      <c r="I412" s="98"/>
      <c r="J412" s="98"/>
      <c r="K412" s="99"/>
      <c r="L412" s="99"/>
      <c r="M412" s="102"/>
      <c r="N412" s="102"/>
      <c r="O412" s="98"/>
      <c r="P412" s="98"/>
      <c r="Q412" s="98"/>
    </row>
    <row r="413">
      <c r="A413" s="96" t="s">
        <v>1767</v>
      </c>
      <c r="B413" s="97" t="s">
        <v>1768</v>
      </c>
      <c r="C413" s="97" t="s">
        <v>1769</v>
      </c>
      <c r="D413" s="97" t="s">
        <v>674</v>
      </c>
      <c r="E413" s="97" t="s">
        <v>1146</v>
      </c>
      <c r="F413" s="97" t="b">
        <v>0</v>
      </c>
      <c r="G413" s="97" t="b">
        <v>0</v>
      </c>
      <c r="H413" s="98"/>
      <c r="I413" s="98"/>
      <c r="J413" s="98"/>
      <c r="K413" s="99"/>
      <c r="L413" s="99"/>
      <c r="M413" s="102"/>
      <c r="N413" s="102"/>
      <c r="O413" s="98"/>
      <c r="P413" s="98"/>
      <c r="Q413" s="98"/>
    </row>
    <row r="414">
      <c r="A414" s="96" t="s">
        <v>1770</v>
      </c>
      <c r="B414" s="97" t="s">
        <v>1771</v>
      </c>
      <c r="C414" s="97" t="s">
        <v>1772</v>
      </c>
      <c r="D414" s="97" t="s">
        <v>1417</v>
      </c>
      <c r="E414" s="97" t="s">
        <v>1496</v>
      </c>
      <c r="F414" s="97" t="b">
        <v>0</v>
      </c>
      <c r="G414" s="97" t="b">
        <v>0</v>
      </c>
      <c r="H414" s="98"/>
      <c r="I414" s="98"/>
      <c r="J414" s="98"/>
      <c r="K414" s="99"/>
      <c r="L414" s="99"/>
      <c r="M414" s="102"/>
      <c r="N414" s="102"/>
      <c r="O414" s="98"/>
      <c r="P414" s="98"/>
      <c r="Q414" s="98"/>
    </row>
    <row r="415">
      <c r="A415" s="96" t="s">
        <v>1773</v>
      </c>
      <c r="B415" s="97" t="s">
        <v>1774</v>
      </c>
      <c r="C415" s="97" t="s">
        <v>1775</v>
      </c>
      <c r="D415" s="97" t="s">
        <v>955</v>
      </c>
      <c r="E415" s="97" t="s">
        <v>1076</v>
      </c>
      <c r="F415" s="97" t="b">
        <v>0</v>
      </c>
      <c r="G415" s="97" t="b">
        <v>0</v>
      </c>
      <c r="H415" s="98"/>
      <c r="I415" s="98"/>
      <c r="J415" s="98"/>
      <c r="K415" s="99"/>
      <c r="L415" s="99"/>
      <c r="M415" s="102"/>
      <c r="N415" s="102"/>
      <c r="O415" s="98"/>
      <c r="P415" s="98"/>
      <c r="Q415" s="98"/>
    </row>
    <row r="416">
      <c r="A416" s="96" t="s">
        <v>116</v>
      </c>
      <c r="B416" s="97" t="s">
        <v>1776</v>
      </c>
      <c r="C416" s="97" t="s">
        <v>1777</v>
      </c>
      <c r="D416" s="97" t="s">
        <v>985</v>
      </c>
      <c r="E416" s="97" t="s">
        <v>607</v>
      </c>
      <c r="F416" s="97" t="b">
        <v>1</v>
      </c>
      <c r="G416" s="97" t="b">
        <v>1</v>
      </c>
      <c r="H416" s="98">
        <f>IF(A416:A2055="", "", COUNTIF(Check!H:H, A415:A2055))</f>
        <v>1</v>
      </c>
      <c r="I416" s="98"/>
      <c r="J416" s="98"/>
      <c r="K416" s="99"/>
      <c r="L416" s="99"/>
      <c r="M416" s="102"/>
      <c r="N416" s="102"/>
      <c r="O416" s="98"/>
      <c r="P416" s="98"/>
      <c r="Q416" s="98"/>
    </row>
    <row r="417">
      <c r="A417" s="96" t="s">
        <v>1778</v>
      </c>
      <c r="B417" s="97" t="s">
        <v>1779</v>
      </c>
      <c r="C417" s="97" t="s">
        <v>1780</v>
      </c>
      <c r="D417" s="97" t="s">
        <v>684</v>
      </c>
      <c r="E417" s="97" t="s">
        <v>685</v>
      </c>
      <c r="F417" s="97" t="b">
        <v>0</v>
      </c>
      <c r="G417" s="97" t="b">
        <v>0</v>
      </c>
      <c r="H417" s="98"/>
      <c r="I417" s="98"/>
      <c r="J417" s="98"/>
      <c r="K417" s="108"/>
      <c r="L417" s="109"/>
      <c r="M417" s="102"/>
      <c r="N417" s="102"/>
      <c r="O417" s="98"/>
      <c r="P417" s="98"/>
      <c r="Q417" s="98"/>
    </row>
    <row r="418">
      <c r="A418" s="96" t="s">
        <v>1778</v>
      </c>
      <c r="B418" s="97" t="s">
        <v>1779</v>
      </c>
      <c r="C418" s="97" t="s">
        <v>1780</v>
      </c>
      <c r="D418" s="97" t="s">
        <v>684</v>
      </c>
      <c r="E418" s="97" t="s">
        <v>685</v>
      </c>
      <c r="F418" s="97" t="b">
        <v>0</v>
      </c>
      <c r="G418" s="97" t="b">
        <v>0</v>
      </c>
      <c r="H418" s="98"/>
      <c r="I418" s="98"/>
      <c r="J418" s="98"/>
      <c r="K418" s="108"/>
      <c r="L418" s="109"/>
      <c r="M418" s="102"/>
      <c r="N418" s="102"/>
      <c r="O418" s="98"/>
      <c r="P418" s="98"/>
      <c r="Q418" s="98"/>
    </row>
    <row r="419">
      <c r="A419" s="96" t="s">
        <v>1781</v>
      </c>
      <c r="B419" s="97" t="s">
        <v>1782</v>
      </c>
      <c r="C419" s="97" t="s">
        <v>1783</v>
      </c>
      <c r="D419" s="97" t="s">
        <v>732</v>
      </c>
      <c r="E419" s="97" t="s">
        <v>607</v>
      </c>
      <c r="F419" s="97" t="b">
        <v>0</v>
      </c>
      <c r="G419" s="97" t="b">
        <v>0</v>
      </c>
      <c r="H419" s="98"/>
      <c r="I419" s="98"/>
      <c r="J419" s="98"/>
      <c r="K419" s="99"/>
      <c r="L419" s="99"/>
      <c r="M419" s="100"/>
      <c r="N419" s="101"/>
      <c r="O419" s="98"/>
      <c r="P419" s="98"/>
      <c r="Q419" s="98"/>
    </row>
    <row r="420">
      <c r="A420" s="96" t="s">
        <v>1781</v>
      </c>
      <c r="B420" s="97" t="s">
        <v>1782</v>
      </c>
      <c r="C420" s="97" t="s">
        <v>1783</v>
      </c>
      <c r="D420" s="97" t="s">
        <v>732</v>
      </c>
      <c r="E420" s="97" t="s">
        <v>607</v>
      </c>
      <c r="F420" s="97" t="b">
        <v>0</v>
      </c>
      <c r="G420" s="97" t="b">
        <v>0</v>
      </c>
      <c r="H420" s="98"/>
      <c r="I420" s="98"/>
      <c r="J420" s="98"/>
      <c r="K420" s="99"/>
      <c r="L420" s="99"/>
      <c r="M420" s="100"/>
      <c r="N420" s="101"/>
      <c r="O420" s="98"/>
      <c r="P420" s="98"/>
      <c r="Q420" s="98"/>
    </row>
    <row r="421">
      <c r="A421" s="96" t="s">
        <v>232</v>
      </c>
      <c r="B421" s="97" t="s">
        <v>1784</v>
      </c>
      <c r="C421" s="97" t="s">
        <v>1785</v>
      </c>
      <c r="D421" s="97" t="s">
        <v>684</v>
      </c>
      <c r="E421" s="97" t="s">
        <v>761</v>
      </c>
      <c r="F421" s="97" t="b">
        <v>1</v>
      </c>
      <c r="G421" s="97" t="b">
        <v>1</v>
      </c>
      <c r="H421" s="98">
        <f>IF(A421:A2055="", "", COUNTIF(Check!H:H, A420:A2055))</f>
        <v>1</v>
      </c>
      <c r="I421" s="98"/>
      <c r="J421" s="98"/>
      <c r="K421" s="99"/>
      <c r="L421" s="99"/>
      <c r="M421" s="102"/>
      <c r="N421" s="102"/>
      <c r="O421" s="98"/>
      <c r="P421" s="98"/>
      <c r="Q421" s="98"/>
    </row>
    <row r="422">
      <c r="A422" s="96" t="s">
        <v>1786</v>
      </c>
      <c r="B422" s="97" t="s">
        <v>1787</v>
      </c>
      <c r="C422" s="97" t="s">
        <v>1788</v>
      </c>
      <c r="D422" s="97" t="s">
        <v>643</v>
      </c>
      <c r="E422" s="97" t="s">
        <v>761</v>
      </c>
      <c r="F422" s="97" t="b">
        <v>0</v>
      </c>
      <c r="G422" s="97" t="b">
        <v>0</v>
      </c>
      <c r="H422" s="98"/>
      <c r="I422" s="98"/>
      <c r="J422" s="98"/>
      <c r="K422" s="100"/>
      <c r="L422" s="101"/>
      <c r="M422" s="100"/>
      <c r="N422" s="101"/>
      <c r="O422" s="98"/>
      <c r="P422" s="98"/>
      <c r="Q422" s="98"/>
    </row>
    <row r="423">
      <c r="A423" s="96" t="s">
        <v>1789</v>
      </c>
      <c r="B423" s="97" t="s">
        <v>1790</v>
      </c>
      <c r="C423" s="97" t="s">
        <v>1791</v>
      </c>
      <c r="D423" s="97" t="s">
        <v>784</v>
      </c>
      <c r="E423" s="97" t="s">
        <v>932</v>
      </c>
      <c r="F423" s="97" t="b">
        <v>0</v>
      </c>
      <c r="G423" s="97" t="b">
        <v>0</v>
      </c>
      <c r="H423" s="98"/>
      <c r="I423" s="98"/>
      <c r="J423" s="98"/>
      <c r="K423" s="99"/>
      <c r="L423" s="99"/>
      <c r="M423" s="102"/>
      <c r="N423" s="102"/>
      <c r="O423" s="98"/>
      <c r="P423" s="98"/>
      <c r="Q423" s="98"/>
    </row>
    <row r="424">
      <c r="A424" s="96" t="s">
        <v>1792</v>
      </c>
      <c r="B424" s="97" t="s">
        <v>1793</v>
      </c>
      <c r="C424" s="97" t="s">
        <v>1794</v>
      </c>
      <c r="D424" s="97" t="s">
        <v>764</v>
      </c>
      <c r="E424" s="97" t="s">
        <v>688</v>
      </c>
      <c r="F424" s="97" t="b">
        <v>0</v>
      </c>
      <c r="G424" s="97" t="b">
        <v>0</v>
      </c>
      <c r="H424" s="98"/>
      <c r="I424" s="98"/>
      <c r="J424" s="98"/>
      <c r="K424" s="99"/>
      <c r="L424" s="99"/>
      <c r="M424" s="102"/>
      <c r="N424" s="102"/>
      <c r="O424" s="98"/>
      <c r="P424" s="98"/>
      <c r="Q424" s="98"/>
    </row>
    <row r="425">
      <c r="A425" s="96" t="s">
        <v>554</v>
      </c>
      <c r="B425" s="97" t="s">
        <v>1795</v>
      </c>
      <c r="C425" s="97" t="s">
        <v>1796</v>
      </c>
      <c r="D425" s="97" t="s">
        <v>878</v>
      </c>
      <c r="E425" s="97" t="s">
        <v>697</v>
      </c>
      <c r="F425" s="97" t="b">
        <v>1</v>
      </c>
      <c r="G425" s="97" t="b">
        <v>1</v>
      </c>
      <c r="H425" s="98">
        <f>IF(A425:A2055="", "", COUNTIF(Check!H:H, A424:A2055))</f>
        <v>1</v>
      </c>
      <c r="I425" s="98"/>
      <c r="J425" s="98"/>
      <c r="K425" s="100" t="s">
        <v>1615</v>
      </c>
      <c r="L425" s="107">
        <f>COUNTIFS($D$2:$D$1039, K425, $F$2:$F$1039, TRUE)</f>
        <v>5</v>
      </c>
      <c r="M425" s="100" t="s">
        <v>767</v>
      </c>
      <c r="N425" s="101">
        <f>COUNTIFS($E$2:$E$1039, M425, $F$2:$F$1039, TRUE)</f>
        <v>19</v>
      </c>
      <c r="O425" s="98"/>
      <c r="P425" s="98"/>
      <c r="Q425" s="98"/>
    </row>
    <row r="426">
      <c r="A426" s="96" t="s">
        <v>1797</v>
      </c>
      <c r="B426" s="97" t="s">
        <v>1798</v>
      </c>
      <c r="C426" s="97" t="s">
        <v>1799</v>
      </c>
      <c r="D426" s="97" t="s">
        <v>826</v>
      </c>
      <c r="E426" s="97" t="s">
        <v>1552</v>
      </c>
      <c r="F426" s="97" t="b">
        <v>0</v>
      </c>
      <c r="G426" s="97" t="b">
        <v>0</v>
      </c>
      <c r="H426" s="98"/>
      <c r="I426" s="98"/>
      <c r="J426" s="98"/>
      <c r="K426" s="99"/>
      <c r="L426" s="99"/>
      <c r="M426" s="102"/>
      <c r="N426" s="102"/>
      <c r="O426" s="98"/>
      <c r="P426" s="98"/>
      <c r="Q426" s="98"/>
    </row>
    <row r="427">
      <c r="A427" s="96" t="s">
        <v>274</v>
      </c>
      <c r="B427" s="97" t="s">
        <v>1800</v>
      </c>
      <c r="C427" s="97" t="s">
        <v>1801</v>
      </c>
      <c r="D427" s="97" t="s">
        <v>1127</v>
      </c>
      <c r="E427" s="97" t="s">
        <v>590</v>
      </c>
      <c r="F427" s="97" t="b">
        <v>1</v>
      </c>
      <c r="G427" s="97" t="b">
        <v>1</v>
      </c>
      <c r="H427" s="98">
        <f>IF(A427:A2055="", "", COUNTIF(Check!H:H, A426:A2055))</f>
        <v>1</v>
      </c>
      <c r="I427" s="98"/>
      <c r="J427" s="98"/>
      <c r="K427" s="99"/>
      <c r="L427" s="99"/>
      <c r="M427" s="102"/>
      <c r="N427" s="102"/>
      <c r="O427" s="98"/>
      <c r="P427" s="98"/>
      <c r="Q427" s="98"/>
    </row>
    <row r="428">
      <c r="A428" s="96" t="s">
        <v>247</v>
      </c>
      <c r="B428" s="97" t="s">
        <v>1802</v>
      </c>
      <c r="C428" s="97" t="s">
        <v>1803</v>
      </c>
      <c r="D428" s="97" t="s">
        <v>667</v>
      </c>
      <c r="E428" s="97" t="s">
        <v>699</v>
      </c>
      <c r="F428" s="97" t="b">
        <v>1</v>
      </c>
      <c r="G428" s="97" t="b">
        <v>1</v>
      </c>
      <c r="H428" s="98">
        <f>IF(A428:A2055="", "", COUNTIF(Check!H:H, A427:A2055))</f>
        <v>1</v>
      </c>
      <c r="I428" s="98"/>
      <c r="J428" s="98"/>
      <c r="K428" s="99"/>
      <c r="L428" s="99"/>
      <c r="M428" s="102"/>
      <c r="N428" s="102"/>
      <c r="O428" s="98"/>
      <c r="P428" s="98"/>
      <c r="Q428" s="98"/>
    </row>
    <row r="429">
      <c r="A429" s="96" t="s">
        <v>416</v>
      </c>
      <c r="B429" s="97" t="s">
        <v>1804</v>
      </c>
      <c r="C429" s="97" t="s">
        <v>1805</v>
      </c>
      <c r="D429" s="97" t="s">
        <v>717</v>
      </c>
      <c r="E429" s="97" t="s">
        <v>586</v>
      </c>
      <c r="F429" s="97" t="b">
        <v>1</v>
      </c>
      <c r="G429" s="97" t="b">
        <v>1</v>
      </c>
      <c r="H429" s="98">
        <f>IF(A429:A2055="", "", COUNTIF(Check!H:H, A428:A2055))</f>
        <v>1</v>
      </c>
      <c r="I429" s="98"/>
      <c r="J429" s="98"/>
      <c r="K429" s="99"/>
      <c r="L429" s="99"/>
      <c r="M429" s="102"/>
      <c r="N429" s="102"/>
      <c r="O429" s="98"/>
      <c r="P429" s="98"/>
      <c r="Q429" s="98"/>
    </row>
    <row r="430">
      <c r="A430" s="96" t="s">
        <v>1806</v>
      </c>
      <c r="B430" s="97" t="s">
        <v>1807</v>
      </c>
      <c r="C430" s="97" t="s">
        <v>1808</v>
      </c>
      <c r="D430" s="97" t="s">
        <v>792</v>
      </c>
      <c r="E430" s="97" t="s">
        <v>685</v>
      </c>
      <c r="F430" s="97" t="b">
        <v>0</v>
      </c>
      <c r="G430" s="97" t="b">
        <v>0</v>
      </c>
      <c r="H430" s="98"/>
      <c r="I430" s="98"/>
      <c r="J430" s="98"/>
      <c r="K430" s="99"/>
      <c r="L430" s="99"/>
      <c r="M430" s="100"/>
      <c r="N430" s="101"/>
      <c r="O430" s="98"/>
      <c r="P430" s="98"/>
      <c r="Q430" s="98"/>
    </row>
    <row r="431">
      <c r="A431" s="96" t="s">
        <v>1809</v>
      </c>
      <c r="B431" s="97" t="s">
        <v>1810</v>
      </c>
      <c r="C431" s="97" t="s">
        <v>1811</v>
      </c>
      <c r="D431" s="97" t="s">
        <v>662</v>
      </c>
      <c r="E431" s="97" t="s">
        <v>722</v>
      </c>
      <c r="F431" s="97" t="b">
        <v>0</v>
      </c>
      <c r="G431" s="97" t="b">
        <v>0</v>
      </c>
      <c r="H431" s="98"/>
      <c r="I431" s="98"/>
      <c r="J431" s="98"/>
      <c r="K431" s="102"/>
      <c r="L431" s="102"/>
      <c r="M431" s="100"/>
      <c r="N431" s="101"/>
      <c r="O431" s="98"/>
      <c r="P431" s="98"/>
      <c r="Q431" s="98"/>
    </row>
    <row r="432">
      <c r="A432" s="96" t="s">
        <v>290</v>
      </c>
      <c r="B432" s="97" t="s">
        <v>1812</v>
      </c>
      <c r="C432" s="97" t="s">
        <v>1813</v>
      </c>
      <c r="D432" s="97" t="s">
        <v>760</v>
      </c>
      <c r="E432" s="97" t="s">
        <v>586</v>
      </c>
      <c r="F432" s="97" t="b">
        <v>1</v>
      </c>
      <c r="G432" s="97" t="b">
        <v>1</v>
      </c>
      <c r="H432" s="98">
        <f>IF(A432:A2055="", "", COUNTIF(Check!H:H, A431:A2055))</f>
        <v>1</v>
      </c>
      <c r="I432" s="98"/>
      <c r="J432" s="98"/>
      <c r="K432" s="99"/>
      <c r="L432" s="99"/>
      <c r="M432" s="102"/>
      <c r="N432" s="102"/>
      <c r="O432" s="98"/>
      <c r="P432" s="98"/>
      <c r="Q432" s="106"/>
    </row>
    <row r="433">
      <c r="A433" s="96" t="s">
        <v>1814</v>
      </c>
      <c r="B433" s="97" t="s">
        <v>1815</v>
      </c>
      <c r="C433" s="97" t="s">
        <v>1816</v>
      </c>
      <c r="D433" s="97" t="s">
        <v>1017</v>
      </c>
      <c r="E433" s="97" t="s">
        <v>830</v>
      </c>
      <c r="F433" s="97" t="b">
        <v>0</v>
      </c>
      <c r="G433" s="97" t="b">
        <v>0</v>
      </c>
      <c r="H433" s="98"/>
      <c r="I433" s="98"/>
      <c r="J433" s="98"/>
      <c r="K433" s="100"/>
      <c r="L433" s="101"/>
      <c r="M433" s="102"/>
      <c r="N433" s="102"/>
      <c r="O433" s="98"/>
      <c r="P433" s="98"/>
      <c r="Q433" s="106"/>
    </row>
    <row r="434">
      <c r="A434" s="96" t="s">
        <v>230</v>
      </c>
      <c r="B434" s="97" t="s">
        <v>1817</v>
      </c>
      <c r="C434" s="97" t="s">
        <v>1818</v>
      </c>
      <c r="D434" s="97" t="s">
        <v>760</v>
      </c>
      <c r="E434" s="97" t="s">
        <v>761</v>
      </c>
      <c r="F434" s="97" t="b">
        <v>1</v>
      </c>
      <c r="G434" s="97" t="b">
        <v>1</v>
      </c>
      <c r="H434" s="98">
        <f>IF(A434:A2055="", "", COUNTIF(Check!H:H, A433:A2055))</f>
        <v>1</v>
      </c>
      <c r="I434" s="98"/>
      <c r="J434" s="98"/>
      <c r="K434" s="100"/>
      <c r="L434" s="107"/>
      <c r="M434" s="102"/>
      <c r="N434" s="102"/>
      <c r="O434" s="98"/>
      <c r="P434" s="98"/>
      <c r="Q434" s="106"/>
    </row>
    <row r="435">
      <c r="A435" s="96" t="s">
        <v>1819</v>
      </c>
      <c r="B435" s="97" t="s">
        <v>1820</v>
      </c>
      <c r="C435" s="97" t="s">
        <v>1821</v>
      </c>
      <c r="D435" s="97" t="s">
        <v>1495</v>
      </c>
      <c r="E435" s="97" t="s">
        <v>1150</v>
      </c>
      <c r="F435" s="97" t="b">
        <v>0</v>
      </c>
      <c r="G435" s="97" t="b">
        <v>0</v>
      </c>
      <c r="H435" s="98"/>
      <c r="I435" s="98"/>
      <c r="J435" s="98"/>
      <c r="K435" s="108"/>
      <c r="L435" s="110"/>
      <c r="M435" s="102"/>
      <c r="N435" s="102"/>
      <c r="O435" s="98"/>
      <c r="P435" s="98"/>
      <c r="Q435" s="98"/>
    </row>
    <row r="436">
      <c r="A436" s="96" t="s">
        <v>1822</v>
      </c>
      <c r="B436" s="97" t="s">
        <v>1823</v>
      </c>
      <c r="C436" s="97" t="s">
        <v>1824</v>
      </c>
      <c r="D436" s="97" t="s">
        <v>667</v>
      </c>
      <c r="E436" s="97" t="s">
        <v>1234</v>
      </c>
      <c r="F436" s="97" t="b">
        <v>0</v>
      </c>
      <c r="G436" s="97" t="b">
        <v>0</v>
      </c>
      <c r="H436" s="98"/>
      <c r="I436" s="98"/>
      <c r="J436" s="98"/>
      <c r="K436" s="99"/>
      <c r="L436" s="99"/>
      <c r="M436" s="102"/>
      <c r="N436" s="102"/>
      <c r="O436" s="98"/>
      <c r="P436" s="98"/>
      <c r="Q436" s="98"/>
    </row>
    <row r="437">
      <c r="A437" s="96" t="s">
        <v>1825</v>
      </c>
      <c r="B437" s="97" t="s">
        <v>1826</v>
      </c>
      <c r="C437" s="97" t="s">
        <v>1827</v>
      </c>
      <c r="D437" s="97" t="s">
        <v>726</v>
      </c>
      <c r="E437" s="97" t="s">
        <v>830</v>
      </c>
      <c r="F437" s="97" t="b">
        <v>0</v>
      </c>
      <c r="G437" s="97" t="b">
        <v>0</v>
      </c>
      <c r="H437" s="98"/>
      <c r="I437" s="98"/>
      <c r="J437" s="98"/>
      <c r="K437" s="108"/>
      <c r="L437" s="109"/>
      <c r="M437" s="108"/>
      <c r="N437" s="109"/>
      <c r="O437" s="98"/>
      <c r="P437" s="98"/>
      <c r="Q437" s="98"/>
    </row>
    <row r="438">
      <c r="A438" s="96" t="s">
        <v>21</v>
      </c>
      <c r="B438" s="97" t="s">
        <v>1828</v>
      </c>
      <c r="C438" s="97" t="s">
        <v>1829</v>
      </c>
      <c r="D438" s="97" t="s">
        <v>801</v>
      </c>
      <c r="E438" s="97" t="s">
        <v>616</v>
      </c>
      <c r="F438" s="97" t="b">
        <v>1</v>
      </c>
      <c r="G438" s="97" t="b">
        <v>1</v>
      </c>
      <c r="H438" s="98">
        <f>IF(A438:A2055="", "", COUNTIF(Check!H:H, A437:A2055))</f>
        <v>1</v>
      </c>
      <c r="I438" s="114"/>
      <c r="J438" s="114"/>
      <c r="K438" s="99"/>
      <c r="L438" s="99"/>
      <c r="M438" s="100"/>
      <c r="N438" s="101"/>
      <c r="O438" s="98"/>
      <c r="P438" s="98"/>
      <c r="Q438" s="98"/>
    </row>
    <row r="439">
      <c r="A439" s="96" t="s">
        <v>1830</v>
      </c>
      <c r="B439" s="97" t="s">
        <v>606</v>
      </c>
      <c r="C439" s="97" t="s">
        <v>1831</v>
      </c>
      <c r="D439" s="97" t="s">
        <v>781</v>
      </c>
      <c r="E439" s="97" t="s">
        <v>711</v>
      </c>
      <c r="F439" s="97" t="b">
        <v>0</v>
      </c>
      <c r="G439" s="97" t="b">
        <v>0</v>
      </c>
      <c r="H439" s="98"/>
      <c r="I439" s="98"/>
      <c r="J439" s="98"/>
      <c r="K439" s="99"/>
      <c r="L439" s="99"/>
      <c r="M439" s="100"/>
      <c r="N439" s="101"/>
      <c r="O439" s="98"/>
      <c r="P439" s="98"/>
      <c r="Q439" s="98"/>
    </row>
    <row r="440">
      <c r="A440" s="96" t="s">
        <v>100</v>
      </c>
      <c r="B440" s="97" t="s">
        <v>1832</v>
      </c>
      <c r="C440" s="97" t="s">
        <v>1833</v>
      </c>
      <c r="D440" s="97" t="s">
        <v>684</v>
      </c>
      <c r="E440" s="97" t="s">
        <v>711</v>
      </c>
      <c r="F440" s="97" t="b">
        <v>1</v>
      </c>
      <c r="G440" s="97" t="b">
        <v>1</v>
      </c>
      <c r="H440" s="98">
        <f>IF(A440:A2055="", "", COUNTIF(Check!H:H, A439:A2055))</f>
        <v>1</v>
      </c>
      <c r="I440" s="98"/>
      <c r="J440" s="98"/>
      <c r="K440" s="99"/>
      <c r="L440" s="99"/>
      <c r="M440" s="102"/>
      <c r="N440" s="102"/>
      <c r="O440" s="98"/>
      <c r="P440" s="98"/>
      <c r="Q440" s="98"/>
    </row>
    <row r="441">
      <c r="A441" s="96" t="s">
        <v>1834</v>
      </c>
      <c r="B441" s="97" t="s">
        <v>1832</v>
      </c>
      <c r="C441" s="97" t="s">
        <v>1835</v>
      </c>
      <c r="D441" s="97" t="s">
        <v>939</v>
      </c>
      <c r="E441" s="97" t="s">
        <v>727</v>
      </c>
      <c r="F441" s="97" t="b">
        <v>0</v>
      </c>
      <c r="G441" s="97" t="b">
        <v>0</v>
      </c>
      <c r="H441" s="98"/>
      <c r="I441" s="98"/>
      <c r="J441" s="98"/>
      <c r="K441" s="108"/>
      <c r="L441" s="110"/>
      <c r="M441" s="102"/>
      <c r="N441" s="102"/>
      <c r="O441" s="98"/>
      <c r="P441" s="98"/>
      <c r="Q441" s="98"/>
    </row>
    <row r="442">
      <c r="A442" s="96" t="s">
        <v>348</v>
      </c>
      <c r="B442" s="97" t="s">
        <v>1836</v>
      </c>
      <c r="C442" s="97" t="s">
        <v>1837</v>
      </c>
      <c r="D442" s="97" t="s">
        <v>1582</v>
      </c>
      <c r="E442" s="97" t="s">
        <v>582</v>
      </c>
      <c r="F442" s="97" t="b">
        <v>1</v>
      </c>
      <c r="G442" s="97" t="b">
        <v>1</v>
      </c>
      <c r="H442" s="98">
        <f>IF(A442:A2055="", "", COUNTIF(Check!H:H, A441:A2055))</f>
        <v>1</v>
      </c>
      <c r="I442" s="98"/>
      <c r="J442" s="98"/>
      <c r="K442" s="99"/>
      <c r="L442" s="99"/>
      <c r="M442" s="100"/>
      <c r="N442" s="101"/>
      <c r="O442" s="98"/>
      <c r="P442" s="98"/>
      <c r="Q442" s="98"/>
    </row>
    <row r="443">
      <c r="A443" s="96" t="s">
        <v>1838</v>
      </c>
      <c r="B443" s="97" t="s">
        <v>1839</v>
      </c>
      <c r="C443" s="97" t="s">
        <v>1840</v>
      </c>
      <c r="D443" s="97" t="s">
        <v>671</v>
      </c>
      <c r="E443" s="97" t="s">
        <v>1134</v>
      </c>
      <c r="F443" s="97" t="b">
        <v>0</v>
      </c>
      <c r="G443" s="97" t="b">
        <v>0</v>
      </c>
      <c r="H443" s="98"/>
      <c r="I443" s="98"/>
      <c r="J443" s="98"/>
      <c r="K443" s="99"/>
      <c r="L443" s="99"/>
      <c r="M443" s="102"/>
      <c r="N443" s="102"/>
      <c r="O443" s="98"/>
      <c r="P443" s="98"/>
      <c r="Q443" s="98"/>
    </row>
    <row r="444">
      <c r="A444" s="96" t="s">
        <v>1841</v>
      </c>
      <c r="B444" s="97" t="s">
        <v>1842</v>
      </c>
      <c r="C444" s="97" t="s">
        <v>1843</v>
      </c>
      <c r="D444" s="97" t="s">
        <v>801</v>
      </c>
      <c r="E444" s="97" t="s">
        <v>620</v>
      </c>
      <c r="F444" s="97" t="b">
        <v>0</v>
      </c>
      <c r="G444" s="97" t="b">
        <v>0</v>
      </c>
      <c r="H444" s="98"/>
      <c r="I444" s="98"/>
      <c r="J444" s="98"/>
      <c r="K444" s="102"/>
      <c r="L444" s="102"/>
      <c r="M444" s="102"/>
      <c r="N444" s="102"/>
      <c r="O444" s="98"/>
      <c r="P444" s="98"/>
      <c r="Q444" s="98"/>
    </row>
    <row r="445">
      <c r="A445" s="96" t="s">
        <v>1844</v>
      </c>
      <c r="B445" s="97" t="s">
        <v>1845</v>
      </c>
      <c r="C445" s="97" t="s">
        <v>1846</v>
      </c>
      <c r="D445" s="97" t="s">
        <v>1582</v>
      </c>
      <c r="E445" s="97" t="s">
        <v>1847</v>
      </c>
      <c r="F445" s="97" t="b">
        <v>0</v>
      </c>
      <c r="G445" s="97" t="b">
        <v>0</v>
      </c>
      <c r="H445" s="98"/>
      <c r="I445" s="98"/>
      <c r="J445" s="98"/>
      <c r="K445" s="100" t="s">
        <v>972</v>
      </c>
      <c r="L445" s="101">
        <f>COUNTIFS($D$2:$D$1039, K445, $F$2:$F$1039, TRUE)</f>
        <v>4</v>
      </c>
      <c r="M445" s="108" t="s">
        <v>1548</v>
      </c>
      <c r="N445" s="109">
        <f>COUNTIFS($E$2:$E$1039, M445, $F$2:$F$1039, TRUE)</f>
        <v>0</v>
      </c>
      <c r="O445" s="98"/>
      <c r="P445" s="98"/>
      <c r="Q445" s="98"/>
    </row>
    <row r="446">
      <c r="A446" s="96" t="s">
        <v>1848</v>
      </c>
      <c r="B446" s="97" t="s">
        <v>1849</v>
      </c>
      <c r="C446" s="97" t="s">
        <v>1850</v>
      </c>
      <c r="D446" s="97" t="s">
        <v>726</v>
      </c>
      <c r="E446" s="97" t="s">
        <v>932</v>
      </c>
      <c r="F446" s="97" t="b">
        <v>0</v>
      </c>
      <c r="G446" s="97" t="b">
        <v>0</v>
      </c>
      <c r="H446" s="98"/>
      <c r="I446" s="98"/>
      <c r="J446" s="98"/>
      <c r="K446" s="99"/>
      <c r="L446" s="99"/>
      <c r="M446" s="102"/>
      <c r="N446" s="102"/>
      <c r="O446" s="98"/>
      <c r="P446" s="98"/>
      <c r="Q446" s="98"/>
    </row>
    <row r="447">
      <c r="A447" s="96" t="s">
        <v>1851</v>
      </c>
      <c r="B447" s="97" t="s">
        <v>1852</v>
      </c>
      <c r="C447" s="97" t="s">
        <v>1853</v>
      </c>
      <c r="D447" s="97" t="s">
        <v>1320</v>
      </c>
      <c r="E447" s="97" t="s">
        <v>1854</v>
      </c>
      <c r="F447" s="97" t="b">
        <v>0</v>
      </c>
      <c r="G447" s="97" t="b">
        <v>0</v>
      </c>
      <c r="H447" s="111"/>
      <c r="I447" s="111"/>
      <c r="J447" s="111"/>
      <c r="K447" s="99"/>
      <c r="L447" s="99"/>
      <c r="M447" s="102"/>
      <c r="N447" s="102"/>
      <c r="O447" s="111"/>
      <c r="P447" s="111"/>
      <c r="Q447" s="98"/>
    </row>
    <row r="448">
      <c r="A448" s="96" t="s">
        <v>342</v>
      </c>
      <c r="B448" s="97" t="s">
        <v>1855</v>
      </c>
      <c r="C448" s="97" t="s">
        <v>1856</v>
      </c>
      <c r="D448" s="97" t="s">
        <v>674</v>
      </c>
      <c r="E448" s="97" t="s">
        <v>688</v>
      </c>
      <c r="F448" s="97" t="b">
        <v>1</v>
      </c>
      <c r="G448" s="97" t="b">
        <v>1</v>
      </c>
      <c r="H448" s="98">
        <f>IF(A448:A2055="", "", COUNTIF(Check!H:H, A447:A2055))</f>
        <v>1</v>
      </c>
      <c r="I448" s="98"/>
      <c r="J448" s="98"/>
      <c r="K448" s="99"/>
      <c r="L448" s="99"/>
      <c r="M448" s="102"/>
      <c r="N448" s="102"/>
      <c r="O448" s="98"/>
      <c r="P448" s="98"/>
      <c r="Q448" s="98"/>
    </row>
    <row r="449">
      <c r="A449" s="96" t="s">
        <v>1857</v>
      </c>
      <c r="B449" s="97" t="s">
        <v>1855</v>
      </c>
      <c r="C449" s="97" t="s">
        <v>1858</v>
      </c>
      <c r="D449" s="97" t="s">
        <v>740</v>
      </c>
      <c r="E449" s="97" t="s">
        <v>761</v>
      </c>
      <c r="F449" s="97" t="b">
        <v>0</v>
      </c>
      <c r="G449" s="97" t="b">
        <v>0</v>
      </c>
      <c r="H449" s="98"/>
      <c r="I449" s="98"/>
      <c r="J449" s="98"/>
      <c r="K449" s="100"/>
      <c r="L449" s="107"/>
      <c r="M449" s="100"/>
      <c r="N449" s="101"/>
      <c r="O449" s="98"/>
      <c r="P449" s="98"/>
      <c r="Q449" s="98"/>
    </row>
    <row r="450">
      <c r="A450" s="96" t="s">
        <v>1859</v>
      </c>
      <c r="B450" s="97" t="s">
        <v>1860</v>
      </c>
      <c r="C450" s="97" t="s">
        <v>1861</v>
      </c>
      <c r="D450" s="97" t="s">
        <v>955</v>
      </c>
      <c r="E450" s="97" t="s">
        <v>1234</v>
      </c>
      <c r="F450" s="97" t="b">
        <v>0</v>
      </c>
      <c r="G450" s="97" t="b">
        <v>0</v>
      </c>
      <c r="H450" s="98"/>
      <c r="I450" s="98"/>
      <c r="J450" s="98"/>
      <c r="K450" s="99"/>
      <c r="L450" s="99"/>
      <c r="M450" s="102"/>
      <c r="N450" s="102"/>
      <c r="O450" s="98"/>
      <c r="P450" s="98"/>
      <c r="Q450" s="98"/>
    </row>
    <row r="451">
      <c r="A451" s="96" t="s">
        <v>1862</v>
      </c>
      <c r="B451" s="97" t="s">
        <v>1863</v>
      </c>
      <c r="C451" s="97" t="s">
        <v>1864</v>
      </c>
      <c r="D451" s="97" t="s">
        <v>781</v>
      </c>
      <c r="E451" s="97" t="s">
        <v>678</v>
      </c>
      <c r="F451" s="97" t="b">
        <v>0</v>
      </c>
      <c r="G451" s="97" t="b">
        <v>0</v>
      </c>
      <c r="H451" s="98"/>
      <c r="I451" s="98"/>
      <c r="J451" s="98"/>
      <c r="K451" s="99"/>
      <c r="L451" s="99"/>
      <c r="M451" s="102"/>
      <c r="N451" s="102"/>
      <c r="O451" s="98"/>
      <c r="P451" s="98"/>
      <c r="Q451" s="98"/>
    </row>
    <row r="452">
      <c r="A452" s="96" t="s">
        <v>206</v>
      </c>
      <c r="B452" s="97" t="s">
        <v>1863</v>
      </c>
      <c r="C452" s="97" t="s">
        <v>1865</v>
      </c>
      <c r="D452" s="97" t="s">
        <v>615</v>
      </c>
      <c r="E452" s="97" t="s">
        <v>830</v>
      </c>
      <c r="F452" s="97" t="b">
        <v>1</v>
      </c>
      <c r="G452" s="97" t="b">
        <v>1</v>
      </c>
      <c r="H452" s="98">
        <f>IF(A452:A2055="", "", COUNTIF(Check!H:H, A451:A2055))</f>
        <v>1</v>
      </c>
      <c r="I452" s="98"/>
      <c r="J452" s="98"/>
      <c r="K452" s="108"/>
      <c r="L452" s="110"/>
      <c r="M452" s="103"/>
      <c r="N452" s="104"/>
      <c r="O452" s="106"/>
      <c r="P452" s="106"/>
      <c r="Q452" s="98"/>
    </row>
    <row r="453">
      <c r="A453" s="96" t="s">
        <v>236</v>
      </c>
      <c r="B453" s="97" t="s">
        <v>1866</v>
      </c>
      <c r="C453" s="97" t="s">
        <v>1867</v>
      </c>
      <c r="D453" s="97" t="s">
        <v>721</v>
      </c>
      <c r="E453" s="97" t="s">
        <v>727</v>
      </c>
      <c r="F453" s="97" t="b">
        <v>1</v>
      </c>
      <c r="G453" s="97" t="b">
        <v>1</v>
      </c>
      <c r="H453" s="98">
        <f>IF(A453:A2055="", "", COUNTIF(Check!H:H, A452:A2055))</f>
        <v>1</v>
      </c>
      <c r="I453" s="98"/>
      <c r="J453" s="98"/>
      <c r="K453" s="99"/>
      <c r="L453" s="99"/>
      <c r="M453" s="100"/>
      <c r="N453" s="101"/>
      <c r="O453" s="98"/>
      <c r="P453" s="98"/>
      <c r="Q453" s="98"/>
    </row>
    <row r="454">
      <c r="A454" s="96" t="s">
        <v>1868</v>
      </c>
      <c r="B454" s="97" t="s">
        <v>1869</v>
      </c>
      <c r="C454" s="97" t="s">
        <v>1870</v>
      </c>
      <c r="D454" s="97" t="s">
        <v>606</v>
      </c>
      <c r="E454" s="97" t="s">
        <v>1265</v>
      </c>
      <c r="F454" s="97" t="b">
        <v>0</v>
      </c>
      <c r="G454" s="97" t="b">
        <v>0</v>
      </c>
      <c r="H454" s="98"/>
      <c r="I454" s="98"/>
      <c r="J454" s="98"/>
      <c r="K454" s="100"/>
      <c r="L454" s="107"/>
      <c r="M454" s="108"/>
      <c r="N454" s="109"/>
      <c r="O454" s="98"/>
      <c r="P454" s="98"/>
      <c r="Q454" s="98"/>
    </row>
    <row r="455">
      <c r="A455" s="96" t="s">
        <v>191</v>
      </c>
      <c r="B455" s="97" t="s">
        <v>1871</v>
      </c>
      <c r="C455" s="97" t="s">
        <v>1872</v>
      </c>
      <c r="D455" s="97" t="s">
        <v>764</v>
      </c>
      <c r="E455" s="97" t="s">
        <v>722</v>
      </c>
      <c r="F455" s="97" t="b">
        <v>1</v>
      </c>
      <c r="G455" s="97" t="b">
        <v>1</v>
      </c>
      <c r="H455" s="98">
        <f>IF(A455:A2055="", "", COUNTIF(Check!H:H, A454:A2055))</f>
        <v>1</v>
      </c>
      <c r="I455" s="98"/>
      <c r="J455" s="98"/>
      <c r="K455" s="102"/>
      <c r="L455" s="102"/>
      <c r="M455" s="100"/>
      <c r="N455" s="101"/>
      <c r="O455" s="98"/>
      <c r="P455" s="98"/>
      <c r="Q455" s="98"/>
    </row>
    <row r="456">
      <c r="A456" s="96" t="s">
        <v>229</v>
      </c>
      <c r="B456" s="97" t="s">
        <v>1873</v>
      </c>
      <c r="C456" s="97" t="s">
        <v>1874</v>
      </c>
      <c r="D456" s="97" t="s">
        <v>648</v>
      </c>
      <c r="E456" s="97" t="s">
        <v>761</v>
      </c>
      <c r="F456" s="97" t="b">
        <v>1</v>
      </c>
      <c r="G456" s="97" t="b">
        <v>1</v>
      </c>
      <c r="H456" s="98">
        <f>IF(A456:A2055="", "", COUNTIF(Check!H:H, A455:A2055))</f>
        <v>1</v>
      </c>
      <c r="I456" s="98"/>
      <c r="J456" s="98"/>
      <c r="K456" s="100"/>
      <c r="L456" s="107"/>
      <c r="M456" s="100"/>
      <c r="N456" s="101"/>
      <c r="O456" s="98"/>
      <c r="P456" s="98"/>
      <c r="Q456" s="98"/>
    </row>
    <row r="457">
      <c r="A457" s="96" t="s">
        <v>1875</v>
      </c>
      <c r="B457" s="97" t="s">
        <v>1876</v>
      </c>
      <c r="C457" s="97" t="s">
        <v>1877</v>
      </c>
      <c r="D457" s="97" t="s">
        <v>773</v>
      </c>
      <c r="E457" s="97" t="s">
        <v>630</v>
      </c>
      <c r="F457" s="97" t="b">
        <v>0</v>
      </c>
      <c r="G457" s="97" t="b">
        <v>0</v>
      </c>
      <c r="H457" s="98"/>
      <c r="I457" s="98"/>
      <c r="J457" s="98"/>
      <c r="K457" s="100"/>
      <c r="L457" s="107"/>
      <c r="M457" s="102"/>
      <c r="N457" s="102"/>
      <c r="O457" s="98"/>
      <c r="P457" s="98"/>
      <c r="Q457" s="98"/>
    </row>
    <row r="458">
      <c r="A458" s="96" t="s">
        <v>245</v>
      </c>
      <c r="B458" s="97" t="s">
        <v>1878</v>
      </c>
      <c r="C458" s="97" t="s">
        <v>1879</v>
      </c>
      <c r="D458" s="97" t="s">
        <v>633</v>
      </c>
      <c r="E458" s="97" t="s">
        <v>895</v>
      </c>
      <c r="F458" s="97" t="b">
        <v>1</v>
      </c>
      <c r="G458" s="97" t="b">
        <v>1</v>
      </c>
      <c r="H458" s="98">
        <f>IF(A458:A2055="", "", COUNTIF(Check!H:H, A457:A2055))</f>
        <v>1</v>
      </c>
      <c r="I458" s="98"/>
      <c r="J458" s="98"/>
      <c r="K458" s="99"/>
      <c r="L458" s="99"/>
      <c r="M458" s="102"/>
      <c r="N458" s="102"/>
      <c r="O458" s="98"/>
      <c r="P458" s="98"/>
      <c r="Q458" s="98"/>
    </row>
    <row r="459">
      <c r="A459" s="96" t="s">
        <v>551</v>
      </c>
      <c r="B459" s="97" t="s">
        <v>1880</v>
      </c>
      <c r="C459" s="97" t="s">
        <v>1881</v>
      </c>
      <c r="D459" s="97" t="s">
        <v>696</v>
      </c>
      <c r="E459" s="97" t="s">
        <v>697</v>
      </c>
      <c r="F459" s="97" t="b">
        <v>1</v>
      </c>
      <c r="G459" s="97" t="b">
        <v>1</v>
      </c>
      <c r="H459" s="98">
        <f>IF(A459:A2055="", "", COUNTIF(Check!H:H, A458:A2055))</f>
        <v>1</v>
      </c>
      <c r="I459" s="98"/>
      <c r="J459" s="98"/>
      <c r="K459" s="100" t="s">
        <v>1230</v>
      </c>
      <c r="L459" s="101">
        <f>COUNTIFS($D$2:$D$1039, K459, $F$2:$F$1039, TRUE)</f>
        <v>5</v>
      </c>
      <c r="M459" s="100" t="s">
        <v>952</v>
      </c>
      <c r="N459" s="101">
        <f>COUNTIFS($E$2:$E$1039, M459, $F$2:$F$1039, TRUE)</f>
        <v>0</v>
      </c>
      <c r="O459" s="105"/>
      <c r="P459" s="105"/>
      <c r="Q459" s="98"/>
    </row>
    <row r="460">
      <c r="A460" s="96" t="s">
        <v>70</v>
      </c>
      <c r="B460" s="97" t="s">
        <v>1882</v>
      </c>
      <c r="C460" s="97" t="s">
        <v>1883</v>
      </c>
      <c r="D460" s="97" t="s">
        <v>1017</v>
      </c>
      <c r="E460" s="97" t="s">
        <v>733</v>
      </c>
      <c r="F460" s="97" t="b">
        <v>1</v>
      </c>
      <c r="G460" s="97" t="b">
        <v>1</v>
      </c>
      <c r="H460" s="98">
        <f>IF(A460:A2055="", "", COUNTIF(Check!H:H, A459:A2055))</f>
        <v>1</v>
      </c>
      <c r="I460" s="98"/>
      <c r="J460" s="98"/>
      <c r="K460" s="102"/>
      <c r="L460" s="102"/>
      <c r="M460" s="102"/>
      <c r="N460" s="102"/>
      <c r="O460" s="98"/>
      <c r="P460" s="98"/>
      <c r="Q460" s="98"/>
    </row>
    <row r="461">
      <c r="A461" s="96" t="s">
        <v>1884</v>
      </c>
      <c r="B461" s="97" t="s">
        <v>1885</v>
      </c>
      <c r="C461" s="97" t="s">
        <v>1886</v>
      </c>
      <c r="D461" s="97" t="s">
        <v>894</v>
      </c>
      <c r="E461" s="97" t="s">
        <v>625</v>
      </c>
      <c r="F461" s="97" t="b">
        <v>0</v>
      </c>
      <c r="G461" s="97" t="b">
        <v>0</v>
      </c>
      <c r="H461" s="98"/>
      <c r="I461" s="98"/>
      <c r="J461" s="98"/>
      <c r="K461" s="99"/>
      <c r="L461" s="99"/>
      <c r="M461" s="100"/>
      <c r="N461" s="101"/>
      <c r="O461" s="98"/>
      <c r="P461" s="98"/>
      <c r="Q461" s="98"/>
    </row>
    <row r="462">
      <c r="A462" s="96" t="s">
        <v>1887</v>
      </c>
      <c r="B462" s="97" t="s">
        <v>1888</v>
      </c>
      <c r="C462" s="97" t="s">
        <v>1889</v>
      </c>
      <c r="D462" s="97" t="s">
        <v>662</v>
      </c>
      <c r="E462" s="97" t="s">
        <v>727</v>
      </c>
      <c r="F462" s="97" t="b">
        <v>0</v>
      </c>
      <c r="G462" s="97" t="b">
        <v>0</v>
      </c>
      <c r="H462" s="98"/>
      <c r="I462" s="98"/>
      <c r="J462" s="98"/>
      <c r="K462" s="99"/>
      <c r="L462" s="99"/>
      <c r="M462" s="100"/>
      <c r="N462" s="101"/>
      <c r="O462" s="98"/>
      <c r="P462" s="98"/>
      <c r="Q462" s="98"/>
    </row>
    <row r="463">
      <c r="A463" s="96" t="s">
        <v>1890</v>
      </c>
      <c r="B463" s="97" t="s">
        <v>1891</v>
      </c>
      <c r="C463" s="97" t="s">
        <v>1892</v>
      </c>
      <c r="D463" s="97" t="s">
        <v>667</v>
      </c>
      <c r="E463" s="97" t="s">
        <v>1134</v>
      </c>
      <c r="F463" s="97" t="b">
        <v>0</v>
      </c>
      <c r="G463" s="97" t="b">
        <v>0</v>
      </c>
      <c r="H463" s="98"/>
      <c r="I463" s="98"/>
      <c r="J463" s="98"/>
      <c r="K463" s="99"/>
      <c r="L463" s="99"/>
      <c r="M463" s="102"/>
      <c r="N463" s="102"/>
      <c r="O463" s="98"/>
      <c r="P463" s="98"/>
      <c r="Q463" s="98"/>
    </row>
    <row r="464">
      <c r="A464" s="96" t="s">
        <v>143</v>
      </c>
      <c r="B464" s="97" t="s">
        <v>1893</v>
      </c>
      <c r="C464" s="97" t="s">
        <v>1894</v>
      </c>
      <c r="D464" s="97" t="s">
        <v>920</v>
      </c>
      <c r="E464" s="97" t="s">
        <v>616</v>
      </c>
      <c r="F464" s="97" t="b">
        <v>1</v>
      </c>
      <c r="G464" s="97" t="b">
        <v>1</v>
      </c>
      <c r="H464" s="98">
        <f>IF(A464:A2055="", "", COUNTIF(Check!H:H, A463:A2055))</f>
        <v>1</v>
      </c>
      <c r="I464" s="98"/>
      <c r="J464" s="98"/>
      <c r="K464" s="99"/>
      <c r="L464" s="99"/>
      <c r="M464" s="100"/>
      <c r="N464" s="101"/>
      <c r="O464" s="98"/>
      <c r="P464" s="98"/>
      <c r="Q464" s="98"/>
    </row>
    <row r="465">
      <c r="A465" s="96" t="s">
        <v>527</v>
      </c>
      <c r="B465" s="97" t="s">
        <v>1895</v>
      </c>
      <c r="C465" s="97" t="s">
        <v>1896</v>
      </c>
      <c r="D465" s="97" t="s">
        <v>760</v>
      </c>
      <c r="E465" s="97" t="s">
        <v>582</v>
      </c>
      <c r="F465" s="97" t="b">
        <v>1</v>
      </c>
      <c r="G465" s="97" t="b">
        <v>1</v>
      </c>
      <c r="H465" s="98">
        <f>IF(A465:A2055="", "", COUNTIF(Check!H:H, A464:A2055))</f>
        <v>1</v>
      </c>
      <c r="I465" s="98"/>
      <c r="J465" s="98"/>
      <c r="K465" s="99"/>
      <c r="L465" s="99"/>
      <c r="M465" s="102"/>
      <c r="N465" s="102"/>
      <c r="O465" s="98"/>
      <c r="P465" s="98"/>
      <c r="Q465" s="98"/>
    </row>
    <row r="466">
      <c r="A466" s="96" t="s">
        <v>1897</v>
      </c>
      <c r="B466" s="97" t="s">
        <v>1898</v>
      </c>
      <c r="C466" s="97" t="s">
        <v>1899</v>
      </c>
      <c r="D466" s="97" t="s">
        <v>764</v>
      </c>
      <c r="E466" s="97" t="s">
        <v>913</v>
      </c>
      <c r="F466" s="97" t="b">
        <v>0</v>
      </c>
      <c r="G466" s="97" t="b">
        <v>0</v>
      </c>
      <c r="H466" s="98"/>
      <c r="I466" s="98"/>
      <c r="J466" s="98"/>
      <c r="K466" s="100"/>
      <c r="L466" s="101"/>
      <c r="M466" s="102"/>
      <c r="N466" s="102"/>
      <c r="O466" s="98"/>
      <c r="P466" s="98"/>
      <c r="Q466" s="98"/>
    </row>
    <row r="467">
      <c r="A467" s="96" t="s">
        <v>1900</v>
      </c>
      <c r="B467" s="97" t="s">
        <v>1901</v>
      </c>
      <c r="C467" s="97" t="s">
        <v>1902</v>
      </c>
      <c r="D467" s="97" t="s">
        <v>615</v>
      </c>
      <c r="E467" s="97" t="s">
        <v>761</v>
      </c>
      <c r="F467" s="97" t="b">
        <v>0</v>
      </c>
      <c r="G467" s="97" t="b">
        <v>0</v>
      </c>
      <c r="H467" s="98"/>
      <c r="I467" s="98"/>
      <c r="J467" s="98"/>
      <c r="K467" s="99"/>
      <c r="L467" s="99"/>
      <c r="M467" s="103"/>
      <c r="N467" s="104"/>
      <c r="O467" s="106"/>
      <c r="P467" s="106"/>
      <c r="Q467" s="98"/>
    </row>
    <row r="468">
      <c r="A468" s="96" t="s">
        <v>319</v>
      </c>
      <c r="B468" s="97" t="s">
        <v>1901</v>
      </c>
      <c r="C468" s="97" t="s">
        <v>1903</v>
      </c>
      <c r="D468" s="97" t="s">
        <v>985</v>
      </c>
      <c r="E468" s="97" t="s">
        <v>830</v>
      </c>
      <c r="F468" s="97" t="b">
        <v>1</v>
      </c>
      <c r="G468" s="97" t="b">
        <v>1</v>
      </c>
      <c r="H468" s="98">
        <f>IF(A468:A2055="", "", COUNTIF(Check!H:H, A467:A2055))</f>
        <v>1</v>
      </c>
      <c r="I468" s="98"/>
      <c r="J468" s="98"/>
      <c r="K468" s="99"/>
      <c r="L468" s="99"/>
      <c r="M468" s="102"/>
      <c r="N468" s="102"/>
      <c r="O468" s="98"/>
      <c r="P468" s="98"/>
      <c r="Q468" s="98"/>
    </row>
    <row r="469">
      <c r="A469" s="96" t="s">
        <v>1904</v>
      </c>
      <c r="B469" s="97" t="s">
        <v>1905</v>
      </c>
      <c r="C469" s="97" t="s">
        <v>1906</v>
      </c>
      <c r="D469" s="97" t="s">
        <v>747</v>
      </c>
      <c r="E469" s="97" t="s">
        <v>767</v>
      </c>
      <c r="F469" s="97" t="b">
        <v>0</v>
      </c>
      <c r="G469" s="97" t="b">
        <v>0</v>
      </c>
      <c r="H469" s="98"/>
      <c r="I469" s="98"/>
      <c r="J469" s="98"/>
      <c r="K469" s="99"/>
      <c r="L469" s="99"/>
      <c r="M469" s="100"/>
      <c r="N469" s="101"/>
      <c r="O469" s="98"/>
      <c r="P469" s="98"/>
      <c r="Q469" s="98"/>
    </row>
    <row r="470">
      <c r="A470" s="96" t="s">
        <v>1907</v>
      </c>
      <c r="B470" s="97" t="s">
        <v>1908</v>
      </c>
      <c r="C470" s="97" t="s">
        <v>1909</v>
      </c>
      <c r="D470" s="97" t="s">
        <v>1910</v>
      </c>
      <c r="E470" s="97" t="s">
        <v>777</v>
      </c>
      <c r="F470" s="97" t="b">
        <v>0</v>
      </c>
      <c r="G470" s="97" t="b">
        <v>0</v>
      </c>
      <c r="H470" s="98"/>
      <c r="I470" s="98"/>
      <c r="J470" s="98"/>
      <c r="K470" s="99"/>
      <c r="L470" s="99"/>
      <c r="M470" s="102"/>
      <c r="N470" s="102"/>
      <c r="O470" s="98"/>
      <c r="P470" s="98"/>
      <c r="Q470" s="98"/>
    </row>
    <row r="471">
      <c r="A471" s="96" t="s">
        <v>1911</v>
      </c>
      <c r="B471" s="97" t="s">
        <v>1912</v>
      </c>
      <c r="C471" s="97" t="s">
        <v>1913</v>
      </c>
      <c r="D471" s="97" t="s">
        <v>942</v>
      </c>
      <c r="E471" s="97" t="s">
        <v>932</v>
      </c>
      <c r="F471" s="97" t="b">
        <v>0</v>
      </c>
      <c r="G471" s="97" t="b">
        <v>0</v>
      </c>
      <c r="H471" s="98"/>
      <c r="I471" s="98"/>
      <c r="J471" s="98"/>
      <c r="K471" s="99"/>
      <c r="L471" s="99"/>
      <c r="M471" s="102"/>
      <c r="N471" s="102"/>
      <c r="O471" s="98"/>
      <c r="P471" s="98"/>
      <c r="Q471" s="105"/>
    </row>
    <row r="472">
      <c r="A472" s="96" t="s">
        <v>341</v>
      </c>
      <c r="B472" s="97" t="s">
        <v>1914</v>
      </c>
      <c r="C472" s="97" t="s">
        <v>1915</v>
      </c>
      <c r="D472" s="97" t="s">
        <v>1301</v>
      </c>
      <c r="E472" s="97" t="s">
        <v>777</v>
      </c>
      <c r="F472" s="97" t="b">
        <v>1</v>
      </c>
      <c r="G472" s="97" t="b">
        <v>1</v>
      </c>
      <c r="H472" s="98">
        <f>IF(A472:A2055="", "", COUNTIF(Check!H:H, A471:A2055))</f>
        <v>1</v>
      </c>
      <c r="I472" s="98"/>
      <c r="J472" s="98"/>
      <c r="K472" s="99"/>
      <c r="L472" s="99"/>
      <c r="M472" s="100"/>
      <c r="N472" s="101"/>
      <c r="O472" s="98"/>
      <c r="P472" s="98"/>
      <c r="Q472" s="105"/>
    </row>
    <row r="473">
      <c r="A473" s="96" t="s">
        <v>1916</v>
      </c>
      <c r="B473" s="97" t="s">
        <v>1917</v>
      </c>
      <c r="C473" s="97" t="s">
        <v>1918</v>
      </c>
      <c r="D473" s="97" t="s">
        <v>985</v>
      </c>
      <c r="E473" s="97" t="s">
        <v>789</v>
      </c>
      <c r="F473" s="97" t="b">
        <v>0</v>
      </c>
      <c r="G473" s="97" t="b">
        <v>0</v>
      </c>
      <c r="H473" s="98"/>
      <c r="I473" s="98"/>
      <c r="J473" s="98"/>
      <c r="K473" s="102"/>
      <c r="L473" s="102"/>
      <c r="M473" s="102"/>
      <c r="N473" s="102"/>
      <c r="O473" s="98"/>
      <c r="P473" s="98"/>
      <c r="Q473" s="105"/>
    </row>
    <row r="474">
      <c r="A474" s="96" t="s">
        <v>142</v>
      </c>
      <c r="B474" s="97" t="s">
        <v>1919</v>
      </c>
      <c r="C474" s="97" t="s">
        <v>1920</v>
      </c>
      <c r="D474" s="97" t="s">
        <v>801</v>
      </c>
      <c r="E474" s="97" t="s">
        <v>616</v>
      </c>
      <c r="F474" s="97" t="b">
        <v>1</v>
      </c>
      <c r="G474" s="97" t="b">
        <v>1</v>
      </c>
      <c r="H474" s="98">
        <f>IF(A474:A2055="", "", COUNTIF(Check!H:H, A473:A2055))</f>
        <v>1</v>
      </c>
      <c r="I474" s="98"/>
      <c r="J474" s="98"/>
      <c r="K474" s="99"/>
      <c r="L474" s="99"/>
      <c r="M474" s="100"/>
      <c r="N474" s="101"/>
      <c r="O474" s="98"/>
      <c r="P474" s="98"/>
      <c r="Q474" s="105"/>
    </row>
    <row r="475">
      <c r="A475" s="96" t="s">
        <v>339</v>
      </c>
      <c r="B475" s="97" t="s">
        <v>1921</v>
      </c>
      <c r="C475" s="97" t="s">
        <v>1922</v>
      </c>
      <c r="D475" s="97" t="s">
        <v>792</v>
      </c>
      <c r="E475" s="97" t="s">
        <v>616</v>
      </c>
      <c r="F475" s="97" t="b">
        <v>1</v>
      </c>
      <c r="G475" s="97" t="b">
        <v>1</v>
      </c>
      <c r="H475" s="98">
        <f>IF(A475:A2055="", "", COUNTIF(Check!H:H, A474:A2055))</f>
        <v>1</v>
      </c>
      <c r="I475" s="98"/>
      <c r="J475" s="98"/>
      <c r="K475" s="99"/>
      <c r="L475" s="99"/>
      <c r="M475" s="108"/>
      <c r="N475" s="109"/>
      <c r="O475" s="98"/>
      <c r="P475" s="98"/>
      <c r="Q475" s="106"/>
    </row>
    <row r="476">
      <c r="A476" s="96" t="s">
        <v>1923</v>
      </c>
      <c r="B476" s="97" t="s">
        <v>1921</v>
      </c>
      <c r="C476" s="97" t="s">
        <v>1924</v>
      </c>
      <c r="D476" s="97" t="s">
        <v>606</v>
      </c>
      <c r="E476" s="97" t="s">
        <v>921</v>
      </c>
      <c r="F476" s="97" t="b">
        <v>0</v>
      </c>
      <c r="G476" s="97" t="b">
        <v>0</v>
      </c>
      <c r="H476" s="98"/>
      <c r="I476" s="98"/>
      <c r="J476" s="98"/>
      <c r="K476" s="99"/>
      <c r="L476" s="99"/>
      <c r="M476" s="102"/>
      <c r="N476" s="102"/>
      <c r="O476" s="98"/>
      <c r="P476" s="98"/>
      <c r="Q476" s="105"/>
    </row>
    <row r="477">
      <c r="A477" s="96" t="s">
        <v>1923</v>
      </c>
      <c r="B477" s="97" t="s">
        <v>1921</v>
      </c>
      <c r="C477" s="97" t="s">
        <v>1924</v>
      </c>
      <c r="D477" s="97" t="s">
        <v>606</v>
      </c>
      <c r="E477" s="97" t="s">
        <v>921</v>
      </c>
      <c r="F477" s="97" t="b">
        <v>0</v>
      </c>
      <c r="G477" s="97" t="b">
        <v>0</v>
      </c>
      <c r="H477" s="98"/>
      <c r="I477" s="98"/>
      <c r="J477" s="98"/>
      <c r="K477" s="99"/>
      <c r="L477" s="99"/>
      <c r="M477" s="102"/>
      <c r="N477" s="102"/>
      <c r="O477" s="98"/>
      <c r="P477" s="98"/>
      <c r="Q477" s="105"/>
    </row>
    <row r="478">
      <c r="A478" s="96" t="s">
        <v>496</v>
      </c>
      <c r="B478" s="97" t="s">
        <v>1925</v>
      </c>
      <c r="C478" s="97" t="s">
        <v>1926</v>
      </c>
      <c r="D478" s="97" t="s">
        <v>834</v>
      </c>
      <c r="E478" s="97" t="s">
        <v>611</v>
      </c>
      <c r="F478" s="97" t="b">
        <v>1</v>
      </c>
      <c r="G478" s="97" t="b">
        <v>1</v>
      </c>
      <c r="H478" s="98">
        <f>IF(A478:A2055="", "", COUNTIF(Check!H:H, A477:A2055))</f>
        <v>1</v>
      </c>
      <c r="I478" s="98"/>
      <c r="J478" s="98"/>
      <c r="K478" s="99"/>
      <c r="L478" s="99"/>
      <c r="M478" s="102"/>
      <c r="N478" s="102"/>
      <c r="O478" s="98"/>
      <c r="P478" s="98"/>
      <c r="Q478" s="106"/>
    </row>
    <row r="479">
      <c r="A479" s="96" t="s">
        <v>1927</v>
      </c>
      <c r="B479" s="97" t="s">
        <v>1928</v>
      </c>
      <c r="C479" s="97" t="s">
        <v>1929</v>
      </c>
      <c r="D479" s="97" t="s">
        <v>1320</v>
      </c>
      <c r="E479" s="97" t="s">
        <v>1930</v>
      </c>
      <c r="F479" s="97" t="b">
        <v>0</v>
      </c>
      <c r="G479" s="97" t="b">
        <v>0</v>
      </c>
      <c r="H479" s="111"/>
      <c r="I479" s="111"/>
      <c r="J479" s="111"/>
      <c r="K479" s="100"/>
      <c r="L479" s="107"/>
      <c r="M479" s="102"/>
      <c r="N479" s="102"/>
      <c r="O479" s="111"/>
      <c r="P479" s="111"/>
      <c r="Q479" s="98"/>
    </row>
    <row r="480">
      <c r="A480" s="96" t="s">
        <v>154</v>
      </c>
      <c r="B480" s="97" t="s">
        <v>1931</v>
      </c>
      <c r="C480" s="97" t="s">
        <v>1932</v>
      </c>
      <c r="D480" s="97" t="s">
        <v>619</v>
      </c>
      <c r="E480" s="97" t="s">
        <v>620</v>
      </c>
      <c r="F480" s="97" t="b">
        <v>1</v>
      </c>
      <c r="G480" s="97" t="b">
        <v>1</v>
      </c>
      <c r="H480" s="98">
        <f>IF(A480:A2055="", "", COUNTIF(Check!H:H, A479:A2055))</f>
        <v>1</v>
      </c>
      <c r="I480" s="98"/>
      <c r="J480" s="98"/>
      <c r="K480" s="102"/>
      <c r="L480" s="102"/>
      <c r="M480" s="102"/>
      <c r="N480" s="102"/>
      <c r="O480" s="98"/>
      <c r="P480" s="98"/>
      <c r="Q480" s="98"/>
    </row>
    <row r="481">
      <c r="A481" s="96" t="s">
        <v>395</v>
      </c>
      <c r="B481" s="97" t="s">
        <v>1933</v>
      </c>
      <c r="C481" s="97" t="s">
        <v>1934</v>
      </c>
      <c r="D481" s="97" t="s">
        <v>1191</v>
      </c>
      <c r="E481" s="97" t="s">
        <v>1050</v>
      </c>
      <c r="F481" s="97" t="b">
        <v>1</v>
      </c>
      <c r="G481" s="97" t="b">
        <v>1</v>
      </c>
      <c r="H481" s="98">
        <f>IF(A481:A2055="", "", COUNTIF(Check!H:H, A480:A2055))</f>
        <v>1</v>
      </c>
      <c r="I481" s="98"/>
      <c r="J481" s="98"/>
      <c r="K481" s="103" t="s">
        <v>674</v>
      </c>
      <c r="L481" s="112">
        <f t="shared" ref="L481:L482" si="3">COUNTIFS($D$2:$D$1039, K481, $F$2:$F$1039, TRUE)</f>
        <v>5</v>
      </c>
      <c r="M481" s="100" t="s">
        <v>802</v>
      </c>
      <c r="N481" s="101">
        <f t="shared" ref="N481:N482" si="4">COUNTIFS($E$2:$E$1039, M481, $F$2:$F$1039, TRUE)</f>
        <v>0</v>
      </c>
      <c r="O481" s="98"/>
      <c r="P481" s="98"/>
      <c r="Q481" s="98"/>
    </row>
    <row r="482">
      <c r="A482" s="96" t="s">
        <v>550</v>
      </c>
      <c r="B482" s="97" t="s">
        <v>1933</v>
      </c>
      <c r="C482" s="97" t="s">
        <v>1935</v>
      </c>
      <c r="D482" s="97" t="s">
        <v>773</v>
      </c>
      <c r="E482" s="97" t="s">
        <v>697</v>
      </c>
      <c r="F482" s="97" t="b">
        <v>1</v>
      </c>
      <c r="G482" s="97" t="b">
        <v>1</v>
      </c>
      <c r="H482" s="98">
        <f>IF(A482:A2055="", "", COUNTIF(Check!H:H, A481:A2055))</f>
        <v>1</v>
      </c>
      <c r="I482" s="98"/>
      <c r="J482" s="98"/>
      <c r="K482" s="100" t="s">
        <v>615</v>
      </c>
      <c r="L482" s="101">
        <f t="shared" si="3"/>
        <v>7</v>
      </c>
      <c r="M482" s="100" t="s">
        <v>1847</v>
      </c>
      <c r="N482" s="101">
        <f t="shared" si="4"/>
        <v>0</v>
      </c>
      <c r="O482" s="98"/>
      <c r="P482" s="98"/>
      <c r="Q482" s="98"/>
    </row>
    <row r="483">
      <c r="A483" s="96" t="s">
        <v>505</v>
      </c>
      <c r="B483" s="97" t="s">
        <v>1936</v>
      </c>
      <c r="C483" s="97" t="s">
        <v>1937</v>
      </c>
      <c r="D483" s="97" t="s">
        <v>904</v>
      </c>
      <c r="E483" s="97" t="s">
        <v>688</v>
      </c>
      <c r="F483" s="97" t="b">
        <v>1</v>
      </c>
      <c r="G483" s="97" t="b">
        <v>1</v>
      </c>
      <c r="H483" s="98">
        <f>IF(A483:A2055="", "", COUNTIF(Check!H:H, A482:A2055))</f>
        <v>1</v>
      </c>
      <c r="I483" s="98"/>
      <c r="J483" s="98"/>
      <c r="K483" s="99"/>
      <c r="L483" s="99"/>
      <c r="M483" s="102"/>
      <c r="N483" s="102"/>
      <c r="O483" s="98"/>
      <c r="P483" s="98"/>
      <c r="Q483" s="98"/>
    </row>
    <row r="484">
      <c r="A484" s="96" t="s">
        <v>532</v>
      </c>
      <c r="B484" s="97" t="s">
        <v>1938</v>
      </c>
      <c r="C484" s="97" t="s">
        <v>1939</v>
      </c>
      <c r="D484" s="97" t="s">
        <v>1127</v>
      </c>
      <c r="E484" s="97" t="s">
        <v>697</v>
      </c>
      <c r="F484" s="97" t="b">
        <v>0</v>
      </c>
      <c r="G484" s="97" t="b">
        <v>0</v>
      </c>
      <c r="H484" s="98"/>
      <c r="I484" s="98"/>
      <c r="J484" s="98"/>
      <c r="K484" s="100" t="s">
        <v>877</v>
      </c>
      <c r="L484" s="101">
        <f t="shared" ref="L484:L485" si="5">COUNTIFS($D$2:$D$1039, K484, $F$2:$F$1039, TRUE)</f>
        <v>2</v>
      </c>
      <c r="M484" s="108" t="s">
        <v>693</v>
      </c>
      <c r="N484" s="109">
        <f t="shared" ref="N484:N485" si="6">COUNTIFS($E$2:$E$1039, M484, $F$2:$F$1039, TRUE)</f>
        <v>0</v>
      </c>
      <c r="O484" s="98"/>
      <c r="P484" s="98"/>
      <c r="Q484" s="98"/>
    </row>
    <row r="485">
      <c r="A485" s="96" t="s">
        <v>279</v>
      </c>
      <c r="B485" s="97" t="s">
        <v>1940</v>
      </c>
      <c r="C485" s="97" t="s">
        <v>1941</v>
      </c>
      <c r="D485" s="97" t="s">
        <v>792</v>
      </c>
      <c r="E485" s="97" t="s">
        <v>697</v>
      </c>
      <c r="F485" s="97" t="b">
        <v>1</v>
      </c>
      <c r="G485" s="97" t="b">
        <v>1</v>
      </c>
      <c r="H485" s="98">
        <f>IF(A485:A2055="", "", COUNTIF(Check!H:H, A484:A2055))</f>
        <v>1</v>
      </c>
      <c r="I485" s="98"/>
      <c r="J485" s="98"/>
      <c r="K485" s="100" t="s">
        <v>826</v>
      </c>
      <c r="L485" s="107">
        <f t="shared" si="5"/>
        <v>3</v>
      </c>
      <c r="M485" s="100" t="s">
        <v>1105</v>
      </c>
      <c r="N485" s="101">
        <f t="shared" si="6"/>
        <v>0</v>
      </c>
      <c r="O485" s="98"/>
      <c r="P485" s="98"/>
      <c r="Q485" s="98"/>
    </row>
    <row r="486">
      <c r="A486" s="96" t="s">
        <v>183</v>
      </c>
      <c r="B486" s="97" t="s">
        <v>1942</v>
      </c>
      <c r="C486" s="97" t="s">
        <v>1943</v>
      </c>
      <c r="D486" s="97" t="s">
        <v>1479</v>
      </c>
      <c r="E486" s="97" t="s">
        <v>620</v>
      </c>
      <c r="F486" s="97" t="b">
        <v>1</v>
      </c>
      <c r="G486" s="97" t="b">
        <v>1</v>
      </c>
      <c r="H486" s="98">
        <f>IF(A486:A2055="", "", COUNTIF(Check!H:H, A485:A2055))</f>
        <v>1</v>
      </c>
      <c r="I486" s="98"/>
      <c r="J486" s="98"/>
      <c r="K486" s="102"/>
      <c r="L486" s="102"/>
      <c r="M486" s="102"/>
      <c r="N486" s="102"/>
      <c r="O486" s="98"/>
      <c r="P486" s="98"/>
      <c r="Q486" s="98"/>
    </row>
    <row r="487">
      <c r="A487" s="96" t="s">
        <v>1944</v>
      </c>
      <c r="B487" s="97" t="s">
        <v>1945</v>
      </c>
      <c r="C487" s="97" t="s">
        <v>1946</v>
      </c>
      <c r="D487" s="97" t="s">
        <v>801</v>
      </c>
      <c r="E487" s="97" t="s">
        <v>789</v>
      </c>
      <c r="F487" s="97" t="b">
        <v>0</v>
      </c>
      <c r="G487" s="97" t="b">
        <v>0</v>
      </c>
      <c r="H487" s="98"/>
      <c r="I487" s="98"/>
      <c r="J487" s="98"/>
      <c r="K487" s="102"/>
      <c r="L487" s="102"/>
      <c r="M487" s="100"/>
      <c r="N487" s="101"/>
      <c r="O487" s="98"/>
      <c r="P487" s="98"/>
      <c r="Q487" s="98"/>
    </row>
    <row r="488">
      <c r="A488" s="96" t="s">
        <v>1947</v>
      </c>
      <c r="B488" s="97" t="s">
        <v>1948</v>
      </c>
      <c r="C488" s="97" t="s">
        <v>1949</v>
      </c>
      <c r="D488" s="97" t="s">
        <v>1417</v>
      </c>
      <c r="E488" s="97" t="s">
        <v>1950</v>
      </c>
      <c r="F488" s="97" t="b">
        <v>0</v>
      </c>
      <c r="G488" s="97" t="b">
        <v>0</v>
      </c>
      <c r="H488" s="98"/>
      <c r="I488" s="98"/>
      <c r="J488" s="98"/>
      <c r="K488" s="100" t="s">
        <v>655</v>
      </c>
      <c r="L488" s="107">
        <f>COUNTIFS($D$2:$D$1039, K488, $F$2:$F$1039, TRUE)</f>
        <v>3</v>
      </c>
      <c r="M488" s="102"/>
      <c r="N488" s="102"/>
      <c r="O488" s="98"/>
      <c r="P488" s="98"/>
      <c r="Q488" s="98"/>
    </row>
    <row r="489">
      <c r="A489" s="96" t="s">
        <v>271</v>
      </c>
      <c r="B489" s="97" t="s">
        <v>1951</v>
      </c>
      <c r="C489" s="97" t="s">
        <v>1952</v>
      </c>
      <c r="D489" s="97" t="s">
        <v>854</v>
      </c>
      <c r="E489" s="97" t="s">
        <v>590</v>
      </c>
      <c r="F489" s="97" t="b">
        <v>1</v>
      </c>
      <c r="G489" s="97" t="b">
        <v>1</v>
      </c>
      <c r="H489" s="98">
        <f>IF(A489:A2055="", "", COUNTIF(Check!H:H, A488:A2055))</f>
        <v>1</v>
      </c>
      <c r="I489" s="98"/>
      <c r="J489" s="98"/>
      <c r="K489" s="99"/>
      <c r="L489" s="99"/>
      <c r="M489" s="102"/>
      <c r="N489" s="102"/>
      <c r="O489" s="98"/>
      <c r="P489" s="98"/>
      <c r="Q489" s="98"/>
    </row>
    <row r="490">
      <c r="A490" s="96" t="s">
        <v>1953</v>
      </c>
      <c r="B490" s="97" t="s">
        <v>1951</v>
      </c>
      <c r="C490" s="97" t="s">
        <v>1954</v>
      </c>
      <c r="D490" s="97" t="s">
        <v>972</v>
      </c>
      <c r="E490" s="97" t="s">
        <v>830</v>
      </c>
      <c r="F490" s="97" t="b">
        <v>0</v>
      </c>
      <c r="G490" s="97" t="b">
        <v>0</v>
      </c>
      <c r="H490" s="98"/>
      <c r="I490" s="98"/>
      <c r="J490" s="98"/>
      <c r="K490" s="108"/>
      <c r="L490" s="110"/>
      <c r="M490" s="108"/>
      <c r="N490" s="109"/>
      <c r="O490" s="98"/>
      <c r="P490" s="98"/>
      <c r="Q490" s="98"/>
    </row>
    <row r="491">
      <c r="A491" s="96" t="s">
        <v>1955</v>
      </c>
      <c r="B491" s="97" t="s">
        <v>1951</v>
      </c>
      <c r="C491" s="97" t="s">
        <v>1956</v>
      </c>
      <c r="D491" s="97" t="s">
        <v>667</v>
      </c>
      <c r="E491" s="97" t="s">
        <v>727</v>
      </c>
      <c r="F491" s="97" t="b">
        <v>0</v>
      </c>
      <c r="G491" s="97" t="b">
        <v>0</v>
      </c>
      <c r="H491" s="98"/>
      <c r="I491" s="98"/>
      <c r="J491" s="98"/>
      <c r="K491" s="99"/>
      <c r="L491" s="99"/>
      <c r="M491" s="102"/>
      <c r="N491" s="102"/>
      <c r="O491" s="98"/>
      <c r="P491" s="98"/>
      <c r="Q491" s="98"/>
    </row>
    <row r="492">
      <c r="A492" s="96" t="s">
        <v>518</v>
      </c>
      <c r="B492" s="97" t="s">
        <v>1957</v>
      </c>
      <c r="C492" s="97" t="s">
        <v>1958</v>
      </c>
      <c r="D492" s="97" t="s">
        <v>1230</v>
      </c>
      <c r="E492" s="97" t="s">
        <v>644</v>
      </c>
      <c r="F492" s="97" t="b">
        <v>1</v>
      </c>
      <c r="G492" s="97" t="b">
        <v>1</v>
      </c>
      <c r="H492" s="98">
        <f>IF(A492:A2055="", "", COUNTIF(Check!H:H, A491:A2055))</f>
        <v>1</v>
      </c>
      <c r="I492" s="98"/>
      <c r="J492" s="98"/>
      <c r="K492" s="99"/>
      <c r="L492" s="99"/>
      <c r="M492" s="102"/>
      <c r="N492" s="102"/>
      <c r="O492" s="98"/>
      <c r="P492" s="98"/>
      <c r="Q492" s="98"/>
    </row>
    <row r="493">
      <c r="A493" s="96" t="s">
        <v>1959</v>
      </c>
      <c r="B493" s="97" t="s">
        <v>1960</v>
      </c>
      <c r="C493" s="97" t="s">
        <v>1961</v>
      </c>
      <c r="D493" s="97" t="s">
        <v>814</v>
      </c>
      <c r="E493" s="97" t="s">
        <v>630</v>
      </c>
      <c r="F493" s="97" t="b">
        <v>0</v>
      </c>
      <c r="G493" s="97" t="b">
        <v>0</v>
      </c>
      <c r="H493" s="98"/>
      <c r="I493" s="98"/>
      <c r="J493" s="98"/>
      <c r="K493" s="99"/>
      <c r="L493" s="99"/>
      <c r="M493" s="103"/>
      <c r="N493" s="104"/>
      <c r="O493" s="106"/>
      <c r="P493" s="106"/>
      <c r="Q493" s="98"/>
    </row>
    <row r="494">
      <c r="A494" s="96" t="s">
        <v>1962</v>
      </c>
      <c r="B494" s="97" t="s">
        <v>1963</v>
      </c>
      <c r="C494" s="97" t="s">
        <v>1964</v>
      </c>
      <c r="D494" s="97" t="s">
        <v>740</v>
      </c>
      <c r="E494" s="97" t="s">
        <v>630</v>
      </c>
      <c r="F494" s="97" t="b">
        <v>0</v>
      </c>
      <c r="G494" s="97" t="b">
        <v>0</v>
      </c>
      <c r="H494" s="98"/>
      <c r="I494" s="98"/>
      <c r="J494" s="98"/>
      <c r="K494" s="99"/>
      <c r="L494" s="99"/>
      <c r="M494" s="100"/>
      <c r="N494" s="101"/>
      <c r="O494" s="98"/>
      <c r="P494" s="98"/>
      <c r="Q494" s="98"/>
    </row>
    <row r="495">
      <c r="A495" s="96" t="s">
        <v>1965</v>
      </c>
      <c r="B495" s="97" t="s">
        <v>1966</v>
      </c>
      <c r="C495" s="97" t="s">
        <v>1967</v>
      </c>
      <c r="D495" s="97" t="s">
        <v>1177</v>
      </c>
      <c r="E495" s="97" t="s">
        <v>582</v>
      </c>
      <c r="F495" s="97" t="b">
        <v>0</v>
      </c>
      <c r="G495" s="97" t="b">
        <v>0</v>
      </c>
      <c r="H495" s="98"/>
      <c r="I495" s="98"/>
      <c r="J495" s="98"/>
      <c r="K495" s="99"/>
      <c r="L495" s="99"/>
      <c r="M495" s="100"/>
      <c r="N495" s="101"/>
      <c r="O495" s="98"/>
      <c r="P495" s="98"/>
      <c r="Q495" s="98"/>
    </row>
    <row r="496">
      <c r="A496" s="96" t="s">
        <v>1965</v>
      </c>
      <c r="B496" s="97" t="s">
        <v>1966</v>
      </c>
      <c r="C496" s="97" t="s">
        <v>1967</v>
      </c>
      <c r="D496" s="97" t="s">
        <v>1177</v>
      </c>
      <c r="E496" s="97" t="s">
        <v>582</v>
      </c>
      <c r="F496" s="97" t="b">
        <v>0</v>
      </c>
      <c r="G496" s="97" t="b">
        <v>0</v>
      </c>
      <c r="H496" s="98"/>
      <c r="I496" s="98"/>
      <c r="J496" s="98"/>
      <c r="K496" s="99"/>
      <c r="L496" s="99"/>
      <c r="M496" s="100"/>
      <c r="N496" s="101"/>
      <c r="O496" s="98"/>
      <c r="P496" s="98"/>
      <c r="Q496" s="98"/>
    </row>
    <row r="497">
      <c r="A497" s="96" t="s">
        <v>1968</v>
      </c>
      <c r="B497" s="97" t="s">
        <v>1969</v>
      </c>
      <c r="C497" s="97" t="s">
        <v>1970</v>
      </c>
      <c r="D497" s="97" t="s">
        <v>847</v>
      </c>
      <c r="E497" s="97" t="s">
        <v>711</v>
      </c>
      <c r="F497" s="97" t="b">
        <v>0</v>
      </c>
      <c r="G497" s="97" t="b">
        <v>0</v>
      </c>
      <c r="H497" s="98"/>
      <c r="I497" s="98"/>
      <c r="J497" s="98"/>
      <c r="K497" s="99"/>
      <c r="L497" s="99"/>
      <c r="M497" s="102"/>
      <c r="N497" s="102"/>
      <c r="O497" s="98"/>
      <c r="P497" s="98"/>
      <c r="Q497" s="98"/>
    </row>
    <row r="498">
      <c r="A498" s="96" t="s">
        <v>1971</v>
      </c>
      <c r="B498" s="97" t="s">
        <v>1972</v>
      </c>
      <c r="C498" s="97" t="s">
        <v>1973</v>
      </c>
      <c r="D498" s="97" t="s">
        <v>619</v>
      </c>
      <c r="E498" s="97" t="s">
        <v>586</v>
      </c>
      <c r="F498" s="97" t="b">
        <v>0</v>
      </c>
      <c r="G498" s="97" t="b">
        <v>0</v>
      </c>
      <c r="H498" s="98"/>
      <c r="I498" s="98"/>
      <c r="J498" s="98"/>
      <c r="K498" s="99"/>
      <c r="L498" s="99"/>
      <c r="M498" s="102"/>
      <c r="N498" s="102"/>
      <c r="O498" s="98"/>
      <c r="P498" s="98"/>
      <c r="Q498" s="98"/>
    </row>
    <row r="499">
      <c r="A499" s="96" t="s">
        <v>1974</v>
      </c>
      <c r="B499" s="97" t="s">
        <v>1975</v>
      </c>
      <c r="C499" s="97" t="s">
        <v>1976</v>
      </c>
      <c r="D499" s="97" t="s">
        <v>792</v>
      </c>
      <c r="E499" s="97" t="s">
        <v>685</v>
      </c>
      <c r="F499" s="97" t="b">
        <v>0</v>
      </c>
      <c r="G499" s="97" t="b">
        <v>0</v>
      </c>
      <c r="H499" s="98"/>
      <c r="I499" s="98"/>
      <c r="J499" s="98"/>
      <c r="K499" s="99"/>
      <c r="L499" s="99"/>
      <c r="M499" s="100"/>
      <c r="N499" s="101"/>
      <c r="O499" s="98"/>
      <c r="P499" s="98"/>
      <c r="Q499" s="98"/>
    </row>
    <row r="500">
      <c r="A500" s="96" t="s">
        <v>474</v>
      </c>
      <c r="B500" s="97" t="s">
        <v>1977</v>
      </c>
      <c r="C500" s="97" t="s">
        <v>1978</v>
      </c>
      <c r="D500" s="97" t="s">
        <v>904</v>
      </c>
      <c r="E500" s="97" t="s">
        <v>895</v>
      </c>
      <c r="F500" s="97" t="b">
        <v>1</v>
      </c>
      <c r="G500" s="97" t="b">
        <v>1</v>
      </c>
      <c r="H500" s="98">
        <f>IF(A500:A2055="", "", COUNTIF(Check!H:H, A499:A2055))</f>
        <v>1</v>
      </c>
      <c r="I500" s="98"/>
      <c r="J500" s="98"/>
      <c r="K500" s="99"/>
      <c r="L500" s="99"/>
      <c r="M500" s="102"/>
      <c r="N500" s="102"/>
      <c r="O500" s="98"/>
      <c r="P500" s="98"/>
      <c r="Q500" s="98"/>
    </row>
    <row r="501">
      <c r="A501" s="96" t="s">
        <v>272</v>
      </c>
      <c r="B501" s="97" t="s">
        <v>1979</v>
      </c>
      <c r="C501" s="97" t="s">
        <v>1980</v>
      </c>
      <c r="D501" s="97" t="s">
        <v>878</v>
      </c>
      <c r="E501" s="97" t="s">
        <v>590</v>
      </c>
      <c r="F501" s="97" t="b">
        <v>1</v>
      </c>
      <c r="G501" s="97" t="b">
        <v>1</v>
      </c>
      <c r="H501" s="98">
        <f>IF(A501:A2055="", "", COUNTIF(Check!H:H, A500:A2055))</f>
        <v>1</v>
      </c>
      <c r="I501" s="98"/>
      <c r="K501" s="99"/>
      <c r="L501" s="99"/>
      <c r="M501" s="102"/>
      <c r="N501" s="102"/>
      <c r="O501" s="98"/>
      <c r="P501" s="98"/>
      <c r="Q501" s="98"/>
    </row>
    <row r="502">
      <c r="A502" s="96" t="s">
        <v>1981</v>
      </c>
      <c r="B502" s="97" t="s">
        <v>1982</v>
      </c>
      <c r="C502" s="97" t="s">
        <v>1983</v>
      </c>
      <c r="D502" s="97" t="s">
        <v>1108</v>
      </c>
      <c r="E502" s="97" t="s">
        <v>767</v>
      </c>
      <c r="F502" s="97" t="b">
        <v>0</v>
      </c>
      <c r="G502" s="97" t="b">
        <v>0</v>
      </c>
      <c r="H502" s="98"/>
      <c r="I502" s="98"/>
      <c r="J502" s="98"/>
      <c r="K502" s="99"/>
      <c r="L502" s="99"/>
      <c r="M502" s="102"/>
      <c r="N502" s="102"/>
      <c r="O502" s="98"/>
      <c r="P502" s="98"/>
      <c r="Q502" s="98"/>
    </row>
    <row r="503">
      <c r="A503" s="96" t="s">
        <v>1984</v>
      </c>
      <c r="B503" s="97" t="s">
        <v>1982</v>
      </c>
      <c r="C503" s="97" t="s">
        <v>1985</v>
      </c>
      <c r="D503" s="97" t="s">
        <v>972</v>
      </c>
      <c r="E503" s="97" t="s">
        <v>830</v>
      </c>
      <c r="F503" s="97" t="b">
        <v>0</v>
      </c>
      <c r="G503" s="97" t="b">
        <v>0</v>
      </c>
      <c r="H503" s="98"/>
      <c r="I503" s="98"/>
      <c r="J503" s="98"/>
      <c r="K503" s="108"/>
      <c r="L503" s="110"/>
      <c r="M503" s="108"/>
      <c r="N503" s="109"/>
      <c r="O503" s="98"/>
      <c r="P503" s="98"/>
      <c r="Q503" s="98"/>
    </row>
    <row r="504">
      <c r="A504" s="96" t="s">
        <v>1986</v>
      </c>
      <c r="B504" s="97" t="s">
        <v>1987</v>
      </c>
      <c r="C504" s="97" t="s">
        <v>1988</v>
      </c>
      <c r="D504" s="97" t="s">
        <v>776</v>
      </c>
      <c r="E504" s="97" t="s">
        <v>1150</v>
      </c>
      <c r="F504" s="97" t="b">
        <v>0</v>
      </c>
      <c r="G504" s="97" t="b">
        <v>0</v>
      </c>
      <c r="H504" s="98"/>
      <c r="I504" s="98"/>
      <c r="J504" s="98"/>
      <c r="K504" s="99"/>
      <c r="L504" s="99"/>
      <c r="M504" s="102"/>
      <c r="N504" s="102"/>
      <c r="O504" s="98"/>
      <c r="P504" s="98"/>
      <c r="Q504" s="98"/>
    </row>
    <row r="505">
      <c r="A505" s="96" t="s">
        <v>1989</v>
      </c>
      <c r="B505" s="97" t="s">
        <v>1990</v>
      </c>
      <c r="C505" s="97" t="s">
        <v>1991</v>
      </c>
      <c r="D505" s="97" t="s">
        <v>844</v>
      </c>
      <c r="E505" s="97" t="s">
        <v>722</v>
      </c>
      <c r="F505" s="97" t="b">
        <v>0</v>
      </c>
      <c r="G505" s="97" t="b">
        <v>0</v>
      </c>
      <c r="H505" s="98"/>
      <c r="I505" s="98"/>
      <c r="J505" s="98"/>
      <c r="K505" s="102"/>
      <c r="L505" s="102"/>
      <c r="M505" s="100"/>
      <c r="N505" s="101"/>
      <c r="O505" s="98"/>
      <c r="P505" s="98"/>
      <c r="Q505" s="98"/>
    </row>
    <row r="506">
      <c r="A506" s="96" t="s">
        <v>317</v>
      </c>
      <c r="B506" s="97" t="s">
        <v>1992</v>
      </c>
      <c r="C506" s="97" t="s">
        <v>1993</v>
      </c>
      <c r="D506" s="97" t="s">
        <v>674</v>
      </c>
      <c r="E506" s="97" t="s">
        <v>830</v>
      </c>
      <c r="F506" s="97" t="b">
        <v>1</v>
      </c>
      <c r="G506" s="97" t="b">
        <v>1</v>
      </c>
      <c r="H506" s="98">
        <f>IF(A506:A2055="", "", COUNTIF(Check!H:H, A505:A2055))</f>
        <v>1</v>
      </c>
      <c r="I506" s="98"/>
      <c r="J506" s="98"/>
      <c r="K506" s="100"/>
      <c r="L506" s="101"/>
      <c r="M506" s="100"/>
      <c r="N506" s="101"/>
      <c r="O506" s="98"/>
      <c r="P506" s="98"/>
      <c r="Q506" s="98"/>
    </row>
    <row r="507">
      <c r="A507" s="96" t="s">
        <v>1994</v>
      </c>
      <c r="B507" s="97" t="s">
        <v>1995</v>
      </c>
      <c r="C507" s="97" t="s">
        <v>1996</v>
      </c>
      <c r="D507" s="97" t="s">
        <v>1177</v>
      </c>
      <c r="E507" s="97" t="s">
        <v>688</v>
      </c>
      <c r="F507" s="97" t="b">
        <v>0</v>
      </c>
      <c r="G507" s="97" t="b">
        <v>0</v>
      </c>
      <c r="H507" s="98"/>
      <c r="I507" s="98"/>
      <c r="J507" s="98"/>
      <c r="K507" s="99"/>
      <c r="L507" s="99"/>
      <c r="M507" s="102"/>
      <c r="N507" s="102"/>
      <c r="O507" s="98"/>
      <c r="P507" s="98"/>
      <c r="Q507" s="98"/>
    </row>
    <row r="508">
      <c r="A508" s="96" t="s">
        <v>66</v>
      </c>
      <c r="B508" s="97" t="s">
        <v>1997</v>
      </c>
      <c r="C508" s="97" t="s">
        <v>1998</v>
      </c>
      <c r="D508" s="97" t="s">
        <v>740</v>
      </c>
      <c r="E508" s="97" t="s">
        <v>727</v>
      </c>
      <c r="F508" s="97" t="b">
        <v>1</v>
      </c>
      <c r="G508" s="97" t="b">
        <v>1</v>
      </c>
      <c r="H508" s="98">
        <f>IF(A508:A2055="", "", COUNTIF(Check!H:H, A507:A2055))</f>
        <v>1</v>
      </c>
      <c r="I508" s="98"/>
      <c r="J508" s="98"/>
      <c r="K508" s="99"/>
      <c r="L508" s="99"/>
      <c r="M508" s="108"/>
      <c r="N508" s="109"/>
      <c r="O508" s="98"/>
      <c r="P508" s="98"/>
      <c r="Q508" s="98"/>
    </row>
    <row r="509">
      <c r="A509" s="96" t="s">
        <v>238</v>
      </c>
      <c r="B509" s="97" t="s">
        <v>1999</v>
      </c>
      <c r="C509" s="97" t="s">
        <v>2000</v>
      </c>
      <c r="D509" s="97" t="s">
        <v>801</v>
      </c>
      <c r="E509" s="97" t="s">
        <v>722</v>
      </c>
      <c r="F509" s="97" t="b">
        <v>1</v>
      </c>
      <c r="G509" s="97" t="b">
        <v>1</v>
      </c>
      <c r="H509" s="98">
        <f>IF(A509:A2055="", "", COUNTIF(Check!H:H, A508:A2055))</f>
        <v>1</v>
      </c>
      <c r="I509" s="98"/>
      <c r="J509" s="98"/>
      <c r="K509" s="102"/>
      <c r="L509" s="102"/>
      <c r="M509" s="100"/>
      <c r="N509" s="101"/>
      <c r="O509" s="98"/>
      <c r="P509" s="98"/>
      <c r="Q509" s="98"/>
    </row>
    <row r="510">
      <c r="A510" s="96" t="s">
        <v>2001</v>
      </c>
      <c r="B510" s="97" t="s">
        <v>2002</v>
      </c>
      <c r="C510" s="97" t="s">
        <v>2003</v>
      </c>
      <c r="D510" s="97" t="s">
        <v>792</v>
      </c>
      <c r="E510" s="97" t="s">
        <v>830</v>
      </c>
      <c r="F510" s="97" t="b">
        <v>0</v>
      </c>
      <c r="G510" s="97" t="b">
        <v>0</v>
      </c>
      <c r="H510" s="98"/>
      <c r="I510" s="98"/>
      <c r="J510" s="98"/>
      <c r="K510" s="100"/>
      <c r="L510" s="101"/>
      <c r="M510" s="100"/>
      <c r="N510" s="101"/>
      <c r="O510" s="98"/>
      <c r="P510" s="98"/>
      <c r="Q510" s="98"/>
    </row>
    <row r="511">
      <c r="A511" s="96" t="s">
        <v>276</v>
      </c>
      <c r="B511" s="97" t="s">
        <v>2004</v>
      </c>
      <c r="C511" s="97" t="s">
        <v>2005</v>
      </c>
      <c r="D511" s="97" t="s">
        <v>985</v>
      </c>
      <c r="E511" s="97" t="s">
        <v>685</v>
      </c>
      <c r="F511" s="97" t="b">
        <v>1</v>
      </c>
      <c r="G511" s="97" t="b">
        <v>1</v>
      </c>
      <c r="H511" s="98">
        <f>IF(A511:A2055="", "", COUNTIF(Check!H:H, A510:A2055))</f>
        <v>1</v>
      </c>
      <c r="I511" s="98"/>
      <c r="J511" s="98"/>
      <c r="K511" s="99"/>
      <c r="L511" s="99"/>
      <c r="M511" s="102"/>
      <c r="N511" s="102"/>
      <c r="O511" s="98"/>
      <c r="P511" s="98"/>
      <c r="Q511" s="98"/>
    </row>
    <row r="512">
      <c r="A512" s="96" t="s">
        <v>2006</v>
      </c>
      <c r="B512" s="97" t="s">
        <v>2007</v>
      </c>
      <c r="C512" s="97" t="s">
        <v>2008</v>
      </c>
      <c r="D512" s="97" t="s">
        <v>698</v>
      </c>
      <c r="E512" s="97" t="s">
        <v>733</v>
      </c>
      <c r="F512" s="97" t="b">
        <v>0</v>
      </c>
      <c r="G512" s="97" t="b">
        <v>0</v>
      </c>
      <c r="H512" s="98"/>
      <c r="I512" s="98"/>
      <c r="J512" s="98"/>
      <c r="K512" s="100"/>
      <c r="L512" s="107"/>
      <c r="M512" s="100"/>
      <c r="N512" s="101"/>
      <c r="O512" s="98"/>
      <c r="P512" s="98"/>
      <c r="Q512" s="98"/>
    </row>
    <row r="513">
      <c r="A513" s="96" t="s">
        <v>233</v>
      </c>
      <c r="B513" s="97" t="s">
        <v>2009</v>
      </c>
      <c r="C513" s="97" t="s">
        <v>2010</v>
      </c>
      <c r="D513" s="97"/>
      <c r="E513" s="97"/>
      <c r="F513" s="97" t="b">
        <v>1</v>
      </c>
      <c r="G513" s="97" t="b">
        <v>1</v>
      </c>
      <c r="H513" s="98">
        <f>IF(A513:A2055="", "", COUNTIF(Check!H:H, A512:A2055))</f>
        <v>1</v>
      </c>
      <c r="I513" s="98"/>
      <c r="J513" s="98"/>
      <c r="K513" s="102"/>
      <c r="L513" s="102"/>
      <c r="M513" s="102"/>
      <c r="N513" s="102"/>
      <c r="O513" s="98"/>
      <c r="P513" s="98"/>
      <c r="Q513" s="98"/>
    </row>
    <row r="514">
      <c r="A514" s="96" t="s">
        <v>2011</v>
      </c>
      <c r="B514" s="97" t="s">
        <v>2012</v>
      </c>
      <c r="C514" s="97" t="s">
        <v>2013</v>
      </c>
      <c r="D514" s="97" t="s">
        <v>1177</v>
      </c>
      <c r="E514" s="97" t="s">
        <v>789</v>
      </c>
      <c r="F514" s="97" t="b">
        <v>0</v>
      </c>
      <c r="G514" s="97" t="b">
        <v>0</v>
      </c>
      <c r="H514" s="98"/>
      <c r="I514" s="98"/>
      <c r="J514" s="98"/>
      <c r="K514" s="102"/>
      <c r="L514" s="102"/>
      <c r="M514" s="100"/>
      <c r="N514" s="101"/>
      <c r="O514" s="98"/>
      <c r="P514" s="98"/>
      <c r="Q514" s="98"/>
    </row>
    <row r="515">
      <c r="A515" s="96" t="s">
        <v>389</v>
      </c>
      <c r="B515" s="97" t="s">
        <v>2014</v>
      </c>
      <c r="C515" s="97" t="s">
        <v>2015</v>
      </c>
      <c r="D515" s="97" t="s">
        <v>732</v>
      </c>
      <c r="E515" s="97" t="s">
        <v>1050</v>
      </c>
      <c r="F515" s="97" t="b">
        <v>1</v>
      </c>
      <c r="G515" s="97" t="b">
        <v>1</v>
      </c>
      <c r="H515" s="98">
        <f>IF(A515:A2055="", "", COUNTIF(Check!H:H, A514:A2055))</f>
        <v>1</v>
      </c>
      <c r="I515" s="98"/>
      <c r="J515" s="98"/>
      <c r="K515" s="108" t="s">
        <v>1500</v>
      </c>
      <c r="L515" s="110">
        <f>COUNTIFS($D$2:$D$1039, K515, $F$2:$F$1039, TRUE)</f>
        <v>4</v>
      </c>
      <c r="M515" s="100" t="s">
        <v>607</v>
      </c>
      <c r="N515" s="101">
        <f>COUNTIFS($E$2:$E$1039, M515, $F$2:$F$1039, TRUE)</f>
        <v>18</v>
      </c>
      <c r="O515" s="98"/>
      <c r="P515" s="98"/>
      <c r="Q515" s="98"/>
    </row>
    <row r="516">
      <c r="A516" s="96" t="s">
        <v>2016</v>
      </c>
      <c r="B516" s="97" t="s">
        <v>2017</v>
      </c>
      <c r="C516" s="97" t="s">
        <v>2018</v>
      </c>
      <c r="D516" s="97" t="s">
        <v>1479</v>
      </c>
      <c r="E516" s="97" t="s">
        <v>644</v>
      </c>
      <c r="F516" s="97" t="b">
        <v>0</v>
      </c>
      <c r="G516" s="97" t="b">
        <v>0</v>
      </c>
      <c r="H516" s="98"/>
      <c r="I516" s="98"/>
      <c r="J516" s="98"/>
      <c r="K516" s="99"/>
      <c r="L516" s="99"/>
      <c r="M516" s="102"/>
      <c r="N516" s="102"/>
      <c r="O516" s="98"/>
      <c r="P516" s="98"/>
      <c r="Q516" s="98"/>
    </row>
    <row r="517">
      <c r="A517" s="96" t="s">
        <v>328</v>
      </c>
      <c r="B517" s="97" t="s">
        <v>2019</v>
      </c>
      <c r="C517" s="97" t="s">
        <v>2020</v>
      </c>
      <c r="D517" s="97" t="s">
        <v>747</v>
      </c>
      <c r="E517" s="97" t="s">
        <v>767</v>
      </c>
      <c r="F517" s="97" t="b">
        <v>1</v>
      </c>
      <c r="G517" s="97" t="b">
        <v>1</v>
      </c>
      <c r="H517" s="98">
        <f>IF(A517:A2055="", "", COUNTIF(Check!H:H, A516:A2055))</f>
        <v>1</v>
      </c>
      <c r="I517" s="98"/>
      <c r="J517" s="98"/>
      <c r="K517" s="100"/>
      <c r="L517" s="101"/>
      <c r="M517" s="100"/>
      <c r="N517" s="101"/>
      <c r="O517" s="98"/>
      <c r="P517" s="98"/>
      <c r="Q517" s="98"/>
    </row>
    <row r="518">
      <c r="A518" s="96" t="s">
        <v>2021</v>
      </c>
      <c r="B518" s="97" t="s">
        <v>2022</v>
      </c>
      <c r="C518" s="97" t="s">
        <v>2023</v>
      </c>
      <c r="D518" s="97" t="s">
        <v>1500</v>
      </c>
      <c r="E518" s="97" t="s">
        <v>733</v>
      </c>
      <c r="F518" s="97" t="b">
        <v>0</v>
      </c>
      <c r="G518" s="97" t="b">
        <v>0</v>
      </c>
      <c r="H518" s="98"/>
      <c r="I518" s="98"/>
      <c r="J518" s="98"/>
      <c r="K518" s="100"/>
      <c r="L518" s="101"/>
      <c r="M518" s="100"/>
      <c r="N518" s="101"/>
      <c r="O518" s="98"/>
      <c r="P518" s="98"/>
      <c r="Q518" s="98"/>
    </row>
    <row r="519">
      <c r="A519" s="96" t="s">
        <v>476</v>
      </c>
      <c r="B519" s="97" t="s">
        <v>2024</v>
      </c>
      <c r="C519" s="97" t="s">
        <v>2025</v>
      </c>
      <c r="D519" s="97" t="s">
        <v>948</v>
      </c>
      <c r="E519" s="97" t="s">
        <v>607</v>
      </c>
      <c r="F519" s="97" t="b">
        <v>1</v>
      </c>
      <c r="G519" s="97" t="b">
        <v>1</v>
      </c>
      <c r="H519" s="98">
        <f>IF(A519:A2055="", "", COUNTIF(Check!H:H, A518:A2055))</f>
        <v>1</v>
      </c>
      <c r="I519" s="98"/>
      <c r="J519" s="98"/>
      <c r="K519" s="99"/>
      <c r="L519" s="99"/>
      <c r="M519" s="100"/>
      <c r="N519" s="101"/>
      <c r="O519" s="98"/>
      <c r="P519" s="98"/>
      <c r="Q519" s="98"/>
    </row>
    <row r="520">
      <c r="A520" s="96" t="s">
        <v>472</v>
      </c>
      <c r="B520" s="97" t="s">
        <v>2026</v>
      </c>
      <c r="C520" s="97" t="s">
        <v>2027</v>
      </c>
      <c r="D520" s="97" t="s">
        <v>1127</v>
      </c>
      <c r="E520" s="97" t="s">
        <v>789</v>
      </c>
      <c r="F520" s="97" t="b">
        <v>1</v>
      </c>
      <c r="G520" s="97" t="b">
        <v>1</v>
      </c>
      <c r="H520" s="98">
        <f>IF(A520:A2055="", "", COUNTIF(Check!H:H, A519:A2055))</f>
        <v>1</v>
      </c>
      <c r="I520" s="98"/>
      <c r="J520" s="98"/>
      <c r="K520" s="102"/>
      <c r="L520" s="102"/>
      <c r="M520" s="102"/>
      <c r="N520" s="102"/>
      <c r="O520" s="98"/>
      <c r="P520" s="98"/>
      <c r="Q520" s="98"/>
    </row>
    <row r="521">
      <c r="A521" s="96" t="s">
        <v>417</v>
      </c>
      <c r="B521" s="97" t="s">
        <v>2028</v>
      </c>
      <c r="C521" s="97" t="s">
        <v>2029</v>
      </c>
      <c r="D521" s="97" t="s">
        <v>648</v>
      </c>
      <c r="E521" s="97" t="s">
        <v>586</v>
      </c>
      <c r="F521" s="97" t="b">
        <v>1</v>
      </c>
      <c r="G521" s="97" t="b">
        <v>1</v>
      </c>
      <c r="H521" s="98">
        <f>IF(A521:A2055="", "", COUNTIF(Check!H:H, A520:A2055))</f>
        <v>1</v>
      </c>
      <c r="I521" s="98"/>
      <c r="J521" s="98"/>
      <c r="K521" s="99"/>
      <c r="L521" s="99"/>
      <c r="M521" s="102"/>
      <c r="N521" s="102"/>
      <c r="O521" s="98"/>
      <c r="P521" s="98"/>
      <c r="Q521" s="98"/>
    </row>
    <row r="522">
      <c r="A522" s="96" t="s">
        <v>172</v>
      </c>
      <c r="B522" s="97" t="s">
        <v>2030</v>
      </c>
      <c r="C522" s="97" t="s">
        <v>2031</v>
      </c>
      <c r="D522" s="97" t="s">
        <v>740</v>
      </c>
      <c r="E522" s="97" t="s">
        <v>663</v>
      </c>
      <c r="F522" s="97" t="b">
        <v>1</v>
      </c>
      <c r="G522" s="97" t="b">
        <v>1</v>
      </c>
      <c r="H522" s="98">
        <f>IF(A522:A2055="", "", COUNTIF(Check!H:H, A521:A2055))</f>
        <v>1</v>
      </c>
      <c r="I522" s="98"/>
      <c r="J522" s="98"/>
      <c r="K522" s="108"/>
      <c r="L522" s="109"/>
      <c r="M522" s="108"/>
      <c r="N522" s="109"/>
      <c r="O522" s="98"/>
      <c r="P522" s="98"/>
      <c r="Q522" s="98"/>
    </row>
    <row r="523">
      <c r="A523" s="96" t="s">
        <v>299</v>
      </c>
      <c r="B523" s="97" t="s">
        <v>2032</v>
      </c>
      <c r="C523" s="97" t="s">
        <v>2033</v>
      </c>
      <c r="D523" s="97" t="s">
        <v>847</v>
      </c>
      <c r="E523" s="97" t="s">
        <v>620</v>
      </c>
      <c r="F523" s="97" t="b">
        <v>1</v>
      </c>
      <c r="G523" s="97" t="b">
        <v>1</v>
      </c>
      <c r="H523" s="98">
        <f>IF(A523:A2055="", "", COUNTIF(Check!H:H, A522:A2055))</f>
        <v>1</v>
      </c>
      <c r="I523" s="98"/>
      <c r="J523" s="98"/>
      <c r="K523" s="102"/>
      <c r="L523" s="102"/>
      <c r="M523" s="102"/>
      <c r="N523" s="102"/>
      <c r="O523" s="98"/>
      <c r="P523" s="98"/>
      <c r="Q523" s="98"/>
    </row>
    <row r="524">
      <c r="A524" s="96" t="s">
        <v>2034</v>
      </c>
      <c r="B524" s="97" t="s">
        <v>2035</v>
      </c>
      <c r="C524" s="97" t="s">
        <v>2036</v>
      </c>
      <c r="D524" s="97" t="s">
        <v>814</v>
      </c>
      <c r="E524" s="97" t="s">
        <v>777</v>
      </c>
      <c r="F524" s="97" t="b">
        <v>0</v>
      </c>
      <c r="G524" s="97" t="b">
        <v>0</v>
      </c>
      <c r="H524" s="98"/>
      <c r="I524" s="98"/>
      <c r="J524" s="98"/>
      <c r="K524" s="99"/>
      <c r="L524" s="99"/>
      <c r="M524" s="103"/>
      <c r="N524" s="104"/>
      <c r="O524" s="106"/>
      <c r="P524" s="106"/>
      <c r="Q524" s="98"/>
    </row>
    <row r="525">
      <c r="A525" s="96" t="s">
        <v>2037</v>
      </c>
      <c r="B525" s="97" t="s">
        <v>2038</v>
      </c>
      <c r="C525" s="97" t="s">
        <v>2039</v>
      </c>
      <c r="D525" s="97" t="s">
        <v>764</v>
      </c>
      <c r="E525" s="97" t="s">
        <v>685</v>
      </c>
      <c r="F525" s="97" t="b">
        <v>0</v>
      </c>
      <c r="G525" s="97" t="b">
        <v>0</v>
      </c>
      <c r="H525" s="98"/>
      <c r="I525" s="98"/>
      <c r="J525" s="98"/>
      <c r="K525" s="99"/>
      <c r="L525" s="99"/>
      <c r="M525" s="100"/>
      <c r="N525" s="101"/>
      <c r="O525" s="98"/>
      <c r="P525" s="98"/>
      <c r="Q525" s="98"/>
    </row>
    <row r="526">
      <c r="A526" s="96" t="s">
        <v>2037</v>
      </c>
      <c r="B526" s="97" t="s">
        <v>2038</v>
      </c>
      <c r="C526" s="97" t="s">
        <v>2039</v>
      </c>
      <c r="D526" s="97" t="s">
        <v>764</v>
      </c>
      <c r="E526" s="97" t="s">
        <v>685</v>
      </c>
      <c r="F526" s="97" t="b">
        <v>0</v>
      </c>
      <c r="G526" s="97" t="b">
        <v>0</v>
      </c>
      <c r="H526" s="98"/>
      <c r="I526" s="98"/>
      <c r="J526" s="98"/>
      <c r="K526" s="99"/>
      <c r="L526" s="99"/>
      <c r="M526" s="102"/>
      <c r="N526" s="102"/>
      <c r="O526" s="98"/>
      <c r="P526" s="98"/>
      <c r="Q526" s="98"/>
    </row>
    <row r="527">
      <c r="A527" s="96" t="s">
        <v>2040</v>
      </c>
      <c r="B527" s="97" t="s">
        <v>2041</v>
      </c>
      <c r="C527" s="97" t="s">
        <v>2042</v>
      </c>
      <c r="D527" s="97" t="s">
        <v>2043</v>
      </c>
      <c r="E527" s="97" t="s">
        <v>590</v>
      </c>
      <c r="F527" s="97" t="b">
        <v>0</v>
      </c>
      <c r="G527" s="97" t="b">
        <v>0</v>
      </c>
      <c r="H527" s="98"/>
      <c r="I527" s="98"/>
      <c r="K527" s="99"/>
      <c r="L527" s="99"/>
      <c r="M527" s="102"/>
      <c r="N527" s="102"/>
      <c r="O527" s="98"/>
      <c r="P527" s="98"/>
      <c r="Q527" s="98"/>
    </row>
    <row r="528">
      <c r="A528" s="96" t="s">
        <v>388</v>
      </c>
      <c r="B528" s="97" t="s">
        <v>2044</v>
      </c>
      <c r="C528" s="97" t="s">
        <v>2045</v>
      </c>
      <c r="D528" s="97" t="s">
        <v>624</v>
      </c>
      <c r="E528" s="97" t="s">
        <v>1050</v>
      </c>
      <c r="F528" s="97" t="b">
        <v>1</v>
      </c>
      <c r="G528" s="97" t="b">
        <v>1</v>
      </c>
      <c r="H528" s="98">
        <f>IF(A528:A2055="", "", COUNTIF(Check!H:H, A527:A2055))</f>
        <v>1</v>
      </c>
      <c r="I528" s="98"/>
      <c r="J528" s="98"/>
      <c r="K528" s="108" t="s">
        <v>792</v>
      </c>
      <c r="L528" s="109">
        <f>COUNTIFS($D$2:$D$1039, K528, $F$2:$F$1039, TRUE)</f>
        <v>10</v>
      </c>
      <c r="M528" s="100" t="s">
        <v>1706</v>
      </c>
      <c r="N528" s="101">
        <f>COUNTIFS($E$2:$E$1039, M528, $F$2:$F$1039, TRUE)</f>
        <v>0</v>
      </c>
      <c r="O528" s="98"/>
      <c r="P528" s="98"/>
      <c r="Q528" s="98"/>
    </row>
    <row r="529">
      <c r="A529" s="96" t="s">
        <v>2046</v>
      </c>
      <c r="B529" s="97" t="s">
        <v>2047</v>
      </c>
      <c r="C529" s="97" t="s">
        <v>2048</v>
      </c>
      <c r="D529" s="97" t="s">
        <v>643</v>
      </c>
      <c r="E529" s="97" t="s">
        <v>620</v>
      </c>
      <c r="F529" s="97" t="b">
        <v>0</v>
      </c>
      <c r="G529" s="97" t="b">
        <v>0</v>
      </c>
      <c r="H529" s="98"/>
      <c r="I529" s="98"/>
      <c r="J529" s="98"/>
      <c r="K529" s="102"/>
      <c r="L529" s="102"/>
      <c r="M529" s="102"/>
      <c r="N529" s="102"/>
      <c r="O529" s="98"/>
      <c r="P529" s="98"/>
      <c r="Q529" s="98"/>
    </row>
    <row r="530">
      <c r="A530" s="96" t="s">
        <v>2049</v>
      </c>
      <c r="B530" s="97" t="s">
        <v>2050</v>
      </c>
      <c r="C530" s="97" t="s">
        <v>2051</v>
      </c>
      <c r="D530" s="97" t="s">
        <v>781</v>
      </c>
      <c r="E530" s="97" t="s">
        <v>688</v>
      </c>
      <c r="F530" s="97" t="b">
        <v>0</v>
      </c>
      <c r="G530" s="97" t="b">
        <v>0</v>
      </c>
      <c r="H530" s="98"/>
      <c r="I530" s="98"/>
      <c r="J530" s="98"/>
      <c r="K530" s="99"/>
      <c r="L530" s="99"/>
      <c r="M530" s="102"/>
      <c r="N530" s="102"/>
      <c r="O530" s="98"/>
      <c r="P530" s="98"/>
      <c r="Q530" s="98"/>
    </row>
    <row r="531">
      <c r="A531" s="96" t="s">
        <v>2052</v>
      </c>
      <c r="B531" s="97" t="s">
        <v>2050</v>
      </c>
      <c r="C531" s="97" t="s">
        <v>2053</v>
      </c>
      <c r="D531" s="97" t="s">
        <v>643</v>
      </c>
      <c r="E531" s="97" t="s">
        <v>644</v>
      </c>
      <c r="F531" s="97" t="b">
        <v>0</v>
      </c>
      <c r="G531" s="97" t="b">
        <v>0</v>
      </c>
      <c r="H531" s="98"/>
      <c r="I531" s="98"/>
      <c r="J531" s="98"/>
      <c r="K531" s="100"/>
      <c r="L531" s="107"/>
      <c r="M531" s="100"/>
      <c r="N531" s="101"/>
      <c r="O531" s="98"/>
      <c r="P531" s="98"/>
      <c r="Q531" s="98"/>
    </row>
    <row r="532">
      <c r="A532" s="96" t="s">
        <v>562</v>
      </c>
      <c r="B532" s="97" t="s">
        <v>2054</v>
      </c>
      <c r="C532" s="97" t="s">
        <v>2055</v>
      </c>
      <c r="D532" s="97" t="s">
        <v>1012</v>
      </c>
      <c r="E532" s="97" t="s">
        <v>921</v>
      </c>
      <c r="F532" s="97" t="b">
        <v>0</v>
      </c>
      <c r="G532" s="97" t="b">
        <v>0</v>
      </c>
      <c r="H532" s="98"/>
      <c r="I532" s="98"/>
      <c r="J532" s="98"/>
      <c r="K532" s="99"/>
      <c r="L532" s="99"/>
      <c r="M532" s="102"/>
      <c r="N532" s="102"/>
      <c r="O532" s="98"/>
      <c r="P532" s="98"/>
      <c r="Q532" s="98"/>
    </row>
    <row r="533">
      <c r="A533" s="96" t="s">
        <v>2056</v>
      </c>
      <c r="B533" s="97" t="s">
        <v>2054</v>
      </c>
      <c r="C533" s="97" t="s">
        <v>2057</v>
      </c>
      <c r="D533" s="97" t="s">
        <v>1495</v>
      </c>
      <c r="E533" s="97" t="s">
        <v>727</v>
      </c>
      <c r="F533" s="97" t="b">
        <v>0</v>
      </c>
      <c r="G533" s="97" t="b">
        <v>0</v>
      </c>
      <c r="H533" s="98"/>
      <c r="I533" s="98"/>
      <c r="J533" s="98"/>
      <c r="K533" s="99"/>
      <c r="L533" s="99"/>
      <c r="M533" s="100"/>
      <c r="N533" s="101"/>
      <c r="O533" s="98"/>
      <c r="P533" s="98"/>
      <c r="Q533" s="98"/>
    </row>
    <row r="534">
      <c r="A534" s="96" t="s">
        <v>2058</v>
      </c>
      <c r="B534" s="97" t="s">
        <v>2059</v>
      </c>
      <c r="C534" s="97" t="s">
        <v>2060</v>
      </c>
      <c r="D534" s="97" t="s">
        <v>788</v>
      </c>
      <c r="E534" s="97" t="s">
        <v>722</v>
      </c>
      <c r="F534" s="97" t="b">
        <v>0</v>
      </c>
      <c r="G534" s="97" t="b">
        <v>0</v>
      </c>
      <c r="H534" s="98"/>
      <c r="I534" s="98"/>
      <c r="J534" s="98"/>
      <c r="K534" s="102"/>
      <c r="L534" s="102"/>
      <c r="M534" s="100"/>
      <c r="N534" s="101"/>
      <c r="O534" s="98"/>
      <c r="P534" s="98"/>
      <c r="Q534" s="98"/>
    </row>
    <row r="535">
      <c r="A535" s="96" t="s">
        <v>2061</v>
      </c>
      <c r="B535" s="97" t="s">
        <v>2062</v>
      </c>
      <c r="C535" s="97" t="s">
        <v>2063</v>
      </c>
      <c r="D535" s="97" t="s">
        <v>696</v>
      </c>
      <c r="E535" s="97" t="s">
        <v>789</v>
      </c>
      <c r="F535" s="97" t="b">
        <v>0</v>
      </c>
      <c r="G535" s="97" t="b">
        <v>0</v>
      </c>
      <c r="H535" s="98"/>
      <c r="I535" s="98"/>
      <c r="J535" s="98"/>
      <c r="K535" s="102"/>
      <c r="L535" s="102"/>
      <c r="M535" s="108"/>
      <c r="N535" s="109"/>
      <c r="O535" s="98"/>
      <c r="P535" s="98"/>
      <c r="Q535" s="98"/>
    </row>
    <row r="536">
      <c r="A536" s="96" t="s">
        <v>2064</v>
      </c>
      <c r="B536" s="97" t="s">
        <v>667</v>
      </c>
      <c r="C536" s="97" t="s">
        <v>2065</v>
      </c>
      <c r="D536" s="97" t="s">
        <v>1541</v>
      </c>
      <c r="E536" s="97" t="s">
        <v>733</v>
      </c>
      <c r="F536" s="97" t="b">
        <v>0</v>
      </c>
      <c r="G536" s="97" t="b">
        <v>0</v>
      </c>
      <c r="H536" s="98"/>
      <c r="I536" s="98"/>
      <c r="J536" s="98"/>
      <c r="K536" s="100"/>
      <c r="L536" s="101"/>
      <c r="M536" s="103"/>
      <c r="N536" s="104"/>
      <c r="O536" s="106"/>
      <c r="P536" s="106"/>
      <c r="Q536" s="98"/>
    </row>
    <row r="537">
      <c r="A537" s="96" t="s">
        <v>189</v>
      </c>
      <c r="B537" s="97" t="s">
        <v>2066</v>
      </c>
      <c r="C537" s="97" t="s">
        <v>2067</v>
      </c>
      <c r="D537" s="97" t="s">
        <v>784</v>
      </c>
      <c r="E537" s="97" t="s">
        <v>722</v>
      </c>
      <c r="F537" s="97" t="b">
        <v>1</v>
      </c>
      <c r="G537" s="97" t="b">
        <v>1</v>
      </c>
      <c r="H537" s="98">
        <f>IF(A537:A2055="", "", COUNTIF(Check!H:H, A536:A2055))</f>
        <v>1</v>
      </c>
      <c r="I537" s="98"/>
      <c r="J537" s="98"/>
      <c r="K537" s="102"/>
      <c r="L537" s="102"/>
      <c r="M537" s="100"/>
      <c r="N537" s="101"/>
      <c r="O537" s="98"/>
      <c r="P537" s="98"/>
      <c r="Q537" s="98"/>
    </row>
    <row r="538">
      <c r="A538" s="96" t="s">
        <v>144</v>
      </c>
      <c r="B538" s="97" t="s">
        <v>2068</v>
      </c>
      <c r="C538" s="97" t="s">
        <v>2069</v>
      </c>
      <c r="D538" s="97" t="s">
        <v>760</v>
      </c>
      <c r="E538" s="97" t="s">
        <v>611</v>
      </c>
      <c r="F538" s="97" t="b">
        <v>1</v>
      </c>
      <c r="G538" s="97" t="b">
        <v>1</v>
      </c>
      <c r="H538" s="98">
        <f>IF(A538:A2055="", "", COUNTIF(Check!H:H, A537:A2055))</f>
        <v>1</v>
      </c>
      <c r="I538" s="98"/>
      <c r="J538" s="98"/>
      <c r="K538" s="108"/>
      <c r="L538" s="109"/>
      <c r="M538" s="102"/>
      <c r="N538" s="102"/>
      <c r="O538" s="98"/>
      <c r="P538" s="98"/>
      <c r="Q538" s="98"/>
    </row>
    <row r="539">
      <c r="A539" s="96" t="s">
        <v>106</v>
      </c>
      <c r="B539" s="97" t="s">
        <v>2070</v>
      </c>
      <c r="C539" s="97" t="s">
        <v>2071</v>
      </c>
      <c r="D539" s="97" t="s">
        <v>639</v>
      </c>
      <c r="E539" s="97" t="s">
        <v>616</v>
      </c>
      <c r="F539" s="97" t="b">
        <v>1</v>
      </c>
      <c r="G539" s="97" t="b">
        <v>1</v>
      </c>
      <c r="H539" s="98">
        <f>IF(A539:A2055="", "", COUNTIF(Check!H:H, A538:A2055))</f>
        <v>1</v>
      </c>
      <c r="I539" s="98"/>
      <c r="J539" s="98"/>
      <c r="K539" s="99"/>
      <c r="L539" s="99"/>
      <c r="M539" s="103"/>
      <c r="N539" s="104"/>
      <c r="O539" s="105"/>
      <c r="P539" s="105"/>
      <c r="Q539" s="98"/>
    </row>
    <row r="540">
      <c r="A540" s="96" t="s">
        <v>2072</v>
      </c>
      <c r="B540" s="97" t="s">
        <v>2070</v>
      </c>
      <c r="C540" s="97" t="s">
        <v>2073</v>
      </c>
      <c r="D540" s="97" t="s">
        <v>674</v>
      </c>
      <c r="E540" s="97" t="s">
        <v>625</v>
      </c>
      <c r="F540" s="97" t="b">
        <v>0</v>
      </c>
      <c r="G540" s="97" t="b">
        <v>0</v>
      </c>
      <c r="H540" s="98"/>
      <c r="I540" s="98"/>
      <c r="J540" s="98"/>
      <c r="K540" s="99"/>
      <c r="L540" s="99"/>
      <c r="M540" s="108"/>
      <c r="N540" s="109"/>
      <c r="O540" s="98"/>
      <c r="P540" s="98"/>
      <c r="Q540" s="98"/>
    </row>
    <row r="541">
      <c r="A541" s="96" t="s">
        <v>2074</v>
      </c>
      <c r="B541" s="97" t="s">
        <v>2070</v>
      </c>
      <c r="C541" s="97" t="s">
        <v>2075</v>
      </c>
      <c r="D541" s="97" t="s">
        <v>667</v>
      </c>
      <c r="E541" s="97" t="s">
        <v>789</v>
      </c>
      <c r="F541" s="97" t="b">
        <v>0</v>
      </c>
      <c r="G541" s="97" t="b">
        <v>0</v>
      </c>
      <c r="H541" s="98"/>
      <c r="I541" s="98"/>
      <c r="J541" s="98"/>
      <c r="K541" s="102"/>
      <c r="L541" s="102"/>
      <c r="M541" s="100"/>
      <c r="N541" s="101"/>
      <c r="O541" s="98"/>
      <c r="P541" s="98"/>
      <c r="Q541" s="98"/>
    </row>
    <row r="542">
      <c r="A542" s="96" t="s">
        <v>430</v>
      </c>
      <c r="B542" s="97" t="s">
        <v>2070</v>
      </c>
      <c r="C542" s="97" t="s">
        <v>2076</v>
      </c>
      <c r="D542" s="97"/>
      <c r="E542" s="97"/>
      <c r="F542" s="97" t="b">
        <v>1</v>
      </c>
      <c r="G542" s="97" t="b">
        <v>1</v>
      </c>
      <c r="H542" s="98">
        <f>IF(A542:A2055="", "", COUNTIF(Check!H:H, A541:A2055))</f>
        <v>1</v>
      </c>
      <c r="I542" s="98"/>
      <c r="J542" s="98"/>
      <c r="K542" s="102"/>
      <c r="L542" s="102"/>
      <c r="M542" s="102"/>
      <c r="N542" s="102"/>
      <c r="O542" s="98"/>
      <c r="P542" s="98"/>
      <c r="Q542" s="98"/>
    </row>
    <row r="543">
      <c r="A543" s="96" t="s">
        <v>493</v>
      </c>
      <c r="B543" s="97" t="s">
        <v>2077</v>
      </c>
      <c r="C543" s="97" t="s">
        <v>2078</v>
      </c>
      <c r="D543" s="97" t="s">
        <v>615</v>
      </c>
      <c r="E543" s="97" t="s">
        <v>582</v>
      </c>
      <c r="F543" s="97" t="b">
        <v>1</v>
      </c>
      <c r="G543" s="97" t="b">
        <v>1</v>
      </c>
      <c r="H543" s="98">
        <f>IF(A543:A2055="", "", COUNTIF(Check!H:H, A542:A2055))</f>
        <v>1</v>
      </c>
      <c r="I543" s="98"/>
      <c r="J543" s="98"/>
      <c r="K543" s="99"/>
      <c r="L543" s="99"/>
      <c r="M543" s="103"/>
      <c r="N543" s="104"/>
      <c r="O543" s="106"/>
      <c r="P543" s="106"/>
      <c r="Q543" s="98"/>
    </row>
    <row r="544">
      <c r="A544" s="96" t="s">
        <v>2079</v>
      </c>
      <c r="B544" s="97" t="s">
        <v>2077</v>
      </c>
      <c r="C544" s="97" t="s">
        <v>2080</v>
      </c>
      <c r="D544" s="97" t="s">
        <v>1495</v>
      </c>
      <c r="E544" s="97" t="s">
        <v>789</v>
      </c>
      <c r="F544" s="97" t="b">
        <v>0</v>
      </c>
      <c r="G544" s="97" t="b">
        <v>0</v>
      </c>
      <c r="H544" s="98"/>
      <c r="I544" s="98"/>
      <c r="J544" s="98"/>
      <c r="K544" s="102"/>
      <c r="L544" s="102"/>
      <c r="M544" s="100"/>
      <c r="N544" s="101"/>
      <c r="O544" s="98"/>
      <c r="P544" s="98"/>
      <c r="Q544" s="98"/>
    </row>
    <row r="545">
      <c r="A545" s="96" t="s">
        <v>184</v>
      </c>
      <c r="B545" s="97" t="s">
        <v>2081</v>
      </c>
      <c r="C545" s="97" t="s">
        <v>2082</v>
      </c>
      <c r="D545" s="97" t="s">
        <v>857</v>
      </c>
      <c r="E545" s="97" t="s">
        <v>789</v>
      </c>
      <c r="F545" s="97" t="b">
        <v>1</v>
      </c>
      <c r="G545" s="97" t="b">
        <v>1</v>
      </c>
      <c r="H545" s="98">
        <f>IF(A545:A2055="", "", COUNTIF(Check!H:H, A544:A2055))</f>
        <v>1</v>
      </c>
      <c r="I545" s="98"/>
      <c r="J545" s="98"/>
      <c r="K545" s="102"/>
      <c r="L545" s="102"/>
      <c r="M545" s="100"/>
      <c r="N545" s="101"/>
      <c r="O545" s="98"/>
      <c r="P545" s="98"/>
      <c r="Q545" s="98"/>
    </row>
    <row r="546">
      <c r="A546" s="96" t="s">
        <v>2083</v>
      </c>
      <c r="B546" s="97" t="s">
        <v>2084</v>
      </c>
      <c r="C546" s="97" t="s">
        <v>2085</v>
      </c>
      <c r="D546" s="97" t="s">
        <v>624</v>
      </c>
      <c r="E546" s="97" t="s">
        <v>895</v>
      </c>
      <c r="F546" s="97" t="b">
        <v>0</v>
      </c>
      <c r="G546" s="97" t="b">
        <v>0</v>
      </c>
      <c r="H546" s="98"/>
      <c r="I546" s="98"/>
      <c r="J546" s="98"/>
      <c r="K546" s="108"/>
      <c r="L546" s="109"/>
      <c r="M546" s="102"/>
      <c r="N546" s="102"/>
      <c r="O546" s="98"/>
      <c r="P546" s="98"/>
      <c r="Q546" s="98"/>
    </row>
    <row r="547">
      <c r="A547" s="96" t="s">
        <v>458</v>
      </c>
      <c r="B547" s="97" t="s">
        <v>2086</v>
      </c>
      <c r="C547" s="97" t="s">
        <v>2087</v>
      </c>
      <c r="D547" s="97" t="s">
        <v>1479</v>
      </c>
      <c r="E547" s="97" t="s">
        <v>590</v>
      </c>
      <c r="F547" s="97" t="b">
        <v>1</v>
      </c>
      <c r="G547" s="97" t="b">
        <v>1</v>
      </c>
      <c r="H547" s="98">
        <f>IF(A547:A2055="", "", COUNTIF(Check!H:H, A546:A2055))</f>
        <v>1</v>
      </c>
      <c r="I547" s="98"/>
      <c r="J547" s="98"/>
      <c r="K547" s="99"/>
      <c r="L547" s="99"/>
      <c r="M547" s="102"/>
      <c r="N547" s="102"/>
      <c r="O547" s="98"/>
      <c r="P547" s="98"/>
      <c r="Q547" s="98"/>
    </row>
    <row r="548">
      <c r="A548" s="96" t="s">
        <v>2088</v>
      </c>
      <c r="B548" s="97" t="s">
        <v>2086</v>
      </c>
      <c r="C548" s="97" t="s">
        <v>2089</v>
      </c>
      <c r="D548" s="97" t="s">
        <v>1022</v>
      </c>
      <c r="E548" s="97" t="s">
        <v>727</v>
      </c>
      <c r="F548" s="97" t="b">
        <v>0</v>
      </c>
      <c r="G548" s="97" t="b">
        <v>0</v>
      </c>
      <c r="H548" s="98"/>
      <c r="I548" s="98"/>
      <c r="J548" s="98"/>
      <c r="K548" s="99"/>
      <c r="L548" s="99"/>
      <c r="M548" s="100"/>
      <c r="N548" s="101"/>
      <c r="O548" s="98"/>
      <c r="P548" s="98"/>
      <c r="Q548" s="98"/>
    </row>
    <row r="549">
      <c r="A549" s="96" t="s">
        <v>517</v>
      </c>
      <c r="B549" s="97" t="s">
        <v>2090</v>
      </c>
      <c r="C549" s="97" t="s">
        <v>2091</v>
      </c>
      <c r="D549" s="97" t="s">
        <v>847</v>
      </c>
      <c r="E549" s="97" t="s">
        <v>921</v>
      </c>
      <c r="F549" s="97" t="b">
        <v>1</v>
      </c>
      <c r="G549" s="97" t="b">
        <v>1</v>
      </c>
      <c r="H549" s="98">
        <f>IF(A549:A2055="", "", COUNTIF(Check!H:H, A548:A2055))</f>
        <v>1</v>
      </c>
      <c r="I549" s="98"/>
      <c r="J549" s="98"/>
      <c r="K549" s="99"/>
      <c r="L549" s="99"/>
      <c r="M549" s="102"/>
      <c r="N549" s="102"/>
      <c r="O549" s="98"/>
      <c r="P549" s="98"/>
      <c r="Q549" s="98"/>
    </row>
    <row r="550">
      <c r="A550" s="96" t="s">
        <v>517</v>
      </c>
      <c r="B550" s="97" t="s">
        <v>2090</v>
      </c>
      <c r="C550" s="97" t="s">
        <v>2091</v>
      </c>
      <c r="D550" s="97" t="s">
        <v>847</v>
      </c>
      <c r="E550" s="97" t="s">
        <v>921</v>
      </c>
      <c r="F550" s="97" t="b">
        <v>0</v>
      </c>
      <c r="G550" s="97" t="b">
        <v>0</v>
      </c>
      <c r="H550" s="98"/>
      <c r="I550" s="98"/>
      <c r="J550" s="98"/>
      <c r="K550" s="99"/>
      <c r="L550" s="99"/>
      <c r="M550" s="102"/>
      <c r="N550" s="102"/>
      <c r="O550" s="98"/>
      <c r="P550" s="98"/>
      <c r="Q550" s="98"/>
    </row>
    <row r="551">
      <c r="A551" s="96" t="s">
        <v>2092</v>
      </c>
      <c r="B551" s="97" t="s">
        <v>2093</v>
      </c>
      <c r="C551" s="97" t="s">
        <v>2094</v>
      </c>
      <c r="D551" s="97" t="s">
        <v>788</v>
      </c>
      <c r="E551" s="97" t="s">
        <v>630</v>
      </c>
      <c r="F551" s="97" t="b">
        <v>0</v>
      </c>
      <c r="G551" s="97" t="b">
        <v>0</v>
      </c>
      <c r="H551" s="98"/>
      <c r="I551" s="98"/>
      <c r="J551" s="98"/>
      <c r="K551" s="99"/>
      <c r="L551" s="99"/>
      <c r="M551" s="102"/>
      <c r="N551" s="102"/>
      <c r="O551" s="98"/>
      <c r="P551" s="98"/>
      <c r="Q551" s="98"/>
    </row>
    <row r="552">
      <c r="A552" s="96" t="s">
        <v>398</v>
      </c>
      <c r="B552" s="97" t="s">
        <v>2095</v>
      </c>
      <c r="C552" s="97" t="s">
        <v>2096</v>
      </c>
      <c r="D552" s="97"/>
      <c r="E552" s="97"/>
      <c r="F552" s="97" t="b">
        <v>1</v>
      </c>
      <c r="G552" s="97" t="b">
        <v>1</v>
      </c>
      <c r="H552" s="98">
        <f>IF(A552:A2055="", "", COUNTIF(Check!H:H, A551:A2055))</f>
        <v>1</v>
      </c>
      <c r="I552" s="98"/>
      <c r="J552" s="98"/>
      <c r="K552" s="102"/>
      <c r="L552" s="102"/>
      <c r="M552" s="102"/>
      <c r="N552" s="102"/>
      <c r="O552" s="98"/>
      <c r="P552" s="98"/>
      <c r="Q552" s="98"/>
    </row>
    <row r="553">
      <c r="A553" s="96" t="s">
        <v>2097</v>
      </c>
      <c r="B553" s="97" t="s">
        <v>2098</v>
      </c>
      <c r="C553" s="97" t="s">
        <v>2099</v>
      </c>
      <c r="D553" s="97" t="s">
        <v>717</v>
      </c>
      <c r="E553" s="97" t="s">
        <v>663</v>
      </c>
      <c r="F553" s="97" t="b">
        <v>0</v>
      </c>
      <c r="G553" s="97" t="b">
        <v>0</v>
      </c>
      <c r="H553" s="98"/>
      <c r="I553" s="98"/>
      <c r="J553" s="98"/>
      <c r="K553" s="100"/>
      <c r="L553" s="107"/>
      <c r="M553" s="102"/>
      <c r="N553" s="102"/>
      <c r="O553" s="98"/>
      <c r="P553" s="98"/>
      <c r="Q553" s="98"/>
    </row>
    <row r="554">
      <c r="A554" s="96" t="s">
        <v>2100</v>
      </c>
      <c r="B554" s="97" t="s">
        <v>2101</v>
      </c>
      <c r="C554" s="97" t="s">
        <v>2102</v>
      </c>
      <c r="D554" s="97" t="s">
        <v>1191</v>
      </c>
      <c r="E554" s="97" t="s">
        <v>582</v>
      </c>
      <c r="F554" s="97" t="b">
        <v>0</v>
      </c>
      <c r="G554" s="97" t="b">
        <v>0</v>
      </c>
      <c r="H554" s="98"/>
      <c r="I554" s="98"/>
      <c r="J554" s="98"/>
      <c r="K554" s="99"/>
      <c r="L554" s="99"/>
      <c r="M554" s="102"/>
      <c r="N554" s="102"/>
      <c r="O554" s="98"/>
      <c r="P554" s="98"/>
      <c r="Q554" s="98"/>
    </row>
    <row r="555">
      <c r="A555" s="96" t="s">
        <v>420</v>
      </c>
      <c r="B555" s="97" t="s">
        <v>2103</v>
      </c>
      <c r="C555" s="97" t="s">
        <v>2104</v>
      </c>
      <c r="D555" s="97" t="s">
        <v>696</v>
      </c>
      <c r="E555" s="97" t="s">
        <v>586</v>
      </c>
      <c r="F555" s="97" t="b">
        <v>1</v>
      </c>
      <c r="G555" s="97" t="b">
        <v>1</v>
      </c>
      <c r="H555" s="98">
        <f>IF(A555:A2055="", "", COUNTIF(Check!H:H, A554:A2055))</f>
        <v>1</v>
      </c>
      <c r="I555" s="98"/>
      <c r="J555" s="98"/>
      <c r="K555" s="108"/>
      <c r="L555" s="109"/>
      <c r="M555" s="108"/>
      <c r="N555" s="109"/>
      <c r="O555" s="106"/>
      <c r="P555" s="106"/>
      <c r="Q555" s="98"/>
    </row>
    <row r="556">
      <c r="A556" s="96" t="s">
        <v>226</v>
      </c>
      <c r="B556" s="97" t="s">
        <v>2105</v>
      </c>
      <c r="C556" s="97" t="s">
        <v>2106</v>
      </c>
      <c r="D556" s="97" t="s">
        <v>1541</v>
      </c>
      <c r="E556" s="97" t="s">
        <v>685</v>
      </c>
      <c r="F556" s="97" t="b">
        <v>1</v>
      </c>
      <c r="G556" s="97" t="b">
        <v>1</v>
      </c>
      <c r="H556" s="98">
        <f>IF(A556:A2055="", "", COUNTIF(Check!H:H, A555:A2055))</f>
        <v>1</v>
      </c>
      <c r="I556" s="98"/>
      <c r="J556" s="98"/>
      <c r="K556" s="99"/>
      <c r="L556" s="99"/>
      <c r="M556" s="103"/>
      <c r="N556" s="104"/>
      <c r="O556" s="105"/>
      <c r="P556" s="105"/>
      <c r="Q556" s="98"/>
    </row>
    <row r="557">
      <c r="A557" s="96" t="s">
        <v>2107</v>
      </c>
      <c r="B557" s="97" t="s">
        <v>2108</v>
      </c>
      <c r="C557" s="97" t="s">
        <v>2109</v>
      </c>
      <c r="D557" s="97" t="s">
        <v>662</v>
      </c>
      <c r="E557" s="97" t="s">
        <v>611</v>
      </c>
      <c r="F557" s="97" t="b">
        <v>0</v>
      </c>
      <c r="G557" s="97" t="b">
        <v>0</v>
      </c>
      <c r="H557" s="98"/>
      <c r="I557" s="98"/>
      <c r="J557" s="98"/>
      <c r="K557" s="99"/>
      <c r="L557" s="99"/>
      <c r="M557" s="102"/>
      <c r="N557" s="102"/>
      <c r="O557" s="98"/>
      <c r="P557" s="98"/>
      <c r="Q557" s="98"/>
    </row>
    <row r="558">
      <c r="A558" s="96" t="s">
        <v>2110</v>
      </c>
      <c r="B558" s="97" t="s">
        <v>2111</v>
      </c>
      <c r="C558" s="97" t="s">
        <v>2112</v>
      </c>
      <c r="D558" s="97" t="s">
        <v>737</v>
      </c>
      <c r="E558" s="97" t="s">
        <v>620</v>
      </c>
      <c r="F558" s="97" t="b">
        <v>0</v>
      </c>
      <c r="G558" s="97" t="b">
        <v>0</v>
      </c>
      <c r="H558" s="98"/>
      <c r="I558" s="98"/>
      <c r="J558" s="98"/>
      <c r="K558" s="102"/>
      <c r="L558" s="102"/>
      <c r="M558" s="102"/>
      <c r="N558" s="102"/>
      <c r="O558" s="98"/>
      <c r="P558" s="98"/>
      <c r="Q558" s="106"/>
    </row>
    <row r="559">
      <c r="A559" s="96" t="s">
        <v>2113</v>
      </c>
      <c r="B559" s="97" t="s">
        <v>2114</v>
      </c>
      <c r="C559" s="97" t="s">
        <v>2115</v>
      </c>
      <c r="D559" s="97" t="s">
        <v>674</v>
      </c>
      <c r="E559" s="97" t="s">
        <v>1101</v>
      </c>
      <c r="F559" s="97" t="b">
        <v>0</v>
      </c>
      <c r="G559" s="97" t="b">
        <v>0</v>
      </c>
      <c r="H559" s="98"/>
      <c r="I559" s="98"/>
      <c r="J559" s="98"/>
      <c r="K559" s="99"/>
      <c r="L559" s="99"/>
      <c r="M559" s="102"/>
      <c r="N559" s="102"/>
      <c r="O559" s="98"/>
      <c r="P559" s="98"/>
      <c r="Q559" s="106"/>
    </row>
    <row r="560">
      <c r="A560" s="96" t="s">
        <v>2116</v>
      </c>
      <c r="B560" s="97" t="s">
        <v>2117</v>
      </c>
      <c r="C560" s="97" t="s">
        <v>2118</v>
      </c>
      <c r="D560" s="97" t="s">
        <v>737</v>
      </c>
      <c r="E560" s="97" t="s">
        <v>697</v>
      </c>
      <c r="F560" s="97" t="b">
        <v>0</v>
      </c>
      <c r="G560" s="97" t="b">
        <v>0</v>
      </c>
      <c r="H560" s="98"/>
      <c r="I560" s="98"/>
      <c r="J560" s="98"/>
      <c r="K560" s="100" t="s">
        <v>1417</v>
      </c>
      <c r="L560" s="101">
        <f>COUNTIFS($D$2:$D$1039, K560, $F$2:$F$1039, TRUE)</f>
        <v>3</v>
      </c>
      <c r="M560" s="100" t="s">
        <v>1930</v>
      </c>
      <c r="N560" s="101">
        <f>COUNTIFS($E$2:$E$1039, M560, $F$2:$F$1039, TRUE)</f>
        <v>0</v>
      </c>
      <c r="O560" s="98"/>
      <c r="P560" s="98"/>
      <c r="Q560" s="105"/>
    </row>
    <row r="561">
      <c r="A561" s="96" t="s">
        <v>2119</v>
      </c>
      <c r="B561" s="97" t="s">
        <v>2120</v>
      </c>
      <c r="C561" s="97" t="s">
        <v>2121</v>
      </c>
      <c r="D561" s="97" t="s">
        <v>708</v>
      </c>
      <c r="E561" s="97" t="s">
        <v>1134</v>
      </c>
      <c r="F561" s="97" t="b">
        <v>0</v>
      </c>
      <c r="G561" s="97" t="b">
        <v>0</v>
      </c>
      <c r="H561" s="98"/>
      <c r="I561" s="98"/>
      <c r="J561" s="98"/>
      <c r="K561" s="100"/>
      <c r="L561" s="107"/>
      <c r="M561" s="102"/>
      <c r="N561" s="102"/>
      <c r="O561" s="98"/>
      <c r="P561" s="98"/>
      <c r="Q561" s="98"/>
    </row>
    <row r="562">
      <c r="A562" s="96" t="s">
        <v>2122</v>
      </c>
      <c r="B562" s="97" t="s">
        <v>2123</v>
      </c>
      <c r="C562" s="97" t="s">
        <v>2124</v>
      </c>
      <c r="D562" s="97" t="s">
        <v>814</v>
      </c>
      <c r="E562" s="97" t="s">
        <v>789</v>
      </c>
      <c r="F562" s="97" t="b">
        <v>0</v>
      </c>
      <c r="G562" s="97" t="b">
        <v>0</v>
      </c>
      <c r="H562" s="98"/>
      <c r="I562" s="98"/>
      <c r="J562" s="98"/>
      <c r="K562" s="103"/>
      <c r="L562" s="112"/>
      <c r="M562" s="103"/>
      <c r="N562" s="104"/>
      <c r="O562" s="106"/>
      <c r="P562" s="106"/>
      <c r="Q562" s="98"/>
    </row>
    <row r="563">
      <c r="A563" s="96" t="s">
        <v>2125</v>
      </c>
      <c r="B563" s="97" t="s">
        <v>2126</v>
      </c>
      <c r="C563" s="97" t="s">
        <v>2127</v>
      </c>
      <c r="D563" s="97" t="s">
        <v>942</v>
      </c>
      <c r="E563" s="97" t="s">
        <v>630</v>
      </c>
      <c r="F563" s="97" t="b">
        <v>0</v>
      </c>
      <c r="G563" s="97" t="b">
        <v>0</v>
      </c>
      <c r="H563" s="98"/>
      <c r="I563" s="98"/>
      <c r="J563" s="98"/>
      <c r="K563" s="99"/>
      <c r="L563" s="99"/>
      <c r="M563" s="102"/>
      <c r="N563" s="102"/>
      <c r="O563" s="98"/>
      <c r="P563" s="98"/>
      <c r="Q563" s="98"/>
    </row>
    <row r="564">
      <c r="A564" s="96" t="s">
        <v>2128</v>
      </c>
      <c r="B564" s="97" t="s">
        <v>2129</v>
      </c>
      <c r="C564" s="97" t="s">
        <v>2130</v>
      </c>
      <c r="D564" s="97" t="s">
        <v>826</v>
      </c>
      <c r="E564" s="97" t="s">
        <v>697</v>
      </c>
      <c r="F564" s="97" t="b">
        <v>0</v>
      </c>
      <c r="G564" s="97" t="b">
        <v>0</v>
      </c>
      <c r="H564" s="98"/>
      <c r="I564" s="98"/>
      <c r="J564" s="98"/>
      <c r="K564" s="100" t="s">
        <v>955</v>
      </c>
      <c r="L564" s="107">
        <f>COUNTIFS($D$2:$D$1039, K564, $F$2:$F$1039, TRUE)</f>
        <v>2</v>
      </c>
      <c r="M564" s="100" t="s">
        <v>718</v>
      </c>
      <c r="N564" s="101">
        <f>COUNTIFS($E$2:$E$1039, M564, $F$2:$F$1039, TRUE)</f>
        <v>0</v>
      </c>
      <c r="O564" s="98"/>
      <c r="P564" s="98"/>
      <c r="Q564" s="98"/>
    </row>
    <row r="565">
      <c r="A565" s="96" t="s">
        <v>450</v>
      </c>
      <c r="B565" s="97" t="s">
        <v>2131</v>
      </c>
      <c r="C565" s="97" t="s">
        <v>2132</v>
      </c>
      <c r="D565" s="97" t="s">
        <v>964</v>
      </c>
      <c r="E565" s="97" t="s">
        <v>607</v>
      </c>
      <c r="F565" s="97" t="b">
        <v>1</v>
      </c>
      <c r="G565" s="97" t="b">
        <v>1</v>
      </c>
      <c r="H565" s="98">
        <f>IF(A565:A2055="", "", COUNTIF(Check!H:H, A564:A2055))</f>
        <v>1</v>
      </c>
      <c r="I565" s="98"/>
      <c r="J565" s="98"/>
      <c r="K565" s="99"/>
      <c r="L565" s="99"/>
      <c r="M565" s="103"/>
      <c r="N565" s="104"/>
      <c r="O565" s="105"/>
      <c r="P565" s="105"/>
      <c r="Q565" s="98"/>
    </row>
    <row r="566">
      <c r="A566" s="96" t="s">
        <v>2133</v>
      </c>
      <c r="B566" s="97" t="s">
        <v>2134</v>
      </c>
      <c r="C566" s="97" t="s">
        <v>2135</v>
      </c>
      <c r="D566" s="97" t="s">
        <v>1012</v>
      </c>
      <c r="E566" s="97" t="s">
        <v>761</v>
      </c>
      <c r="F566" s="97" t="b">
        <v>0</v>
      </c>
      <c r="G566" s="97" t="b">
        <v>0</v>
      </c>
      <c r="H566" s="98"/>
      <c r="I566" s="98"/>
      <c r="J566" s="98"/>
      <c r="K566" s="99"/>
      <c r="L566" s="99"/>
      <c r="M566" s="102"/>
      <c r="N566" s="102"/>
      <c r="O566" s="98"/>
      <c r="P566" s="98"/>
      <c r="Q566" s="98"/>
    </row>
    <row r="567">
      <c r="A567" s="96" t="s">
        <v>2136</v>
      </c>
      <c r="B567" s="97" t="s">
        <v>2137</v>
      </c>
      <c r="C567" s="97" t="s">
        <v>2138</v>
      </c>
      <c r="D567" s="97" t="s">
        <v>773</v>
      </c>
      <c r="E567" s="97" t="s">
        <v>630</v>
      </c>
      <c r="F567" s="97" t="b">
        <v>0</v>
      </c>
      <c r="G567" s="97" t="b">
        <v>0</v>
      </c>
      <c r="H567" s="98"/>
      <c r="I567" s="98"/>
      <c r="J567" s="98"/>
      <c r="K567" s="100"/>
      <c r="L567" s="101"/>
      <c r="M567" s="102"/>
      <c r="N567" s="102"/>
      <c r="O567" s="98"/>
      <c r="P567" s="98"/>
      <c r="Q567" s="98"/>
    </row>
    <row r="568">
      <c r="A568" s="96" t="s">
        <v>569</v>
      </c>
      <c r="B568" s="97" t="s">
        <v>2139</v>
      </c>
      <c r="C568" s="97" t="s">
        <v>2140</v>
      </c>
      <c r="D568" s="97" t="s">
        <v>667</v>
      </c>
      <c r="E568" s="97" t="s">
        <v>895</v>
      </c>
      <c r="F568" s="97" t="b">
        <v>1</v>
      </c>
      <c r="G568" s="97" t="b">
        <v>1</v>
      </c>
      <c r="H568" s="98"/>
      <c r="I568" s="98"/>
      <c r="J568" s="98"/>
      <c r="K568" s="99"/>
      <c r="L568" s="99"/>
      <c r="M568" s="102"/>
      <c r="N568" s="102"/>
      <c r="O568" s="98"/>
      <c r="P568" s="98"/>
      <c r="Q568" s="98"/>
    </row>
    <row r="569">
      <c r="A569" s="96" t="s">
        <v>315</v>
      </c>
      <c r="B569" s="97" t="s">
        <v>2141</v>
      </c>
      <c r="C569" s="97" t="s">
        <v>2142</v>
      </c>
      <c r="D569" s="97" t="s">
        <v>1301</v>
      </c>
      <c r="E569" s="97" t="s">
        <v>630</v>
      </c>
      <c r="F569" s="97" t="b">
        <v>0</v>
      </c>
      <c r="G569" s="97" t="b">
        <v>0</v>
      </c>
      <c r="H569" s="98"/>
      <c r="I569" s="98"/>
      <c r="J569" s="98"/>
      <c r="K569" s="100"/>
      <c r="L569" s="107"/>
      <c r="M569" s="102"/>
      <c r="N569" s="102"/>
      <c r="O569" s="98"/>
      <c r="P569" s="98"/>
      <c r="Q569" s="98"/>
    </row>
    <row r="570">
      <c r="A570" s="96" t="s">
        <v>2143</v>
      </c>
      <c r="B570" s="97" t="s">
        <v>2144</v>
      </c>
      <c r="C570" s="97" t="s">
        <v>2145</v>
      </c>
      <c r="D570" s="97" t="s">
        <v>781</v>
      </c>
      <c r="E570" s="97" t="s">
        <v>688</v>
      </c>
      <c r="F570" s="97" t="b">
        <v>0</v>
      </c>
      <c r="G570" s="97" t="b">
        <v>0</v>
      </c>
      <c r="H570" s="98"/>
      <c r="I570" s="98"/>
      <c r="J570" s="98"/>
      <c r="K570" s="99"/>
      <c r="L570" s="99"/>
      <c r="M570" s="102"/>
      <c r="N570" s="102"/>
      <c r="O570" s="98"/>
      <c r="P570" s="98"/>
      <c r="Q570" s="98"/>
    </row>
    <row r="571">
      <c r="A571" s="96" t="s">
        <v>104</v>
      </c>
      <c r="B571" s="97" t="s">
        <v>2146</v>
      </c>
      <c r="C571" s="97" t="s">
        <v>2147</v>
      </c>
      <c r="D571" s="97" t="s">
        <v>1114</v>
      </c>
      <c r="E571" s="97" t="s">
        <v>616</v>
      </c>
      <c r="F571" s="97" t="b">
        <v>1</v>
      </c>
      <c r="G571" s="97" t="b">
        <v>1</v>
      </c>
      <c r="H571" s="98">
        <f>IF(A571:A2055="", "", COUNTIF(Check!H:H, A570:A2055))</f>
        <v>1</v>
      </c>
      <c r="I571" s="98"/>
      <c r="J571" s="98"/>
      <c r="K571" s="99"/>
      <c r="L571" s="99"/>
      <c r="M571" s="102"/>
      <c r="N571" s="102"/>
      <c r="O571" s="98"/>
      <c r="P571" s="98"/>
      <c r="Q571" s="98"/>
    </row>
    <row r="572">
      <c r="A572" s="96" t="s">
        <v>500</v>
      </c>
      <c r="B572" s="97" t="s">
        <v>2148</v>
      </c>
      <c r="C572" s="97" t="s">
        <v>2149</v>
      </c>
      <c r="D572" s="97" t="s">
        <v>781</v>
      </c>
      <c r="E572" s="97" t="s">
        <v>611</v>
      </c>
      <c r="F572" s="97" t="b">
        <v>1</v>
      </c>
      <c r="G572" s="97" t="b">
        <v>1</v>
      </c>
      <c r="H572" s="98">
        <f>IF(A572:A2055="", "", COUNTIF(Check!H:H, A571:A2055))</f>
        <v>1</v>
      </c>
      <c r="I572" s="98"/>
      <c r="J572" s="98"/>
      <c r="K572" s="99"/>
      <c r="L572" s="99"/>
      <c r="M572" s="102"/>
      <c r="N572" s="102"/>
      <c r="O572" s="98"/>
      <c r="P572" s="98"/>
      <c r="Q572" s="98"/>
    </row>
    <row r="573">
      <c r="A573" s="96" t="s">
        <v>263</v>
      </c>
      <c r="B573" s="97" t="s">
        <v>2150</v>
      </c>
      <c r="C573" s="97" t="s">
        <v>2151</v>
      </c>
      <c r="D573" s="97" t="s">
        <v>698</v>
      </c>
      <c r="E573" s="97" t="s">
        <v>611</v>
      </c>
      <c r="F573" s="97" t="b">
        <v>1</v>
      </c>
      <c r="G573" s="97" t="b">
        <v>1</v>
      </c>
      <c r="H573" s="98">
        <f>IF(A573:A2055="", "", COUNTIF(Check!H:H, A572:A2055))</f>
        <v>1</v>
      </c>
      <c r="I573" s="98"/>
      <c r="J573" s="98"/>
      <c r="K573" s="99"/>
      <c r="L573" s="99"/>
      <c r="M573" s="102"/>
      <c r="N573" s="102"/>
      <c r="O573" s="98"/>
      <c r="P573" s="98"/>
      <c r="Q573" s="98"/>
    </row>
    <row r="574">
      <c r="A574" s="96" t="s">
        <v>371</v>
      </c>
      <c r="B574" s="97" t="s">
        <v>2152</v>
      </c>
      <c r="C574" s="97" t="s">
        <v>2153</v>
      </c>
      <c r="D574" s="97" t="s">
        <v>894</v>
      </c>
      <c r="E574" s="97" t="s">
        <v>659</v>
      </c>
      <c r="F574" s="97" t="b">
        <v>1</v>
      </c>
      <c r="G574" s="97" t="b">
        <v>1</v>
      </c>
      <c r="H574" s="98">
        <f>IF(A574:A2055="", "", COUNTIF(Check!H:H, A573:A2055))</f>
        <v>1</v>
      </c>
      <c r="I574" s="98"/>
      <c r="J574" s="98"/>
      <c r="K574" s="99"/>
      <c r="L574" s="99"/>
      <c r="M574" s="102"/>
      <c r="N574" s="102"/>
      <c r="O574" s="98"/>
      <c r="P574" s="98"/>
      <c r="Q574" s="98"/>
    </row>
    <row r="575">
      <c r="A575" s="96" t="s">
        <v>2154</v>
      </c>
      <c r="B575" s="97" t="s">
        <v>2155</v>
      </c>
      <c r="C575" s="97" t="s">
        <v>2156</v>
      </c>
      <c r="D575" s="97" t="s">
        <v>737</v>
      </c>
      <c r="E575" s="97" t="s">
        <v>895</v>
      </c>
      <c r="F575" s="97" t="b">
        <v>0</v>
      </c>
      <c r="G575" s="97" t="b">
        <v>0</v>
      </c>
      <c r="H575" s="98"/>
      <c r="I575" s="98"/>
      <c r="J575" s="98"/>
      <c r="K575" s="99"/>
      <c r="L575" s="99"/>
      <c r="M575" s="102"/>
      <c r="N575" s="102"/>
      <c r="O575" s="98"/>
      <c r="P575" s="98"/>
      <c r="Q575" s="98"/>
    </row>
    <row r="576">
      <c r="A576" s="96" t="s">
        <v>165</v>
      </c>
      <c r="B576" s="97" t="s">
        <v>2157</v>
      </c>
      <c r="C576" s="97" t="s">
        <v>2158</v>
      </c>
      <c r="D576" s="97" t="s">
        <v>648</v>
      </c>
      <c r="E576" s="97" t="s">
        <v>663</v>
      </c>
      <c r="F576" s="97" t="b">
        <v>1</v>
      </c>
      <c r="G576" s="97" t="b">
        <v>1</v>
      </c>
      <c r="H576" s="98">
        <f>IF(A576:A2055="", "", COUNTIF(Check!H:H, A575:A2055))</f>
        <v>1</v>
      </c>
      <c r="I576" s="98"/>
      <c r="J576" s="98"/>
      <c r="K576" s="100"/>
      <c r="L576" s="101"/>
      <c r="M576" s="102"/>
      <c r="N576" s="102"/>
      <c r="O576" s="98"/>
      <c r="P576" s="98"/>
      <c r="Q576" s="98"/>
    </row>
    <row r="577">
      <c r="A577" s="96" t="s">
        <v>466</v>
      </c>
      <c r="B577" s="97" t="s">
        <v>2159</v>
      </c>
      <c r="C577" s="97" t="s">
        <v>2160</v>
      </c>
      <c r="D577" s="97" t="s">
        <v>1230</v>
      </c>
      <c r="E577" s="97" t="s">
        <v>761</v>
      </c>
      <c r="F577" s="97" t="b">
        <v>1</v>
      </c>
      <c r="G577" s="97" t="b">
        <v>1</v>
      </c>
      <c r="H577" s="98">
        <f>IF(A577:A2055="", "", COUNTIF(Check!H:H, A576:A2055))</f>
        <v>1</v>
      </c>
      <c r="I577" s="98"/>
      <c r="J577" s="98"/>
      <c r="K577" s="100"/>
      <c r="L577" s="101"/>
      <c r="M577" s="102"/>
      <c r="N577" s="102"/>
      <c r="O577" s="98"/>
      <c r="P577" s="98"/>
      <c r="Q577" s="98"/>
    </row>
    <row r="578">
      <c r="A578" s="96" t="s">
        <v>2161</v>
      </c>
      <c r="B578" s="97" t="s">
        <v>2162</v>
      </c>
      <c r="C578" s="97" t="s">
        <v>2163</v>
      </c>
      <c r="D578" s="97" t="s">
        <v>1495</v>
      </c>
      <c r="E578" s="97" t="s">
        <v>830</v>
      </c>
      <c r="F578" s="97" t="b">
        <v>0</v>
      </c>
      <c r="G578" s="97" t="b">
        <v>0</v>
      </c>
      <c r="H578" s="98"/>
      <c r="I578" s="98"/>
      <c r="J578" s="98"/>
      <c r="K578" s="100"/>
      <c r="L578" s="101"/>
      <c r="M578" s="100"/>
      <c r="N578" s="101"/>
      <c r="O578" s="98"/>
      <c r="P578" s="98"/>
      <c r="Q578" s="98"/>
    </row>
    <row r="579">
      <c r="A579" s="96" t="s">
        <v>120</v>
      </c>
      <c r="B579" s="97" t="s">
        <v>2164</v>
      </c>
      <c r="C579" s="97" t="s">
        <v>2165</v>
      </c>
      <c r="D579" s="97" t="s">
        <v>972</v>
      </c>
      <c r="E579" s="97" t="s">
        <v>590</v>
      </c>
      <c r="F579" s="97" t="b">
        <v>1</v>
      </c>
      <c r="G579" s="97" t="b">
        <v>1</v>
      </c>
      <c r="H579" s="98">
        <f>IF(A579:A2055="", "", COUNTIF(Check!H:H, A578:A2055))</f>
        <v>1</v>
      </c>
      <c r="I579" s="98"/>
      <c r="J579" s="98"/>
      <c r="K579" s="99"/>
      <c r="L579" s="99"/>
      <c r="M579" s="102"/>
      <c r="N579" s="102"/>
      <c r="O579" s="98"/>
      <c r="P579" s="98"/>
      <c r="Q579" s="98"/>
    </row>
    <row r="580">
      <c r="A580" s="96" t="s">
        <v>439</v>
      </c>
      <c r="B580" s="97" t="s">
        <v>2166</v>
      </c>
      <c r="C580" s="97" t="s">
        <v>2167</v>
      </c>
      <c r="D580" s="97" t="s">
        <v>1615</v>
      </c>
      <c r="E580" s="97" t="s">
        <v>649</v>
      </c>
      <c r="F580" s="97" t="b">
        <v>1</v>
      </c>
      <c r="G580" s="97" t="b">
        <v>1</v>
      </c>
      <c r="H580" s="98">
        <f>IF(A580:A2055="", "", COUNTIF(Check!H:H, A579:A2055))</f>
        <v>1</v>
      </c>
      <c r="I580" s="98"/>
      <c r="J580" s="98"/>
      <c r="K580" s="100" t="s">
        <v>857</v>
      </c>
      <c r="L580" s="101">
        <f>COUNTIFS($D$2:$D$1039, K580, $F$2:$F$1039, TRUE)</f>
        <v>5</v>
      </c>
      <c r="M580" s="100" t="s">
        <v>1473</v>
      </c>
      <c r="N580" s="101">
        <f>COUNTIFS($E$2:$E$1039, M580, $F$2:$F$1039, TRUE)</f>
        <v>0</v>
      </c>
      <c r="O580" s="98"/>
      <c r="P580" s="98"/>
      <c r="Q580" s="98"/>
    </row>
    <row r="581">
      <c r="A581" s="96" t="s">
        <v>2168</v>
      </c>
      <c r="B581" s="97" t="s">
        <v>2169</v>
      </c>
      <c r="C581" s="97" t="s">
        <v>2170</v>
      </c>
      <c r="D581" s="97" t="s">
        <v>721</v>
      </c>
      <c r="E581" s="97" t="s">
        <v>630</v>
      </c>
      <c r="F581" s="97" t="b">
        <v>0</v>
      </c>
      <c r="G581" s="97" t="b">
        <v>0</v>
      </c>
      <c r="H581" s="98"/>
      <c r="I581" s="98"/>
      <c r="J581" s="98"/>
      <c r="K581" s="99"/>
      <c r="L581" s="99"/>
      <c r="M581" s="102"/>
      <c r="N581" s="102"/>
      <c r="O581" s="98"/>
      <c r="P581" s="98"/>
      <c r="Q581" s="98"/>
    </row>
    <row r="582">
      <c r="A582" s="96" t="s">
        <v>38</v>
      </c>
      <c r="B582" s="97" t="s">
        <v>2171</v>
      </c>
      <c r="C582" s="97" t="s">
        <v>2172</v>
      </c>
      <c r="D582" s="97" t="s">
        <v>939</v>
      </c>
      <c r="E582" s="97" t="s">
        <v>767</v>
      </c>
      <c r="F582" s="97" t="b">
        <v>1</v>
      </c>
      <c r="G582" s="97" t="b">
        <v>1</v>
      </c>
      <c r="H582" s="98">
        <f>IF(A582:A2055="", "", COUNTIF(Check!H:H, A581:A2055))</f>
        <v>1</v>
      </c>
      <c r="I582" s="98"/>
      <c r="J582" s="98"/>
      <c r="K582" s="108"/>
      <c r="L582" s="109"/>
      <c r="M582" s="102"/>
      <c r="N582" s="102"/>
      <c r="O582" s="98"/>
      <c r="P582" s="98"/>
      <c r="Q582" s="98"/>
    </row>
    <row r="583">
      <c r="A583" s="96" t="s">
        <v>492</v>
      </c>
      <c r="B583" s="97" t="s">
        <v>2173</v>
      </c>
      <c r="C583" s="97" t="s">
        <v>2174</v>
      </c>
      <c r="D583" s="97" t="s">
        <v>633</v>
      </c>
      <c r="E583" s="97" t="s">
        <v>582</v>
      </c>
      <c r="F583" s="97" t="b">
        <v>1</v>
      </c>
      <c r="G583" s="97" t="b">
        <v>1</v>
      </c>
      <c r="H583" s="98">
        <f>IF(A583:A2055="", "", COUNTIF(Check!H:H, A582:A2055))</f>
        <v>1</v>
      </c>
      <c r="I583" s="98"/>
      <c r="J583" s="98"/>
      <c r="K583" s="99"/>
      <c r="L583" s="99"/>
      <c r="M583" s="102"/>
      <c r="N583" s="102"/>
      <c r="O583" s="98"/>
      <c r="P583" s="98"/>
      <c r="Q583" s="98"/>
    </row>
    <row r="584">
      <c r="A584" s="96" t="s">
        <v>2175</v>
      </c>
      <c r="B584" s="97" t="s">
        <v>2173</v>
      </c>
      <c r="C584" s="97" t="s">
        <v>2176</v>
      </c>
      <c r="D584" s="97" t="s">
        <v>1026</v>
      </c>
      <c r="E584" s="97" t="s">
        <v>607</v>
      </c>
      <c r="F584" s="97" t="b">
        <v>0</v>
      </c>
      <c r="G584" s="97" t="b">
        <v>0</v>
      </c>
      <c r="H584" s="98"/>
      <c r="I584" s="98"/>
      <c r="J584" s="98"/>
      <c r="K584" s="99"/>
      <c r="L584" s="99"/>
      <c r="M584" s="108"/>
      <c r="N584" s="109"/>
      <c r="O584" s="98"/>
      <c r="P584" s="98"/>
      <c r="Q584" s="98"/>
    </row>
    <row r="585">
      <c r="A585" s="96" t="s">
        <v>558</v>
      </c>
      <c r="B585" s="97" t="s">
        <v>2173</v>
      </c>
      <c r="C585" s="97" t="s">
        <v>2177</v>
      </c>
      <c r="D585" s="97" t="s">
        <v>1089</v>
      </c>
      <c r="E585" s="97" t="s">
        <v>688</v>
      </c>
      <c r="F585" s="97" t="b">
        <v>0</v>
      </c>
      <c r="G585" s="97" t="b">
        <v>0</v>
      </c>
      <c r="H585" s="98"/>
      <c r="I585" s="98"/>
      <c r="J585" s="98"/>
      <c r="K585" s="99"/>
      <c r="L585" s="99"/>
      <c r="M585" s="102"/>
      <c r="N585" s="102"/>
      <c r="O585" s="98"/>
      <c r="P585" s="98"/>
      <c r="Q585" s="98"/>
    </row>
    <row r="586">
      <c r="A586" s="96" t="s">
        <v>2178</v>
      </c>
      <c r="B586" s="97" t="s">
        <v>2173</v>
      </c>
      <c r="C586" s="97" t="s">
        <v>2179</v>
      </c>
      <c r="D586" s="97" t="s">
        <v>681</v>
      </c>
      <c r="E586" s="97" t="s">
        <v>644</v>
      </c>
      <c r="F586" s="97" t="b">
        <v>0</v>
      </c>
      <c r="G586" s="97" t="b">
        <v>0</v>
      </c>
      <c r="H586" s="98"/>
      <c r="I586" s="98"/>
      <c r="J586" s="98"/>
      <c r="K586" s="99"/>
      <c r="L586" s="99"/>
      <c r="M586" s="102"/>
      <c r="N586" s="102"/>
      <c r="O586" s="98"/>
      <c r="P586" s="98"/>
      <c r="Q586" s="98"/>
    </row>
    <row r="587">
      <c r="A587" s="96" t="s">
        <v>432</v>
      </c>
      <c r="B587" s="97" t="s">
        <v>2180</v>
      </c>
      <c r="C587" s="97" t="s">
        <v>2181</v>
      </c>
      <c r="D587" s="97"/>
      <c r="E587" s="97"/>
      <c r="F587" s="97" t="b">
        <v>1</v>
      </c>
      <c r="G587" s="97" t="b">
        <v>1</v>
      </c>
      <c r="H587" s="98">
        <f>IF(A587:A2055="", "", COUNTIF(Check!H:H, A586:A2055))</f>
        <v>1</v>
      </c>
      <c r="I587" s="98"/>
      <c r="J587" s="98"/>
      <c r="K587" s="102"/>
      <c r="L587" s="102"/>
      <c r="M587" s="102"/>
      <c r="N587" s="102"/>
      <c r="O587" s="98"/>
      <c r="P587" s="98"/>
      <c r="Q587" s="98"/>
    </row>
    <row r="588">
      <c r="A588" s="96" t="s">
        <v>2182</v>
      </c>
      <c r="B588" s="97" t="s">
        <v>2183</v>
      </c>
      <c r="C588" s="97" t="s">
        <v>2184</v>
      </c>
      <c r="D588" s="97" t="s">
        <v>1055</v>
      </c>
      <c r="E588" s="97" t="s">
        <v>1085</v>
      </c>
      <c r="F588" s="97" t="b">
        <v>0</v>
      </c>
      <c r="G588" s="97" t="b">
        <v>0</v>
      </c>
      <c r="H588" s="98"/>
      <c r="I588" s="98"/>
      <c r="J588" s="98"/>
      <c r="K588" s="99"/>
      <c r="L588" s="99"/>
      <c r="M588" s="100"/>
      <c r="N588" s="101"/>
      <c r="O588" s="105"/>
      <c r="P588" s="105"/>
      <c r="Q588" s="105"/>
    </row>
    <row r="589">
      <c r="A589" s="96" t="s">
        <v>447</v>
      </c>
      <c r="B589" s="97" t="s">
        <v>2185</v>
      </c>
      <c r="C589" s="97" t="s">
        <v>2186</v>
      </c>
      <c r="D589" s="97" t="s">
        <v>1582</v>
      </c>
      <c r="E589" s="97" t="s">
        <v>649</v>
      </c>
      <c r="F589" s="97" t="b">
        <v>1</v>
      </c>
      <c r="G589" s="97" t="b">
        <v>1</v>
      </c>
      <c r="H589" s="98">
        <f>IF(A589:A2055="", "", COUNTIF(Check!H:H, A588:A2055))</f>
        <v>1</v>
      </c>
      <c r="I589" s="98"/>
      <c r="J589" s="98"/>
      <c r="K589" s="100" t="s">
        <v>912</v>
      </c>
      <c r="L589" s="101">
        <f>COUNTIFS($D$2:$D$1039, K589, $F$2:$F$1039, TRUE)</f>
        <v>0</v>
      </c>
      <c r="M589" s="100" t="s">
        <v>1220</v>
      </c>
      <c r="N589" s="101">
        <f>COUNTIFS($E$2:$E$1039, M589, $F$2:$F$1039, TRUE)</f>
        <v>0</v>
      </c>
      <c r="O589" s="98"/>
      <c r="P589" s="98"/>
      <c r="Q589" s="98"/>
    </row>
    <row r="590">
      <c r="A590" s="96" t="s">
        <v>2187</v>
      </c>
      <c r="B590" s="97" t="s">
        <v>2188</v>
      </c>
      <c r="C590" s="97" t="s">
        <v>2189</v>
      </c>
      <c r="D590" s="97" t="s">
        <v>764</v>
      </c>
      <c r="E590" s="97" t="s">
        <v>1473</v>
      </c>
      <c r="F590" s="97" t="b">
        <v>0</v>
      </c>
      <c r="G590" s="97" t="b">
        <v>0</v>
      </c>
      <c r="H590" s="98"/>
      <c r="I590" s="98"/>
      <c r="J590" s="98"/>
      <c r="K590" s="99"/>
      <c r="L590" s="99"/>
      <c r="M590" s="102"/>
      <c r="N590" s="102"/>
      <c r="O590" s="98"/>
      <c r="P590" s="98"/>
      <c r="Q590" s="98"/>
    </row>
    <row r="591">
      <c r="A591" s="96" t="s">
        <v>2190</v>
      </c>
      <c r="B591" s="97" t="s">
        <v>2191</v>
      </c>
      <c r="C591" s="97" t="s">
        <v>2192</v>
      </c>
      <c r="D591" s="97" t="s">
        <v>847</v>
      </c>
      <c r="E591" s="97" t="s">
        <v>761</v>
      </c>
      <c r="F591" s="97" t="b">
        <v>0</v>
      </c>
      <c r="G591" s="97" t="b">
        <v>0</v>
      </c>
      <c r="H591" s="98"/>
      <c r="I591" s="98"/>
      <c r="J591" s="98"/>
      <c r="K591" s="100"/>
      <c r="L591" s="101"/>
      <c r="M591" s="102"/>
      <c r="N591" s="102"/>
      <c r="O591" s="98"/>
      <c r="P591" s="98"/>
      <c r="Q591" s="98"/>
    </row>
    <row r="592">
      <c r="A592" s="96" t="s">
        <v>167</v>
      </c>
      <c r="B592" s="97" t="s">
        <v>2193</v>
      </c>
      <c r="C592" s="97" t="s">
        <v>2194</v>
      </c>
      <c r="D592" s="97" t="s">
        <v>1177</v>
      </c>
      <c r="E592" s="97" t="s">
        <v>921</v>
      </c>
      <c r="F592" s="97" t="b">
        <v>1</v>
      </c>
      <c r="G592" s="97" t="b">
        <v>1</v>
      </c>
      <c r="H592" s="98">
        <f>IF(A592:A2055="", "", COUNTIF(Check!H:H, A591:A2055))</f>
        <v>1</v>
      </c>
      <c r="I592" s="98"/>
      <c r="J592" s="98"/>
      <c r="K592" s="99"/>
      <c r="L592" s="99"/>
      <c r="M592" s="102"/>
      <c r="N592" s="102"/>
      <c r="O592" s="98"/>
      <c r="P592" s="98"/>
      <c r="Q592" s="98"/>
    </row>
    <row r="593">
      <c r="A593" s="96" t="s">
        <v>2195</v>
      </c>
      <c r="B593" s="97" t="s">
        <v>2193</v>
      </c>
      <c r="C593" s="97" t="s">
        <v>2196</v>
      </c>
      <c r="D593" s="97" t="s">
        <v>920</v>
      </c>
      <c r="E593" s="97" t="s">
        <v>644</v>
      </c>
      <c r="F593" s="97" t="b">
        <v>0</v>
      </c>
      <c r="G593" s="97" t="b">
        <v>0</v>
      </c>
      <c r="H593" s="98"/>
      <c r="I593" s="98"/>
      <c r="J593" s="98"/>
      <c r="K593" s="100"/>
      <c r="L593" s="101"/>
      <c r="M593" s="102"/>
      <c r="N593" s="102"/>
      <c r="O593" s="98"/>
      <c r="P593" s="98"/>
      <c r="Q593" s="111"/>
    </row>
    <row r="594">
      <c r="A594" s="96" t="s">
        <v>2197</v>
      </c>
      <c r="B594" s="97" t="s">
        <v>2198</v>
      </c>
      <c r="C594" s="97" t="s">
        <v>2199</v>
      </c>
      <c r="D594" s="97" t="s">
        <v>764</v>
      </c>
      <c r="E594" s="97" t="s">
        <v>921</v>
      </c>
      <c r="F594" s="97" t="b">
        <v>0</v>
      </c>
      <c r="G594" s="97" t="b">
        <v>0</v>
      </c>
      <c r="H594" s="98"/>
      <c r="I594" s="98"/>
      <c r="J594" s="98"/>
      <c r="K594" s="99"/>
      <c r="L594" s="99"/>
      <c r="M594" s="102"/>
      <c r="N594" s="102"/>
      <c r="O594" s="98"/>
      <c r="P594" s="98"/>
      <c r="Q594" s="98"/>
    </row>
    <row r="595">
      <c r="A595" s="96" t="s">
        <v>563</v>
      </c>
      <c r="B595" s="97" t="s">
        <v>2200</v>
      </c>
      <c r="C595" s="97" t="s">
        <v>2201</v>
      </c>
      <c r="D595" s="97" t="s">
        <v>972</v>
      </c>
      <c r="E595" s="97" t="s">
        <v>895</v>
      </c>
      <c r="F595" s="97" t="b">
        <v>0</v>
      </c>
      <c r="G595" s="97" t="b">
        <v>0</v>
      </c>
      <c r="H595" s="98"/>
      <c r="I595" s="98"/>
      <c r="J595" s="98"/>
      <c r="K595" s="99"/>
      <c r="L595" s="99"/>
      <c r="M595" s="102"/>
      <c r="N595" s="102"/>
      <c r="O595" s="98"/>
      <c r="P595" s="98"/>
      <c r="Q595" s="98"/>
    </row>
    <row r="596">
      <c r="A596" s="96" t="s">
        <v>2202</v>
      </c>
      <c r="B596" s="97" t="s">
        <v>826</v>
      </c>
      <c r="C596" s="97" t="s">
        <v>2203</v>
      </c>
      <c r="D596" s="97" t="s">
        <v>1479</v>
      </c>
      <c r="E596" s="97" t="s">
        <v>733</v>
      </c>
      <c r="F596" s="97" t="b">
        <v>0</v>
      </c>
      <c r="G596" s="97" t="b">
        <v>0</v>
      </c>
      <c r="H596" s="98"/>
      <c r="I596" s="98"/>
      <c r="J596" s="98"/>
      <c r="K596" s="100"/>
      <c r="L596" s="101"/>
      <c r="M596" s="100"/>
      <c r="N596" s="101"/>
      <c r="O596" s="98"/>
      <c r="P596" s="98"/>
      <c r="Q596" s="98"/>
    </row>
    <row r="597">
      <c r="A597" s="96" t="s">
        <v>2204</v>
      </c>
      <c r="B597" s="97" t="s">
        <v>2205</v>
      </c>
      <c r="C597" s="97" t="s">
        <v>2206</v>
      </c>
      <c r="D597" s="97" t="s">
        <v>610</v>
      </c>
      <c r="E597" s="97" t="s">
        <v>895</v>
      </c>
      <c r="F597" s="97" t="b">
        <v>0</v>
      </c>
      <c r="G597" s="97" t="b">
        <v>0</v>
      </c>
      <c r="H597" s="98"/>
      <c r="I597" s="98"/>
      <c r="J597" s="98"/>
      <c r="K597" s="99"/>
      <c r="L597" s="99"/>
      <c r="M597" s="102"/>
      <c r="N597" s="102"/>
      <c r="O597" s="98"/>
      <c r="P597" s="98"/>
      <c r="Q597" s="98"/>
    </row>
    <row r="598">
      <c r="A598" s="96" t="s">
        <v>324</v>
      </c>
      <c r="B598" s="97" t="s">
        <v>2207</v>
      </c>
      <c r="C598" s="97" t="s">
        <v>2208</v>
      </c>
      <c r="D598" s="97" t="s">
        <v>1127</v>
      </c>
      <c r="E598" s="97" t="s">
        <v>830</v>
      </c>
      <c r="F598" s="97" t="b">
        <v>1</v>
      </c>
      <c r="G598" s="97" t="b">
        <v>1</v>
      </c>
      <c r="H598" s="98">
        <f>IF(A598:A2055="", "", COUNTIF(Check!H:H, A597:A2055))</f>
        <v>1</v>
      </c>
      <c r="I598" s="98"/>
      <c r="J598" s="98"/>
      <c r="K598" s="99"/>
      <c r="L598" s="99"/>
      <c r="M598" s="102"/>
      <c r="N598" s="102"/>
      <c r="O598" s="98"/>
      <c r="P598" s="98"/>
      <c r="Q598" s="98"/>
    </row>
    <row r="599">
      <c r="A599" s="96" t="s">
        <v>2209</v>
      </c>
      <c r="B599" s="97" t="s">
        <v>2210</v>
      </c>
      <c r="C599" s="97" t="s">
        <v>2211</v>
      </c>
      <c r="D599" s="97" t="s">
        <v>1582</v>
      </c>
      <c r="E599" s="97" t="s">
        <v>830</v>
      </c>
      <c r="F599" s="97" t="b">
        <v>0</v>
      </c>
      <c r="G599" s="97" t="b">
        <v>0</v>
      </c>
      <c r="H599" s="98"/>
      <c r="I599" s="98"/>
      <c r="J599" s="98"/>
      <c r="K599" s="100"/>
      <c r="L599" s="107"/>
      <c r="M599" s="100"/>
      <c r="N599" s="101"/>
      <c r="O599" s="98"/>
      <c r="P599" s="98"/>
      <c r="Q599" s="98"/>
    </row>
    <row r="600">
      <c r="A600" s="96" t="s">
        <v>151</v>
      </c>
      <c r="B600" s="97" t="s">
        <v>2212</v>
      </c>
      <c r="C600" s="97" t="s">
        <v>2213</v>
      </c>
      <c r="D600" s="97" t="s">
        <v>847</v>
      </c>
      <c r="E600" s="97" t="s">
        <v>685</v>
      </c>
      <c r="F600" s="97" t="b">
        <v>1</v>
      </c>
      <c r="G600" s="97" t="b">
        <v>1</v>
      </c>
      <c r="H600" s="98">
        <f>IF(A600:A2055="", "", COUNTIF(Check!H:H, A599:A2055))</f>
        <v>1</v>
      </c>
      <c r="I600" s="98"/>
      <c r="J600" s="98"/>
      <c r="K600" s="99"/>
      <c r="L600" s="99"/>
      <c r="M600" s="102"/>
      <c r="N600" s="102"/>
      <c r="O600" s="98"/>
      <c r="P600" s="98"/>
      <c r="Q600" s="98"/>
    </row>
    <row r="601">
      <c r="A601" s="96" t="s">
        <v>2214</v>
      </c>
      <c r="B601" s="97" t="s">
        <v>2215</v>
      </c>
      <c r="C601" s="97" t="s">
        <v>2216</v>
      </c>
      <c r="D601" s="97" t="s">
        <v>681</v>
      </c>
      <c r="E601" s="97" t="s">
        <v>913</v>
      </c>
      <c r="F601" s="97" t="b">
        <v>0</v>
      </c>
      <c r="G601" s="97" t="b">
        <v>0</v>
      </c>
      <c r="H601" s="98"/>
      <c r="I601" s="98"/>
      <c r="J601" s="98"/>
      <c r="K601" s="100"/>
      <c r="L601" s="107"/>
      <c r="M601" s="102"/>
      <c r="N601" s="102"/>
      <c r="O601" s="98"/>
      <c r="P601" s="98"/>
      <c r="Q601" s="98"/>
    </row>
    <row r="602">
      <c r="A602" s="96" t="s">
        <v>2217</v>
      </c>
      <c r="B602" s="97" t="s">
        <v>2218</v>
      </c>
      <c r="C602" s="97" t="s">
        <v>2219</v>
      </c>
      <c r="D602" s="97" t="s">
        <v>801</v>
      </c>
      <c r="E602" s="97" t="s">
        <v>688</v>
      </c>
      <c r="F602" s="97" t="b">
        <v>0</v>
      </c>
      <c r="G602" s="97" t="b">
        <v>0</v>
      </c>
      <c r="H602" s="98"/>
      <c r="I602" s="98"/>
      <c r="J602" s="98"/>
      <c r="K602" s="99"/>
      <c r="L602" s="99"/>
      <c r="M602" s="102"/>
      <c r="N602" s="102"/>
      <c r="O602" s="98"/>
      <c r="P602" s="98"/>
      <c r="Q602" s="98"/>
    </row>
    <row r="603">
      <c r="A603" s="96" t="s">
        <v>84</v>
      </c>
      <c r="B603" s="97" t="s">
        <v>2220</v>
      </c>
      <c r="C603" s="97" t="s">
        <v>2221</v>
      </c>
      <c r="D603" s="97" t="s">
        <v>826</v>
      </c>
      <c r="E603" s="97" t="s">
        <v>697</v>
      </c>
      <c r="F603" s="97" t="b">
        <v>1</v>
      </c>
      <c r="G603" s="97" t="b">
        <v>1</v>
      </c>
      <c r="H603" s="98">
        <f>IF(A603:A2055="", "", COUNTIF(Check!H:H, A602:A2055))</f>
        <v>1</v>
      </c>
      <c r="I603" s="98"/>
      <c r="J603" s="98"/>
      <c r="K603" s="100" t="s">
        <v>684</v>
      </c>
      <c r="L603" s="107">
        <f t="shared" ref="L603:L605" si="7">COUNTIFS($D$2:$D$1039, K603, $F$2:$F$1039, TRUE)</f>
        <v>10</v>
      </c>
      <c r="M603" s="100" t="s">
        <v>625</v>
      </c>
      <c r="N603" s="101">
        <f t="shared" ref="N603:N604" si="8">COUNTIFS($E$2:$E$1039, M603, $F$2:$F$1039, TRUE)</f>
        <v>1</v>
      </c>
      <c r="O603" s="98"/>
      <c r="P603" s="98"/>
      <c r="Q603" s="98"/>
    </row>
    <row r="604">
      <c r="A604" s="96" t="s">
        <v>88</v>
      </c>
      <c r="B604" s="97" t="s">
        <v>2222</v>
      </c>
      <c r="C604" s="97" t="s">
        <v>2223</v>
      </c>
      <c r="D604" s="97" t="s">
        <v>1191</v>
      </c>
      <c r="E604" s="97" t="s">
        <v>697</v>
      </c>
      <c r="F604" s="97" t="b">
        <v>1</v>
      </c>
      <c r="G604" s="97" t="b">
        <v>1</v>
      </c>
      <c r="H604" s="98">
        <f>IF(A604:A2055="", "", COUNTIF(Check!H:H, A603:A2055))</f>
        <v>1</v>
      </c>
      <c r="I604" s="98"/>
      <c r="J604" s="98"/>
      <c r="K604" s="100" t="s">
        <v>1320</v>
      </c>
      <c r="L604" s="101">
        <f t="shared" si="7"/>
        <v>1</v>
      </c>
      <c r="M604" s="100" t="s">
        <v>586</v>
      </c>
      <c r="N604" s="101">
        <f t="shared" si="8"/>
        <v>23</v>
      </c>
      <c r="O604" s="98"/>
      <c r="P604" s="98"/>
      <c r="Q604" s="98"/>
    </row>
    <row r="605">
      <c r="A605" s="96" t="s">
        <v>2224</v>
      </c>
      <c r="B605" s="97" t="s">
        <v>2225</v>
      </c>
      <c r="C605" s="97" t="s">
        <v>2226</v>
      </c>
      <c r="D605" s="97" t="s">
        <v>894</v>
      </c>
      <c r="E605" s="97" t="s">
        <v>649</v>
      </c>
      <c r="F605" s="97" t="b">
        <v>0</v>
      </c>
      <c r="G605" s="97" t="b">
        <v>0</v>
      </c>
      <c r="H605" s="98"/>
      <c r="I605" s="98"/>
      <c r="J605" s="98"/>
      <c r="K605" s="100" t="s">
        <v>1479</v>
      </c>
      <c r="L605" s="107">
        <f t="shared" si="7"/>
        <v>5</v>
      </c>
      <c r="M605" s="102"/>
      <c r="N605" s="102"/>
      <c r="O605" s="98"/>
      <c r="P605" s="98"/>
      <c r="Q605" s="98"/>
    </row>
    <row r="606">
      <c r="A606" s="96" t="s">
        <v>2227</v>
      </c>
      <c r="B606" s="97" t="s">
        <v>2228</v>
      </c>
      <c r="C606" s="97" t="s">
        <v>2229</v>
      </c>
      <c r="D606" s="97" t="s">
        <v>629</v>
      </c>
      <c r="E606" s="97" t="s">
        <v>891</v>
      </c>
      <c r="F606" s="97" t="b">
        <v>0</v>
      </c>
      <c r="G606" s="97" t="b">
        <v>0</v>
      </c>
      <c r="H606" s="98"/>
      <c r="I606" s="98"/>
      <c r="J606" s="98"/>
      <c r="K606" s="99"/>
      <c r="L606" s="99"/>
      <c r="M606" s="102"/>
      <c r="N606" s="102"/>
      <c r="O606" s="98"/>
      <c r="P606" s="98"/>
      <c r="Q606" s="98"/>
    </row>
    <row r="607">
      <c r="A607" s="96" t="s">
        <v>2230</v>
      </c>
      <c r="B607" s="97" t="s">
        <v>2231</v>
      </c>
      <c r="C607" s="97" t="s">
        <v>2232</v>
      </c>
      <c r="D607" s="97" t="s">
        <v>764</v>
      </c>
      <c r="E607" s="97" t="s">
        <v>733</v>
      </c>
      <c r="F607" s="97" t="b">
        <v>0</v>
      </c>
      <c r="G607" s="97" t="b">
        <v>0</v>
      </c>
      <c r="H607" s="98"/>
      <c r="I607" s="98"/>
      <c r="J607" s="98"/>
      <c r="K607" s="102"/>
      <c r="L607" s="102"/>
      <c r="M607" s="100"/>
      <c r="N607" s="101"/>
      <c r="O607" s="98"/>
      <c r="P607" s="98"/>
      <c r="Q607" s="98"/>
    </row>
    <row r="608">
      <c r="A608" s="96" t="s">
        <v>2233</v>
      </c>
      <c r="B608" s="97" t="s">
        <v>2234</v>
      </c>
      <c r="C608" s="97" t="s">
        <v>2235</v>
      </c>
      <c r="D608" s="97" t="s">
        <v>1089</v>
      </c>
      <c r="E608" s="97" t="s">
        <v>921</v>
      </c>
      <c r="F608" s="97" t="b">
        <v>0</v>
      </c>
      <c r="G608" s="97" t="b">
        <v>0</v>
      </c>
      <c r="H608" s="98"/>
      <c r="I608" s="98"/>
      <c r="J608" s="98"/>
      <c r="K608" s="99"/>
      <c r="L608" s="99"/>
      <c r="M608" s="102"/>
      <c r="N608" s="102"/>
      <c r="O608" s="98"/>
      <c r="P608" s="98"/>
      <c r="Q608" s="98"/>
    </row>
    <row r="609">
      <c r="A609" s="96" t="s">
        <v>531</v>
      </c>
      <c r="B609" s="97" t="s">
        <v>2236</v>
      </c>
      <c r="C609" s="97" t="s">
        <v>2237</v>
      </c>
      <c r="D609" s="97" t="s">
        <v>1022</v>
      </c>
      <c r="E609" s="97" t="s">
        <v>620</v>
      </c>
      <c r="F609" s="97" t="b">
        <v>0</v>
      </c>
      <c r="G609" s="97" t="b">
        <v>0</v>
      </c>
      <c r="H609" s="98"/>
      <c r="I609" s="98"/>
      <c r="J609" s="98"/>
      <c r="K609" s="102"/>
      <c r="L609" s="102"/>
      <c r="M609" s="102"/>
      <c r="N609" s="102"/>
      <c r="O609" s="98"/>
      <c r="P609" s="98"/>
      <c r="Q609" s="98"/>
    </row>
    <row r="610">
      <c r="A610" s="96" t="s">
        <v>2238</v>
      </c>
      <c r="B610" s="97" t="s">
        <v>2239</v>
      </c>
      <c r="C610" s="97" t="s">
        <v>2240</v>
      </c>
      <c r="D610" s="97" t="s">
        <v>624</v>
      </c>
      <c r="E610" s="97" t="s">
        <v>620</v>
      </c>
      <c r="F610" s="97" t="b">
        <v>0</v>
      </c>
      <c r="G610" s="97" t="b">
        <v>0</v>
      </c>
      <c r="H610" s="98"/>
      <c r="I610" s="98"/>
      <c r="J610" s="98"/>
      <c r="K610" s="102"/>
      <c r="L610" s="102"/>
      <c r="M610" s="102"/>
      <c r="N610" s="102"/>
      <c r="O610" s="98"/>
      <c r="P610" s="98"/>
      <c r="Q610" s="98"/>
    </row>
    <row r="611">
      <c r="A611" s="96" t="s">
        <v>2241</v>
      </c>
      <c r="B611" s="97" t="s">
        <v>2242</v>
      </c>
      <c r="C611" s="97" t="s">
        <v>2243</v>
      </c>
      <c r="D611" s="97" t="s">
        <v>964</v>
      </c>
      <c r="E611" s="97" t="s">
        <v>727</v>
      </c>
      <c r="F611" s="97" t="b">
        <v>0</v>
      </c>
      <c r="G611" s="97" t="b">
        <v>0</v>
      </c>
      <c r="H611" s="98"/>
      <c r="I611" s="98"/>
      <c r="J611" s="98"/>
      <c r="K611" s="99"/>
      <c r="L611" s="99"/>
      <c r="M611" s="103"/>
      <c r="N611" s="104"/>
      <c r="O611" s="105"/>
      <c r="P611" s="105"/>
      <c r="Q611" s="98"/>
    </row>
    <row r="612">
      <c r="A612" s="96" t="s">
        <v>2244</v>
      </c>
      <c r="B612" s="97" t="s">
        <v>2245</v>
      </c>
      <c r="C612" s="97" t="s">
        <v>2246</v>
      </c>
      <c r="D612" s="97" t="s">
        <v>1582</v>
      </c>
      <c r="E612" s="97" t="s">
        <v>2247</v>
      </c>
      <c r="F612" s="97" t="b">
        <v>0</v>
      </c>
      <c r="G612" s="97" t="b">
        <v>0</v>
      </c>
      <c r="H612" s="98"/>
      <c r="I612" s="98"/>
      <c r="J612" s="98"/>
      <c r="K612" s="99"/>
      <c r="L612" s="99"/>
      <c r="M612" s="102"/>
      <c r="N612" s="102"/>
      <c r="O612" s="98"/>
      <c r="P612" s="98"/>
      <c r="Q612" s="98"/>
    </row>
    <row r="613">
      <c r="A613" s="96" t="s">
        <v>453</v>
      </c>
      <c r="B613" s="97" t="s">
        <v>2248</v>
      </c>
      <c r="C613" s="97" t="s">
        <v>2249</v>
      </c>
      <c r="D613" s="97" t="s">
        <v>740</v>
      </c>
      <c r="E613" s="97" t="s">
        <v>767</v>
      </c>
      <c r="F613" s="97" t="b">
        <v>1</v>
      </c>
      <c r="G613" s="97" t="b">
        <v>1</v>
      </c>
      <c r="H613" s="98">
        <f>IF(A613:A2055="", "", COUNTIF(Check!H:H, A612:A2055))</f>
        <v>1</v>
      </c>
      <c r="I613" s="98"/>
      <c r="J613" s="98"/>
      <c r="K613" s="100"/>
      <c r="L613" s="101"/>
      <c r="M613" s="100"/>
      <c r="N613" s="101"/>
      <c r="O613" s="98"/>
      <c r="P613" s="98"/>
      <c r="Q613" s="98"/>
    </row>
    <row r="614">
      <c r="A614" s="96" t="s">
        <v>499</v>
      </c>
      <c r="B614" s="97" t="s">
        <v>2250</v>
      </c>
      <c r="C614" s="97" t="s">
        <v>2251</v>
      </c>
      <c r="D614" s="97" t="s">
        <v>1012</v>
      </c>
      <c r="E614" s="97" t="s">
        <v>616</v>
      </c>
      <c r="F614" s="97" t="b">
        <v>1</v>
      </c>
      <c r="G614" s="97" t="b">
        <v>1</v>
      </c>
      <c r="H614" s="98">
        <f>IF(A614:A2055="", "", COUNTIF(Check!H:H, A613:A2055))</f>
        <v>1</v>
      </c>
      <c r="I614" s="98"/>
      <c r="J614" s="98"/>
      <c r="K614" s="99"/>
      <c r="L614" s="99"/>
      <c r="M614" s="102"/>
      <c r="N614" s="102"/>
      <c r="O614" s="98"/>
      <c r="P614" s="98"/>
      <c r="Q614" s="98"/>
    </row>
    <row r="615">
      <c r="A615" s="96" t="s">
        <v>2252</v>
      </c>
      <c r="B615" s="97" t="s">
        <v>2253</v>
      </c>
      <c r="C615" s="97" t="s">
        <v>2254</v>
      </c>
      <c r="D615" s="97" t="s">
        <v>942</v>
      </c>
      <c r="E615" s="97" t="s">
        <v>1134</v>
      </c>
      <c r="F615" s="97" t="b">
        <v>0</v>
      </c>
      <c r="G615" s="97" t="b">
        <v>0</v>
      </c>
      <c r="H615" s="98"/>
      <c r="I615" s="98"/>
      <c r="J615" s="98"/>
      <c r="K615" s="100"/>
      <c r="L615" s="101"/>
      <c r="M615" s="102"/>
      <c r="N615" s="102"/>
      <c r="O615" s="98"/>
      <c r="P615" s="98"/>
      <c r="Q615" s="98"/>
    </row>
    <row r="616">
      <c r="A616" s="96" t="s">
        <v>2255</v>
      </c>
      <c r="B616" s="97" t="s">
        <v>2256</v>
      </c>
      <c r="C616" s="97" t="s">
        <v>2257</v>
      </c>
      <c r="D616" s="97" t="s">
        <v>1301</v>
      </c>
      <c r="E616" s="97" t="s">
        <v>630</v>
      </c>
      <c r="F616" s="97" t="b">
        <v>0</v>
      </c>
      <c r="G616" s="97" t="b">
        <v>0</v>
      </c>
      <c r="H616" s="98"/>
      <c r="I616" s="98"/>
      <c r="J616" s="98"/>
      <c r="K616" s="100"/>
      <c r="L616" s="101"/>
      <c r="M616" s="102"/>
      <c r="N616" s="102"/>
      <c r="O616" s="98"/>
      <c r="P616" s="98"/>
      <c r="Q616" s="98"/>
    </row>
    <row r="617">
      <c r="A617" s="96" t="s">
        <v>541</v>
      </c>
      <c r="B617" s="97" t="s">
        <v>2258</v>
      </c>
      <c r="C617" s="97" t="s">
        <v>2259</v>
      </c>
      <c r="D617" s="97" t="s">
        <v>1541</v>
      </c>
      <c r="E617" s="97" t="s">
        <v>659</v>
      </c>
      <c r="F617" s="97" t="b">
        <v>1</v>
      </c>
      <c r="G617" s="97" t="b">
        <v>1</v>
      </c>
      <c r="H617" s="98">
        <f>IF(A617:A2055="", "", COUNTIF(Check!H:H, A616:A2055))</f>
        <v>1</v>
      </c>
      <c r="I617" s="98"/>
      <c r="J617" s="98"/>
      <c r="K617" s="99"/>
      <c r="L617" s="99"/>
      <c r="M617" s="103"/>
      <c r="N617" s="104"/>
      <c r="O617" s="106"/>
      <c r="P617" s="106"/>
      <c r="Q617" s="98"/>
    </row>
    <row r="618">
      <c r="A618" s="96" t="s">
        <v>2260</v>
      </c>
      <c r="B618" s="97" t="s">
        <v>2261</v>
      </c>
      <c r="C618" s="97" t="s">
        <v>2262</v>
      </c>
      <c r="D618" s="97" t="s">
        <v>667</v>
      </c>
      <c r="E618" s="97" t="s">
        <v>697</v>
      </c>
      <c r="F618" s="97" t="b">
        <v>0</v>
      </c>
      <c r="G618" s="97" t="b">
        <v>0</v>
      </c>
      <c r="H618" s="98"/>
      <c r="I618" s="98"/>
      <c r="J618" s="98"/>
      <c r="K618" s="100" t="s">
        <v>662</v>
      </c>
      <c r="L618" s="101">
        <f>COUNTIFS($D$2:$D$1039, K618, $F$2:$F$1039, TRUE)</f>
        <v>5</v>
      </c>
      <c r="M618" s="100" t="s">
        <v>1251</v>
      </c>
      <c r="N618" s="101">
        <f>COUNTIFS($E$2:$E$1039, M618, $F$2:$F$1039, TRUE)</f>
        <v>0</v>
      </c>
      <c r="O618" s="98"/>
      <c r="P618" s="98"/>
      <c r="Q618" s="98"/>
    </row>
    <row r="619">
      <c r="A619" s="96" t="s">
        <v>2263</v>
      </c>
      <c r="B619" s="97" t="s">
        <v>2264</v>
      </c>
      <c r="C619" s="97" t="s">
        <v>2265</v>
      </c>
      <c r="D619" s="97" t="s">
        <v>1500</v>
      </c>
      <c r="E619" s="97" t="s">
        <v>830</v>
      </c>
      <c r="F619" s="97" t="b">
        <v>0</v>
      </c>
      <c r="G619" s="97" t="b">
        <v>0</v>
      </c>
      <c r="H619" s="98"/>
      <c r="I619" s="98"/>
      <c r="J619" s="98"/>
      <c r="K619" s="100"/>
      <c r="L619" s="101"/>
      <c r="M619" s="100"/>
      <c r="N619" s="101"/>
      <c r="O619" s="98"/>
      <c r="P619" s="98"/>
      <c r="Q619" s="98"/>
    </row>
    <row r="620">
      <c r="A620" s="96" t="s">
        <v>220</v>
      </c>
      <c r="B620" s="97" t="s">
        <v>2266</v>
      </c>
      <c r="C620" s="97" t="s">
        <v>2267</v>
      </c>
      <c r="D620" s="97" t="s">
        <v>633</v>
      </c>
      <c r="E620" s="97" t="s">
        <v>895</v>
      </c>
      <c r="F620" s="97" t="b">
        <v>1</v>
      </c>
      <c r="G620" s="97" t="b">
        <v>1</v>
      </c>
      <c r="H620" s="98">
        <f>IF(A620:A2055="", "", COUNTIF(Check!H:H, A619:A2055))</f>
        <v>1</v>
      </c>
      <c r="I620" s="98"/>
      <c r="J620" s="98"/>
      <c r="K620" s="99"/>
      <c r="L620" s="99"/>
      <c r="M620" s="102"/>
      <c r="N620" s="102"/>
      <c r="O620" s="98"/>
      <c r="P620" s="98"/>
      <c r="Q620" s="98"/>
    </row>
    <row r="621">
      <c r="A621" s="96" t="s">
        <v>221</v>
      </c>
      <c r="B621" s="97" t="s">
        <v>2266</v>
      </c>
      <c r="C621" s="97" t="s">
        <v>2268</v>
      </c>
      <c r="D621" s="97" t="s">
        <v>633</v>
      </c>
      <c r="E621" s="97" t="s">
        <v>685</v>
      </c>
      <c r="F621" s="97" t="b">
        <v>1</v>
      </c>
      <c r="G621" s="97" t="b">
        <v>1</v>
      </c>
      <c r="H621" s="98">
        <f>IF(A621:A2055="", "", COUNTIF(Check!H:H, A620:A2055))</f>
        <v>1</v>
      </c>
      <c r="I621" s="98"/>
      <c r="J621" s="98"/>
      <c r="K621" s="99"/>
      <c r="L621" s="99"/>
      <c r="M621" s="102"/>
      <c r="N621" s="102"/>
      <c r="O621" s="98"/>
      <c r="P621" s="98"/>
      <c r="Q621" s="98"/>
    </row>
    <row r="622">
      <c r="A622" s="96" t="s">
        <v>2269</v>
      </c>
      <c r="B622" s="97" t="s">
        <v>2266</v>
      </c>
      <c r="C622" s="97" t="s">
        <v>2270</v>
      </c>
      <c r="D622" s="97" t="s">
        <v>619</v>
      </c>
      <c r="E622" s="97" t="s">
        <v>1134</v>
      </c>
      <c r="F622" s="97" t="b">
        <v>0</v>
      </c>
      <c r="G622" s="97" t="b">
        <v>0</v>
      </c>
      <c r="H622" s="98"/>
      <c r="I622" s="98"/>
      <c r="J622" s="98"/>
      <c r="K622" s="99"/>
      <c r="L622" s="99"/>
      <c r="M622" s="102"/>
      <c r="N622" s="102"/>
      <c r="O622" s="98"/>
      <c r="P622" s="98"/>
      <c r="Q622" s="106"/>
    </row>
    <row r="623">
      <c r="A623" s="96" t="s">
        <v>2271</v>
      </c>
      <c r="B623" s="97" t="s">
        <v>2272</v>
      </c>
      <c r="C623" s="97" t="s">
        <v>2273</v>
      </c>
      <c r="D623" s="97" t="s">
        <v>755</v>
      </c>
      <c r="E623" s="97" t="s">
        <v>895</v>
      </c>
      <c r="F623" s="97" t="b">
        <v>0</v>
      </c>
      <c r="G623" s="97" t="b">
        <v>0</v>
      </c>
      <c r="H623" s="98"/>
      <c r="I623" s="98"/>
      <c r="J623" s="98"/>
      <c r="K623" s="99"/>
      <c r="L623" s="99"/>
      <c r="M623" s="102"/>
      <c r="N623" s="102"/>
      <c r="O623" s="98"/>
      <c r="P623" s="98"/>
      <c r="Q623" s="98"/>
    </row>
    <row r="624">
      <c r="A624" s="96" t="s">
        <v>2274</v>
      </c>
      <c r="B624" s="97" t="s">
        <v>2275</v>
      </c>
      <c r="C624" s="97" t="s">
        <v>2276</v>
      </c>
      <c r="D624" s="97" t="s">
        <v>878</v>
      </c>
      <c r="E624" s="97" t="s">
        <v>921</v>
      </c>
      <c r="F624" s="97" t="b">
        <v>0</v>
      </c>
      <c r="G624" s="97" t="b">
        <v>0</v>
      </c>
      <c r="H624" s="98"/>
      <c r="I624" s="98"/>
      <c r="J624" s="98"/>
      <c r="K624" s="108"/>
      <c r="L624" s="110"/>
      <c r="M624" s="102"/>
      <c r="N624" s="102"/>
      <c r="O624" s="98"/>
      <c r="P624" s="98"/>
      <c r="Q624" s="98"/>
    </row>
    <row r="625">
      <c r="A625" s="96" t="s">
        <v>2277</v>
      </c>
      <c r="B625" s="97" t="s">
        <v>2278</v>
      </c>
      <c r="C625" s="97" t="s">
        <v>2279</v>
      </c>
      <c r="D625" s="97" t="s">
        <v>662</v>
      </c>
      <c r="E625" s="97" t="s">
        <v>895</v>
      </c>
      <c r="F625" s="97" t="b">
        <v>0</v>
      </c>
      <c r="G625" s="97" t="b">
        <v>0</v>
      </c>
      <c r="H625" s="98"/>
      <c r="I625" s="98"/>
      <c r="J625" s="98"/>
      <c r="K625" s="99"/>
      <c r="L625" s="99"/>
      <c r="M625" s="102"/>
      <c r="N625" s="102"/>
      <c r="O625" s="98"/>
      <c r="P625" s="98"/>
      <c r="Q625" s="98"/>
    </row>
    <row r="626">
      <c r="A626" s="96" t="s">
        <v>2280</v>
      </c>
      <c r="B626" s="97" t="s">
        <v>2278</v>
      </c>
      <c r="C626" s="97" t="s">
        <v>2281</v>
      </c>
      <c r="D626" s="97" t="s">
        <v>964</v>
      </c>
      <c r="E626" s="97" t="s">
        <v>921</v>
      </c>
      <c r="F626" s="97" t="b">
        <v>0</v>
      </c>
      <c r="G626" s="97" t="b">
        <v>0</v>
      </c>
      <c r="H626" s="98"/>
      <c r="I626" s="98"/>
      <c r="J626" s="98"/>
      <c r="K626" s="100"/>
      <c r="L626" s="107"/>
      <c r="M626" s="103"/>
      <c r="N626" s="104"/>
      <c r="O626" s="106"/>
      <c r="P626" s="106"/>
      <c r="Q626" s="98"/>
    </row>
    <row r="627">
      <c r="A627" s="96" t="s">
        <v>2282</v>
      </c>
      <c r="B627" s="97" t="s">
        <v>2283</v>
      </c>
      <c r="C627" s="97" t="s">
        <v>2284</v>
      </c>
      <c r="D627" s="97" t="s">
        <v>760</v>
      </c>
      <c r="E627" s="97" t="s">
        <v>659</v>
      </c>
      <c r="F627" s="97" t="b">
        <v>0</v>
      </c>
      <c r="G627" s="97" t="b">
        <v>0</v>
      </c>
      <c r="H627" s="98"/>
      <c r="I627" s="98"/>
      <c r="J627" s="98"/>
      <c r="K627" s="99"/>
      <c r="L627" s="99"/>
      <c r="M627" s="100"/>
      <c r="N627" s="101"/>
      <c r="O627" s="98"/>
      <c r="P627" s="98"/>
      <c r="Q627" s="98"/>
    </row>
    <row r="628">
      <c r="A628" s="96" t="s">
        <v>48</v>
      </c>
      <c r="B628" s="97" t="s">
        <v>2285</v>
      </c>
      <c r="C628" s="97" t="s">
        <v>2286</v>
      </c>
      <c r="D628" s="97" t="s">
        <v>834</v>
      </c>
      <c r="E628" s="97" t="s">
        <v>767</v>
      </c>
      <c r="F628" s="97" t="b">
        <v>1</v>
      </c>
      <c r="G628" s="97" t="b">
        <v>1</v>
      </c>
      <c r="H628" s="98">
        <f>IF(A628:A2055="", "", COUNTIF(Check!H:H, A627:A2055))</f>
        <v>1</v>
      </c>
      <c r="I628" s="98"/>
      <c r="J628" s="98"/>
      <c r="K628" s="100"/>
      <c r="L628" s="107"/>
      <c r="M628" s="100"/>
      <c r="N628" s="101"/>
      <c r="O628" s="98"/>
      <c r="P628" s="98"/>
      <c r="Q628" s="98"/>
    </row>
    <row r="629">
      <c r="A629" s="96" t="s">
        <v>2287</v>
      </c>
      <c r="B629" s="97" t="s">
        <v>2288</v>
      </c>
      <c r="C629" s="97" t="s">
        <v>2289</v>
      </c>
      <c r="D629" s="97" t="s">
        <v>674</v>
      </c>
      <c r="E629" s="97" t="s">
        <v>722</v>
      </c>
      <c r="F629" s="97" t="b">
        <v>0</v>
      </c>
      <c r="G629" s="97" t="b">
        <v>0</v>
      </c>
      <c r="H629" s="98"/>
      <c r="I629" s="98"/>
      <c r="J629" s="98"/>
      <c r="K629" s="102"/>
      <c r="L629" s="102"/>
      <c r="M629" s="100"/>
      <c r="N629" s="101"/>
      <c r="O629" s="98"/>
      <c r="P629" s="98"/>
      <c r="Q629" s="98"/>
    </row>
    <row r="630">
      <c r="A630" s="96" t="s">
        <v>281</v>
      </c>
      <c r="B630" s="97" t="s">
        <v>2290</v>
      </c>
      <c r="C630" s="97" t="s">
        <v>2291</v>
      </c>
      <c r="D630" s="97" t="s">
        <v>801</v>
      </c>
      <c r="E630" s="97" t="s">
        <v>697</v>
      </c>
      <c r="F630" s="97" t="b">
        <v>1</v>
      </c>
      <c r="G630" s="97" t="b">
        <v>1</v>
      </c>
      <c r="H630" s="98">
        <f>IF(A630:A2055="", "", COUNTIF(Check!H:H, A629:A2055))</f>
        <v>1</v>
      </c>
      <c r="I630" s="98"/>
      <c r="J630" s="98"/>
      <c r="K630" s="100" t="s">
        <v>784</v>
      </c>
      <c r="L630" s="101">
        <f>COUNTIFS($D$2:$D$1039, K630, $F$2:$F$1039, TRUE)</f>
        <v>7</v>
      </c>
      <c r="M630" s="100" t="s">
        <v>1950</v>
      </c>
      <c r="N630" s="101">
        <f>COUNTIFS($E$2:$E$1039, M630, $F$2:$F$1039, TRUE)</f>
        <v>0</v>
      </c>
      <c r="O630" s="98"/>
      <c r="P630" s="98"/>
      <c r="Q630" s="98"/>
    </row>
    <row r="631">
      <c r="A631" s="96" t="s">
        <v>2292</v>
      </c>
      <c r="B631" s="97" t="s">
        <v>74</v>
      </c>
      <c r="C631" s="97" t="s">
        <v>2293</v>
      </c>
      <c r="D631" s="97" t="s">
        <v>721</v>
      </c>
      <c r="E631" s="97" t="s">
        <v>733</v>
      </c>
      <c r="F631" s="97" t="b">
        <v>0</v>
      </c>
      <c r="G631" s="97" t="b">
        <v>0</v>
      </c>
      <c r="H631" s="98"/>
      <c r="I631" s="98"/>
      <c r="J631" s="98"/>
      <c r="K631" s="100"/>
      <c r="L631" s="107"/>
      <c r="M631" s="100"/>
      <c r="N631" s="101"/>
      <c r="O631" s="98"/>
      <c r="P631" s="98"/>
      <c r="Q631" s="98"/>
    </row>
    <row r="632">
      <c r="A632" s="96" t="s">
        <v>2294</v>
      </c>
      <c r="B632" s="97" t="s">
        <v>2295</v>
      </c>
      <c r="C632" s="97" t="s">
        <v>2296</v>
      </c>
      <c r="D632" s="97" t="s">
        <v>684</v>
      </c>
      <c r="E632" s="97" t="s">
        <v>733</v>
      </c>
      <c r="F632" s="97" t="b">
        <v>0</v>
      </c>
      <c r="G632" s="97" t="b">
        <v>0</v>
      </c>
      <c r="H632" s="98"/>
      <c r="I632" s="98"/>
      <c r="J632" s="98"/>
      <c r="K632" s="102"/>
      <c r="L632" s="102"/>
      <c r="M632" s="102"/>
      <c r="N632" s="102"/>
      <c r="O632" s="98"/>
      <c r="P632" s="98"/>
      <c r="Q632" s="98"/>
    </row>
    <row r="633">
      <c r="A633" s="96" t="s">
        <v>52</v>
      </c>
      <c r="B633" s="97" t="s">
        <v>2297</v>
      </c>
      <c r="C633" s="97" t="s">
        <v>2298</v>
      </c>
      <c r="D633" s="97" t="s">
        <v>1500</v>
      </c>
      <c r="E633" s="97" t="s">
        <v>767</v>
      </c>
      <c r="F633" s="97" t="b">
        <v>1</v>
      </c>
      <c r="G633" s="97" t="b">
        <v>1</v>
      </c>
      <c r="H633" s="98">
        <f>IF(A633:A2055="", "", COUNTIF(Check!H:H, A632:A2055))</f>
        <v>1</v>
      </c>
      <c r="I633" s="98"/>
      <c r="J633" s="98"/>
      <c r="K633" s="99"/>
      <c r="L633" s="99"/>
      <c r="M633" s="100"/>
      <c r="N633" s="101"/>
      <c r="O633" s="98"/>
      <c r="P633" s="98"/>
      <c r="Q633" s="98"/>
    </row>
    <row r="634">
      <c r="A634" s="96" t="s">
        <v>156</v>
      </c>
      <c r="B634" s="97" t="s">
        <v>2299</v>
      </c>
      <c r="C634" s="97" t="s">
        <v>2300</v>
      </c>
      <c r="D634" s="97" t="s">
        <v>942</v>
      </c>
      <c r="E634" s="97" t="s">
        <v>727</v>
      </c>
      <c r="F634" s="97" t="b">
        <v>1</v>
      </c>
      <c r="G634" s="97" t="b">
        <v>1</v>
      </c>
      <c r="H634" s="98">
        <f>IF(A634:A2055="", "", COUNTIF(Check!H:H, A633:A2055))</f>
        <v>1</v>
      </c>
      <c r="I634" s="98"/>
      <c r="J634" s="98"/>
      <c r="K634" s="99"/>
      <c r="L634" s="99"/>
      <c r="M634" s="102"/>
      <c r="N634" s="102"/>
      <c r="O634" s="98"/>
      <c r="P634" s="98"/>
      <c r="Q634" s="98"/>
    </row>
    <row r="635">
      <c r="A635" s="96" t="s">
        <v>2301</v>
      </c>
      <c r="B635" s="97" t="s">
        <v>2302</v>
      </c>
      <c r="C635" s="97" t="s">
        <v>2303</v>
      </c>
      <c r="D635" s="97" t="s">
        <v>721</v>
      </c>
      <c r="E635" s="97" t="s">
        <v>891</v>
      </c>
      <c r="F635" s="97" t="b">
        <v>0</v>
      </c>
      <c r="G635" s="97" t="b">
        <v>0</v>
      </c>
      <c r="H635" s="98"/>
      <c r="I635" s="98"/>
      <c r="J635" s="98"/>
      <c r="K635" s="99"/>
      <c r="L635" s="99"/>
      <c r="M635" s="102"/>
      <c r="N635" s="102"/>
      <c r="O635" s="98"/>
      <c r="P635" s="98"/>
      <c r="Q635" s="98"/>
    </row>
    <row r="636">
      <c r="A636" s="96" t="s">
        <v>2304</v>
      </c>
      <c r="B636" s="97" t="s">
        <v>2305</v>
      </c>
      <c r="C636" s="97" t="s">
        <v>2306</v>
      </c>
      <c r="D636" s="97" t="s">
        <v>1177</v>
      </c>
      <c r="E636" s="97" t="s">
        <v>921</v>
      </c>
      <c r="F636" s="97" t="b">
        <v>0</v>
      </c>
      <c r="G636" s="97" t="b">
        <v>0</v>
      </c>
      <c r="H636" s="98"/>
      <c r="I636" s="98"/>
      <c r="J636" s="98"/>
      <c r="K636" s="99"/>
      <c r="L636" s="99"/>
      <c r="M636" s="102"/>
      <c r="N636" s="102"/>
      <c r="O636" s="98"/>
      <c r="P636" s="98"/>
      <c r="Q636" s="98"/>
    </row>
    <row r="637">
      <c r="A637" s="96" t="s">
        <v>122</v>
      </c>
      <c r="B637" s="97" t="s">
        <v>2307</v>
      </c>
      <c r="C637" s="97" t="s">
        <v>2308</v>
      </c>
      <c r="D637" s="97" t="s">
        <v>721</v>
      </c>
      <c r="E637" s="97" t="s">
        <v>590</v>
      </c>
      <c r="F637" s="97" t="b">
        <v>1</v>
      </c>
      <c r="G637" s="97" t="b">
        <v>1</v>
      </c>
      <c r="H637" s="98">
        <f>IF(A637:A2055="", "", COUNTIF(Check!H:H, A636:A2055))</f>
        <v>1</v>
      </c>
      <c r="I637" s="98"/>
      <c r="J637" s="98"/>
      <c r="K637" s="99"/>
      <c r="L637" s="99"/>
      <c r="M637" s="102"/>
      <c r="N637" s="102"/>
      <c r="O637" s="98"/>
      <c r="P637" s="98"/>
      <c r="Q637" s="98"/>
    </row>
    <row r="638">
      <c r="A638" s="96" t="s">
        <v>2309</v>
      </c>
      <c r="B638" s="97" t="s">
        <v>2310</v>
      </c>
      <c r="C638" s="97" t="s">
        <v>2311</v>
      </c>
      <c r="D638" s="97" t="s">
        <v>1495</v>
      </c>
      <c r="E638" s="97" t="s">
        <v>688</v>
      </c>
      <c r="F638" s="97" t="b">
        <v>0</v>
      </c>
      <c r="G638" s="97" t="b">
        <v>0</v>
      </c>
      <c r="H638" s="98"/>
      <c r="I638" s="98"/>
      <c r="J638" s="98"/>
      <c r="K638" s="99"/>
      <c r="L638" s="99"/>
      <c r="M638" s="102"/>
      <c r="N638" s="102"/>
      <c r="O638" s="98"/>
      <c r="P638" s="98"/>
      <c r="Q638" s="98"/>
    </row>
    <row r="639">
      <c r="A639" s="96" t="s">
        <v>303</v>
      </c>
      <c r="B639" s="97" t="s">
        <v>2312</v>
      </c>
      <c r="C639" s="97" t="s">
        <v>2313</v>
      </c>
      <c r="D639" s="97" t="s">
        <v>633</v>
      </c>
      <c r="E639" s="97" t="s">
        <v>895</v>
      </c>
      <c r="F639" s="97" t="b">
        <v>1</v>
      </c>
      <c r="G639" s="97" t="b">
        <v>1</v>
      </c>
      <c r="H639" s="98">
        <f>IF(A639:A2055="", "", COUNTIF(Check!H:H, A638:A2055))</f>
        <v>1</v>
      </c>
      <c r="I639" s="98"/>
      <c r="J639" s="98"/>
      <c r="K639" s="99"/>
      <c r="L639" s="99"/>
      <c r="M639" s="102"/>
      <c r="N639" s="102"/>
      <c r="O639" s="98"/>
      <c r="P639" s="98"/>
      <c r="Q639" s="98"/>
    </row>
    <row r="640">
      <c r="A640" s="96" t="s">
        <v>2314</v>
      </c>
      <c r="B640" s="97" t="s">
        <v>2315</v>
      </c>
      <c r="C640" s="97" t="s">
        <v>2316</v>
      </c>
      <c r="D640" s="97" t="s">
        <v>847</v>
      </c>
      <c r="E640" s="97" t="s">
        <v>607</v>
      </c>
      <c r="F640" s="97" t="b">
        <v>0</v>
      </c>
      <c r="G640" s="97" t="b">
        <v>0</v>
      </c>
      <c r="H640" s="98"/>
      <c r="I640" s="98"/>
      <c r="J640" s="98"/>
      <c r="K640" s="99"/>
      <c r="L640" s="99"/>
      <c r="M640" s="100"/>
      <c r="N640" s="101"/>
      <c r="O640" s="98"/>
      <c r="P640" s="98"/>
      <c r="Q640" s="98"/>
    </row>
    <row r="641">
      <c r="A641" s="96" t="s">
        <v>344</v>
      </c>
      <c r="B641" s="97" t="s">
        <v>2317</v>
      </c>
      <c r="C641" s="97" t="s">
        <v>2318</v>
      </c>
      <c r="D641" s="97" t="s">
        <v>1615</v>
      </c>
      <c r="E641" s="97" t="s">
        <v>663</v>
      </c>
      <c r="F641" s="97" t="b">
        <v>0</v>
      </c>
      <c r="G641" s="97" t="b">
        <v>0</v>
      </c>
      <c r="H641" s="98"/>
      <c r="I641" s="98"/>
      <c r="J641" s="98"/>
      <c r="K641" s="99"/>
      <c r="L641" s="99"/>
      <c r="M641" s="102"/>
      <c r="N641" s="102"/>
      <c r="O641" s="98"/>
      <c r="P641" s="98"/>
      <c r="Q641" s="98"/>
    </row>
    <row r="642">
      <c r="A642" s="96" t="s">
        <v>158</v>
      </c>
      <c r="B642" s="97" t="s">
        <v>2319</v>
      </c>
      <c r="C642" s="97" t="s">
        <v>2320</v>
      </c>
      <c r="D642" s="97" t="s">
        <v>1177</v>
      </c>
      <c r="E642" s="97" t="s">
        <v>607</v>
      </c>
      <c r="F642" s="97" t="b">
        <v>1</v>
      </c>
      <c r="G642" s="97" t="b">
        <v>1</v>
      </c>
      <c r="H642" s="98">
        <f>IF(A642:A2055="", "", COUNTIF(Check!H:H, A641:A2055))</f>
        <v>1</v>
      </c>
      <c r="I642" s="98"/>
      <c r="J642" s="98"/>
      <c r="K642" s="99"/>
      <c r="L642" s="99"/>
      <c r="M642" s="108"/>
      <c r="N642" s="109"/>
      <c r="O642" s="98"/>
      <c r="P642" s="98"/>
      <c r="Q642" s="98"/>
    </row>
    <row r="643">
      <c r="A643" s="96" t="s">
        <v>2321</v>
      </c>
      <c r="B643" s="97" t="s">
        <v>2322</v>
      </c>
      <c r="C643" s="97" t="s">
        <v>2323</v>
      </c>
      <c r="D643" s="97" t="s">
        <v>904</v>
      </c>
      <c r="E643" s="97" t="s">
        <v>688</v>
      </c>
      <c r="F643" s="97" t="b">
        <v>0</v>
      </c>
      <c r="G643" s="97" t="b">
        <v>0</v>
      </c>
      <c r="H643" s="98"/>
      <c r="I643" s="98"/>
      <c r="J643" s="98"/>
      <c r="K643" s="99"/>
      <c r="L643" s="99"/>
      <c r="M643" s="102"/>
      <c r="N643" s="102"/>
      <c r="O643" s="98"/>
      <c r="P643" s="98"/>
      <c r="Q643" s="111"/>
    </row>
    <row r="644">
      <c r="A644" s="96" t="s">
        <v>2324</v>
      </c>
      <c r="B644" s="97" t="s">
        <v>2322</v>
      </c>
      <c r="C644" s="97" t="s">
        <v>2325</v>
      </c>
      <c r="D644" s="97" t="s">
        <v>1503</v>
      </c>
      <c r="E644" s="97" t="s">
        <v>1076</v>
      </c>
      <c r="F644" s="97" t="b">
        <v>0</v>
      </c>
      <c r="G644" s="97" t="b">
        <v>0</v>
      </c>
      <c r="H644" s="98"/>
      <c r="I644" s="98"/>
      <c r="J644" s="98"/>
      <c r="K644" s="99"/>
      <c r="L644" s="99"/>
      <c r="M644" s="102"/>
      <c r="N644" s="102"/>
      <c r="O644" s="98"/>
      <c r="P644" s="98"/>
      <c r="Q644" s="111"/>
    </row>
    <row r="645">
      <c r="A645" s="96" t="s">
        <v>141</v>
      </c>
      <c r="B645" s="97" t="s">
        <v>2326</v>
      </c>
      <c r="C645" s="97" t="s">
        <v>2327</v>
      </c>
      <c r="D645" s="97" t="s">
        <v>948</v>
      </c>
      <c r="E645" s="97" t="s">
        <v>711</v>
      </c>
      <c r="F645" s="97" t="b">
        <v>1</v>
      </c>
      <c r="G645" s="97" t="b">
        <v>1</v>
      </c>
      <c r="H645" s="98">
        <f>IF(A645:A2055="", "", COUNTIF(Check!H:H, A644:A2055))</f>
        <v>1</v>
      </c>
      <c r="I645" s="98"/>
      <c r="J645" s="98"/>
      <c r="K645" s="99"/>
      <c r="L645" s="99"/>
      <c r="M645" s="102"/>
      <c r="N645" s="102"/>
      <c r="O645" s="98"/>
      <c r="P645" s="98"/>
      <c r="Q645" s="98"/>
    </row>
    <row r="646">
      <c r="A646" s="96" t="s">
        <v>2328</v>
      </c>
      <c r="B646" s="97" t="s">
        <v>2326</v>
      </c>
      <c r="C646" s="97" t="s">
        <v>2329</v>
      </c>
      <c r="D646" s="97" t="s">
        <v>725</v>
      </c>
      <c r="E646" s="97" t="s">
        <v>586</v>
      </c>
      <c r="F646" s="97" t="b">
        <v>0</v>
      </c>
      <c r="G646" s="97" t="b">
        <v>0</v>
      </c>
      <c r="H646" s="98"/>
      <c r="I646" s="98"/>
      <c r="J646" s="98"/>
      <c r="K646" s="99"/>
      <c r="L646" s="99"/>
      <c r="M646" s="102"/>
      <c r="N646" s="102"/>
      <c r="O646" s="98"/>
      <c r="P646" s="98"/>
      <c r="Q646" s="98"/>
    </row>
    <row r="647">
      <c r="A647" s="96" t="s">
        <v>2330</v>
      </c>
      <c r="B647" s="97" t="s">
        <v>2326</v>
      </c>
      <c r="C647" s="97" t="s">
        <v>2331</v>
      </c>
      <c r="D647" s="97" t="s">
        <v>773</v>
      </c>
      <c r="E647" s="97" t="s">
        <v>1172</v>
      </c>
      <c r="F647" s="97" t="b">
        <v>0</v>
      </c>
      <c r="G647" s="97" t="b">
        <v>0</v>
      </c>
      <c r="H647" s="98"/>
      <c r="I647" s="98"/>
      <c r="J647" s="98"/>
      <c r="K647" s="99"/>
      <c r="L647" s="99"/>
      <c r="M647" s="102"/>
      <c r="N647" s="102"/>
      <c r="O647" s="98"/>
      <c r="P647" s="98"/>
      <c r="Q647" s="98"/>
    </row>
    <row r="648">
      <c r="A648" s="96" t="s">
        <v>243</v>
      </c>
      <c r="B648" s="97" t="s">
        <v>2332</v>
      </c>
      <c r="C648" s="97" t="s">
        <v>2333</v>
      </c>
      <c r="D648" s="97" t="s">
        <v>658</v>
      </c>
      <c r="E648" s="97" t="s">
        <v>895</v>
      </c>
      <c r="F648" s="97" t="b">
        <v>1</v>
      </c>
      <c r="G648" s="97" t="b">
        <v>1</v>
      </c>
      <c r="H648" s="98">
        <f>IF(A648:A2055="", "", COUNTIF(Check!H:H, A647:A2055))</f>
        <v>1</v>
      </c>
      <c r="I648" s="98"/>
      <c r="J648" s="98"/>
      <c r="K648" s="99"/>
      <c r="L648" s="99"/>
      <c r="M648" s="102"/>
      <c r="N648" s="102"/>
      <c r="O648" s="98"/>
      <c r="P648" s="98"/>
      <c r="Q648" s="98"/>
    </row>
    <row r="649">
      <c r="A649" s="96" t="s">
        <v>2334</v>
      </c>
      <c r="B649" s="97" t="s">
        <v>857</v>
      </c>
      <c r="C649" s="97" t="s">
        <v>2335</v>
      </c>
      <c r="D649" s="97" t="s">
        <v>854</v>
      </c>
      <c r="E649" s="97" t="s">
        <v>616</v>
      </c>
      <c r="F649" s="97" t="b">
        <v>0</v>
      </c>
      <c r="G649" s="97" t="b">
        <v>0</v>
      </c>
      <c r="H649" s="98"/>
      <c r="I649" s="98"/>
      <c r="J649" s="98"/>
      <c r="K649" s="99"/>
      <c r="L649" s="99"/>
      <c r="M649" s="108"/>
      <c r="N649" s="109"/>
      <c r="O649" s="98"/>
      <c r="P649" s="98"/>
      <c r="Q649" s="98"/>
    </row>
    <row r="650">
      <c r="A650" s="96" t="s">
        <v>501</v>
      </c>
      <c r="B650" s="97" t="s">
        <v>2336</v>
      </c>
      <c r="C650" s="97" t="s">
        <v>2337</v>
      </c>
      <c r="D650" s="97" t="s">
        <v>684</v>
      </c>
      <c r="E650" s="97" t="s">
        <v>616</v>
      </c>
      <c r="F650" s="97" t="b">
        <v>1</v>
      </c>
      <c r="G650" s="97" t="b">
        <v>1</v>
      </c>
      <c r="H650" s="98">
        <f>IF(A650:A2055="", "", COUNTIF(Check!H:H, A649:A2055))</f>
        <v>1</v>
      </c>
      <c r="I650" s="98"/>
      <c r="J650" s="98"/>
      <c r="K650" s="99"/>
      <c r="L650" s="99"/>
      <c r="M650" s="102"/>
      <c r="N650" s="102"/>
      <c r="O650" s="98"/>
      <c r="P650" s="98"/>
      <c r="Q650" s="98"/>
    </row>
    <row r="651">
      <c r="A651" s="96" t="s">
        <v>2338</v>
      </c>
      <c r="B651" s="97" t="s">
        <v>2339</v>
      </c>
      <c r="C651" s="97" t="s">
        <v>2340</v>
      </c>
      <c r="D651" s="97" t="s">
        <v>1169</v>
      </c>
      <c r="E651" s="97" t="s">
        <v>1150</v>
      </c>
      <c r="F651" s="97" t="b">
        <v>0</v>
      </c>
      <c r="G651" s="97" t="b">
        <v>0</v>
      </c>
      <c r="H651" s="98"/>
      <c r="I651" s="98"/>
      <c r="J651" s="98"/>
      <c r="K651" s="99"/>
      <c r="L651" s="99"/>
      <c r="M651" s="103"/>
      <c r="N651" s="104"/>
      <c r="O651" s="98"/>
      <c r="P651" s="98"/>
      <c r="Q651" s="98"/>
    </row>
    <row r="652">
      <c r="A652" s="96" t="s">
        <v>2341</v>
      </c>
      <c r="B652" s="97" t="s">
        <v>2342</v>
      </c>
      <c r="C652" s="97" t="s">
        <v>2343</v>
      </c>
      <c r="D652" s="97" t="s">
        <v>1320</v>
      </c>
      <c r="E652" s="97" t="s">
        <v>2344</v>
      </c>
      <c r="F652" s="97" t="b">
        <v>0</v>
      </c>
      <c r="G652" s="97" t="b">
        <v>0</v>
      </c>
      <c r="H652" s="98"/>
      <c r="I652" s="98"/>
      <c r="J652" s="98"/>
      <c r="K652" s="99"/>
      <c r="L652" s="99"/>
      <c r="M652" s="102"/>
      <c r="N652" s="102"/>
      <c r="O652" s="98"/>
      <c r="P652" s="98"/>
      <c r="Q652" s="98"/>
    </row>
    <row r="653">
      <c r="A653" s="96" t="s">
        <v>205</v>
      </c>
      <c r="B653" s="97" t="s">
        <v>2345</v>
      </c>
      <c r="C653" s="97" t="s">
        <v>2346</v>
      </c>
      <c r="D653" s="97" t="s">
        <v>773</v>
      </c>
      <c r="E653" s="97" t="s">
        <v>777</v>
      </c>
      <c r="F653" s="97" t="b">
        <v>1</v>
      </c>
      <c r="G653" s="97" t="b">
        <v>1</v>
      </c>
      <c r="H653" s="98">
        <f>IF(A653:A2055="", "", COUNTIF(Check!H:H, A652:A2055))</f>
        <v>1</v>
      </c>
      <c r="I653" s="98"/>
      <c r="J653" s="98"/>
      <c r="K653" s="99"/>
      <c r="L653" s="99"/>
      <c r="M653" s="100"/>
      <c r="N653" s="101"/>
      <c r="O653" s="98"/>
      <c r="P653" s="98"/>
      <c r="Q653" s="98"/>
    </row>
    <row r="654">
      <c r="A654" s="96" t="s">
        <v>291</v>
      </c>
      <c r="B654" s="97" t="s">
        <v>2347</v>
      </c>
      <c r="C654" s="97" t="s">
        <v>2348</v>
      </c>
      <c r="D654" s="97" t="s">
        <v>801</v>
      </c>
      <c r="E654" s="97" t="s">
        <v>590</v>
      </c>
      <c r="F654" s="97" t="b">
        <v>1</v>
      </c>
      <c r="G654" s="97" t="b">
        <v>1</v>
      </c>
      <c r="H654" s="98">
        <f>IF(A654:A2055="", "", COUNTIF(Check!H:H, A653:A2055))</f>
        <v>1</v>
      </c>
      <c r="I654" s="98"/>
      <c r="J654" s="98"/>
      <c r="K654" s="99"/>
      <c r="L654" s="99"/>
      <c r="M654" s="102"/>
      <c r="N654" s="102"/>
      <c r="O654" s="98"/>
      <c r="P654" s="98"/>
      <c r="Q654" s="98"/>
    </row>
    <row r="655">
      <c r="A655" s="96" t="s">
        <v>2349</v>
      </c>
      <c r="B655" s="97" t="s">
        <v>2350</v>
      </c>
      <c r="C655" s="97" t="s">
        <v>2351</v>
      </c>
      <c r="D655" s="97" t="s">
        <v>1417</v>
      </c>
      <c r="E655" s="97" t="s">
        <v>711</v>
      </c>
      <c r="F655" s="97" t="b">
        <v>0</v>
      </c>
      <c r="G655" s="97" t="b">
        <v>0</v>
      </c>
      <c r="H655" s="98"/>
      <c r="I655" s="98"/>
      <c r="J655" s="98"/>
      <c r="K655" s="99"/>
      <c r="L655" s="99"/>
      <c r="M655" s="100"/>
      <c r="N655" s="101"/>
      <c r="O655" s="98"/>
      <c r="P655" s="98"/>
      <c r="Q655" s="105"/>
    </row>
    <row r="656">
      <c r="A656" s="96" t="s">
        <v>407</v>
      </c>
      <c r="B656" s="97" t="s">
        <v>2352</v>
      </c>
      <c r="C656" s="97" t="s">
        <v>2353</v>
      </c>
      <c r="D656" s="97" t="s">
        <v>667</v>
      </c>
      <c r="E656" s="97" t="s">
        <v>727</v>
      </c>
      <c r="F656" s="97" t="b">
        <v>1</v>
      </c>
      <c r="G656" s="97" t="b">
        <v>1</v>
      </c>
      <c r="H656" s="98">
        <f>IF(A656:A2055="", "", COUNTIF(Check!H:H, A655:A2055))</f>
        <v>1</v>
      </c>
      <c r="I656" s="98"/>
      <c r="J656" s="98"/>
      <c r="K656" s="99"/>
      <c r="L656" s="99"/>
      <c r="M656" s="102"/>
      <c r="N656" s="102"/>
      <c r="O656" s="98"/>
      <c r="P656" s="98"/>
      <c r="Q656" s="105"/>
    </row>
    <row r="657">
      <c r="A657" s="96" t="s">
        <v>2354</v>
      </c>
      <c r="B657" s="97" t="s">
        <v>2355</v>
      </c>
      <c r="C657" s="97" t="s">
        <v>2356</v>
      </c>
      <c r="D657" s="97" t="s">
        <v>920</v>
      </c>
      <c r="E657" s="97" t="s">
        <v>761</v>
      </c>
      <c r="F657" s="97" t="b">
        <v>0</v>
      </c>
      <c r="G657" s="97" t="b">
        <v>0</v>
      </c>
      <c r="H657" s="98"/>
      <c r="I657" s="98"/>
      <c r="J657" s="98"/>
      <c r="K657" s="100"/>
      <c r="L657" s="107"/>
      <c r="M657" s="100"/>
      <c r="N657" s="101"/>
      <c r="O657" s="98"/>
      <c r="P657" s="98"/>
      <c r="Q657" s="106"/>
    </row>
    <row r="658">
      <c r="A658" s="96" t="s">
        <v>2357</v>
      </c>
      <c r="B658" s="97" t="s">
        <v>2358</v>
      </c>
      <c r="C658" s="97" t="s">
        <v>2359</v>
      </c>
      <c r="D658" s="97" t="s">
        <v>662</v>
      </c>
      <c r="E658" s="97" t="s">
        <v>1447</v>
      </c>
      <c r="F658" s="97" t="b">
        <v>0</v>
      </c>
      <c r="G658" s="97" t="b">
        <v>0</v>
      </c>
      <c r="H658" s="98"/>
      <c r="I658" s="98"/>
      <c r="J658" s="98"/>
      <c r="K658" s="100" t="s">
        <v>658</v>
      </c>
      <c r="L658" s="101">
        <f t="shared" ref="L658:L659" si="9">COUNTIFS($D$2:$D$1039, K658, $F$2:$F$1039, TRUE)</f>
        <v>7</v>
      </c>
      <c r="M658" s="108" t="s">
        <v>1854</v>
      </c>
      <c r="N658" s="109">
        <f t="shared" ref="N658:N659" si="10">COUNTIFS($E$2:$E$1039, M658, $F$2:$F$1039, TRUE)</f>
        <v>1</v>
      </c>
      <c r="O658" s="98"/>
      <c r="P658" s="98"/>
      <c r="Q658" s="98"/>
    </row>
    <row r="659">
      <c r="A659" s="96" t="s">
        <v>2360</v>
      </c>
      <c r="B659" s="97" t="s">
        <v>2361</v>
      </c>
      <c r="C659" s="97" t="s">
        <v>2362</v>
      </c>
      <c r="D659" s="97" t="s">
        <v>721</v>
      </c>
      <c r="E659" s="97" t="s">
        <v>1050</v>
      </c>
      <c r="F659" s="97" t="b">
        <v>0</v>
      </c>
      <c r="G659" s="97" t="b">
        <v>0</v>
      </c>
      <c r="H659" s="98"/>
      <c r="I659" s="98"/>
      <c r="J659" s="98"/>
      <c r="K659" s="108" t="s">
        <v>1017</v>
      </c>
      <c r="L659" s="109">
        <f t="shared" si="9"/>
        <v>1</v>
      </c>
      <c r="M659" s="100" t="s">
        <v>1363</v>
      </c>
      <c r="N659" s="101">
        <f t="shared" si="10"/>
        <v>0</v>
      </c>
      <c r="O659" s="98"/>
      <c r="P659" s="98"/>
      <c r="Q659" s="98"/>
    </row>
    <row r="660">
      <c r="A660" s="96" t="s">
        <v>338</v>
      </c>
      <c r="B660" s="97" t="s">
        <v>2363</v>
      </c>
      <c r="C660" s="97" t="s">
        <v>2364</v>
      </c>
      <c r="D660" s="97" t="s">
        <v>732</v>
      </c>
      <c r="E660" s="97" t="s">
        <v>711</v>
      </c>
      <c r="F660" s="97" t="b">
        <v>1</v>
      </c>
      <c r="G660" s="97" t="b">
        <v>1</v>
      </c>
      <c r="H660" s="98">
        <f>IF(A660:A2055="", "", COUNTIF(Check!H:H, A659:A2055))</f>
        <v>1</v>
      </c>
      <c r="I660" s="98"/>
      <c r="J660" s="98"/>
      <c r="K660" s="99"/>
      <c r="L660" s="99"/>
      <c r="M660" s="100"/>
      <c r="N660" s="101"/>
      <c r="O660" s="98"/>
      <c r="P660" s="98"/>
      <c r="Q660" s="98"/>
    </row>
    <row r="661">
      <c r="A661" s="96" t="s">
        <v>570</v>
      </c>
      <c r="B661" s="97" t="s">
        <v>2365</v>
      </c>
      <c r="C661" s="97" t="s">
        <v>2366</v>
      </c>
      <c r="D661" s="97" t="s">
        <v>619</v>
      </c>
      <c r="E661" s="97" t="s">
        <v>620</v>
      </c>
      <c r="F661" s="97" t="b">
        <v>0</v>
      </c>
      <c r="G661" s="97" t="b">
        <v>0</v>
      </c>
      <c r="H661" s="98"/>
      <c r="I661" s="98"/>
      <c r="J661" s="98"/>
      <c r="K661" s="102"/>
      <c r="L661" s="102"/>
      <c r="M661" s="102"/>
      <c r="N661" s="102"/>
      <c r="O661" s="98"/>
      <c r="P661" s="98"/>
      <c r="Q661" s="98"/>
    </row>
    <row r="662">
      <c r="A662" s="96" t="s">
        <v>2367</v>
      </c>
      <c r="B662" s="97" t="s">
        <v>2368</v>
      </c>
      <c r="C662" s="97" t="s">
        <v>2369</v>
      </c>
      <c r="D662" s="97" t="s">
        <v>1089</v>
      </c>
      <c r="E662" s="97" t="s">
        <v>1234</v>
      </c>
      <c r="F662" s="97" t="b">
        <v>0</v>
      </c>
      <c r="G662" s="97" t="b">
        <v>0</v>
      </c>
      <c r="H662" s="98"/>
      <c r="I662" s="98"/>
      <c r="J662" s="98"/>
      <c r="K662" s="99"/>
      <c r="L662" s="99"/>
      <c r="M662" s="102"/>
      <c r="N662" s="102"/>
      <c r="O662" s="98"/>
      <c r="P662" s="98"/>
      <c r="Q662" s="98"/>
    </row>
    <row r="663">
      <c r="A663" s="96" t="s">
        <v>2370</v>
      </c>
      <c r="B663" s="97" t="s">
        <v>2371</v>
      </c>
      <c r="C663" s="97" t="s">
        <v>2372</v>
      </c>
      <c r="D663" s="97" t="s">
        <v>776</v>
      </c>
      <c r="E663" s="97" t="s">
        <v>895</v>
      </c>
      <c r="F663" s="97" t="b">
        <v>0</v>
      </c>
      <c r="G663" s="97" t="b">
        <v>0</v>
      </c>
      <c r="H663" s="98"/>
      <c r="I663" s="98"/>
      <c r="J663" s="98"/>
      <c r="K663" s="99"/>
      <c r="L663" s="99"/>
      <c r="M663" s="102"/>
      <c r="N663" s="102"/>
      <c r="O663" s="98"/>
      <c r="P663" s="98"/>
      <c r="Q663" s="98"/>
    </row>
    <row r="664">
      <c r="A664" s="96" t="s">
        <v>2373</v>
      </c>
      <c r="B664" s="97" t="s">
        <v>2374</v>
      </c>
      <c r="C664" s="97" t="s">
        <v>2375</v>
      </c>
      <c r="D664" s="97" t="s">
        <v>667</v>
      </c>
      <c r="E664" s="97" t="s">
        <v>830</v>
      </c>
      <c r="F664" s="97" t="b">
        <v>0</v>
      </c>
      <c r="G664" s="97" t="b">
        <v>0</v>
      </c>
      <c r="H664" s="98"/>
      <c r="I664" s="98"/>
      <c r="J664" s="98"/>
      <c r="K664" s="100"/>
      <c r="L664" s="107"/>
      <c r="M664" s="100"/>
      <c r="N664" s="101"/>
      <c r="O664" s="98"/>
      <c r="P664" s="98"/>
      <c r="Q664" s="98"/>
    </row>
    <row r="665">
      <c r="A665" s="96" t="s">
        <v>418</v>
      </c>
      <c r="B665" s="97" t="s">
        <v>2376</v>
      </c>
      <c r="C665" s="97" t="s">
        <v>2377</v>
      </c>
      <c r="D665" s="97" t="s">
        <v>760</v>
      </c>
      <c r="E665" s="97" t="s">
        <v>590</v>
      </c>
      <c r="F665" s="97" t="b">
        <v>1</v>
      </c>
      <c r="G665" s="97" t="b">
        <v>1</v>
      </c>
      <c r="H665" s="98">
        <f>IF(A665:A2055="", "", COUNTIF(Check!H:H, A664:A2055))</f>
        <v>1</v>
      </c>
      <c r="I665" s="98"/>
      <c r="J665" s="98"/>
      <c r="K665" s="99"/>
      <c r="L665" s="99"/>
      <c r="M665" s="102"/>
      <c r="N665" s="102"/>
      <c r="O665" s="98"/>
      <c r="P665" s="98"/>
      <c r="Q665" s="98"/>
    </row>
    <row r="666">
      <c r="A666" s="96" t="s">
        <v>309</v>
      </c>
      <c r="B666" s="97" t="s">
        <v>2378</v>
      </c>
      <c r="C666" s="97" t="s">
        <v>2379</v>
      </c>
      <c r="D666" s="97" t="s">
        <v>1417</v>
      </c>
      <c r="E666" s="97" t="s">
        <v>711</v>
      </c>
      <c r="F666" s="97" t="b">
        <v>1</v>
      </c>
      <c r="G666" s="97" t="b">
        <v>1</v>
      </c>
      <c r="H666" s="98">
        <f>IF(A666:A2055="", "", COUNTIF(Check!H:H, A665:A2055))</f>
        <v>1</v>
      </c>
      <c r="I666" s="98"/>
      <c r="J666" s="98"/>
      <c r="K666" s="99"/>
      <c r="L666" s="99"/>
      <c r="M666" s="100"/>
      <c r="N666" s="101"/>
      <c r="O666" s="98"/>
      <c r="P666" s="98"/>
      <c r="Q666" s="98"/>
    </row>
    <row r="667">
      <c r="A667" s="96" t="s">
        <v>2380</v>
      </c>
      <c r="B667" s="97" t="s">
        <v>2381</v>
      </c>
      <c r="C667" s="97" t="s">
        <v>2382</v>
      </c>
      <c r="D667" s="97" t="s">
        <v>606</v>
      </c>
      <c r="E667" s="97" t="s">
        <v>611</v>
      </c>
      <c r="F667" s="97" t="b">
        <v>0</v>
      </c>
      <c r="G667" s="97" t="b">
        <v>0</v>
      </c>
      <c r="H667" s="98"/>
      <c r="I667" s="98"/>
      <c r="J667" s="98"/>
      <c r="K667" s="99"/>
      <c r="L667" s="99"/>
      <c r="M667" s="102"/>
      <c r="N667" s="102"/>
      <c r="O667" s="98"/>
      <c r="P667" s="98"/>
      <c r="Q667" s="98"/>
    </row>
    <row r="668">
      <c r="A668" s="96" t="s">
        <v>2383</v>
      </c>
      <c r="B668" s="97" t="s">
        <v>580</v>
      </c>
      <c r="C668" s="97" t="s">
        <v>581</v>
      </c>
      <c r="D668" s="97" t="s">
        <v>619</v>
      </c>
      <c r="E668" s="97" t="s">
        <v>582</v>
      </c>
      <c r="F668" s="97" t="b">
        <v>0</v>
      </c>
      <c r="G668" s="97" t="b">
        <v>0</v>
      </c>
      <c r="H668" s="98"/>
      <c r="I668" s="98"/>
      <c r="J668" s="98"/>
      <c r="K668" s="99"/>
      <c r="L668" s="99"/>
      <c r="M668" s="100"/>
      <c r="N668" s="101"/>
      <c r="O668" s="98"/>
      <c r="P668" s="98"/>
      <c r="Q668" s="98"/>
    </row>
    <row r="669">
      <c r="A669" s="96" t="s">
        <v>2384</v>
      </c>
      <c r="B669" s="97" t="s">
        <v>2385</v>
      </c>
      <c r="C669" s="97" t="s">
        <v>2386</v>
      </c>
      <c r="D669" s="97" t="s">
        <v>1451</v>
      </c>
      <c r="E669" s="97" t="s">
        <v>1950</v>
      </c>
      <c r="F669" s="97" t="b">
        <v>0</v>
      </c>
      <c r="G669" s="97" t="b">
        <v>0</v>
      </c>
      <c r="H669" s="98"/>
      <c r="I669" s="98"/>
      <c r="J669" s="98"/>
      <c r="K669" s="100" t="s">
        <v>1114</v>
      </c>
      <c r="L669" s="101">
        <f>COUNTIFS($D$2:$D$1039, K669, $F$2:$F$1039, TRUE)</f>
        <v>5</v>
      </c>
      <c r="M669" s="102"/>
      <c r="N669" s="102"/>
      <c r="O669" s="98"/>
      <c r="P669" s="98"/>
      <c r="Q669" s="98"/>
    </row>
    <row r="670">
      <c r="A670" s="96" t="s">
        <v>2387</v>
      </c>
      <c r="B670" s="97" t="s">
        <v>2385</v>
      </c>
      <c r="C670" s="97" t="s">
        <v>2388</v>
      </c>
      <c r="D670" s="97" t="s">
        <v>1055</v>
      </c>
      <c r="E670" s="97" t="s">
        <v>2389</v>
      </c>
      <c r="F670" s="97" t="b">
        <v>0</v>
      </c>
      <c r="G670" s="97" t="b">
        <v>0</v>
      </c>
      <c r="H670" s="98"/>
      <c r="I670" s="98"/>
      <c r="J670" s="98"/>
      <c r="K670" s="99"/>
      <c r="L670" s="99"/>
      <c r="M670" s="103"/>
      <c r="N670" s="104"/>
      <c r="O670" s="105"/>
      <c r="P670" s="105"/>
      <c r="Q670" s="98"/>
    </row>
    <row r="671">
      <c r="A671" s="96" t="s">
        <v>2390</v>
      </c>
      <c r="B671" s="97" t="s">
        <v>2391</v>
      </c>
      <c r="C671" s="97" t="s">
        <v>2392</v>
      </c>
      <c r="D671" s="97" t="s">
        <v>708</v>
      </c>
      <c r="E671" s="97" t="s">
        <v>1134</v>
      </c>
      <c r="F671" s="97" t="b">
        <v>0</v>
      </c>
      <c r="G671" s="97" t="b">
        <v>0</v>
      </c>
      <c r="H671" s="98"/>
      <c r="I671" s="98"/>
      <c r="J671" s="98"/>
      <c r="K671" s="100"/>
      <c r="L671" s="107"/>
      <c r="M671" s="102"/>
      <c r="N671" s="102"/>
      <c r="O671" s="98"/>
      <c r="P671" s="98"/>
      <c r="Q671" s="98"/>
    </row>
    <row r="672">
      <c r="A672" s="96" t="s">
        <v>332</v>
      </c>
      <c r="B672" s="97" t="s">
        <v>2393</v>
      </c>
      <c r="C672" s="97" t="s">
        <v>2394</v>
      </c>
      <c r="D672" s="97" t="s">
        <v>1108</v>
      </c>
      <c r="E672" s="97" t="s">
        <v>767</v>
      </c>
      <c r="F672" s="97" t="b">
        <v>1</v>
      </c>
      <c r="G672" s="97" t="b">
        <v>1</v>
      </c>
      <c r="H672" s="98">
        <f>IF(A672:A2055="", "", COUNTIF(Check!H:H, A671:A2055))</f>
        <v>1</v>
      </c>
      <c r="I672" s="98"/>
      <c r="J672" s="98"/>
      <c r="K672" s="99"/>
      <c r="L672" s="99"/>
      <c r="M672" s="102"/>
      <c r="N672" s="102"/>
      <c r="O672" s="98"/>
      <c r="P672" s="98"/>
      <c r="Q672" s="98"/>
    </row>
    <row r="673">
      <c r="A673" s="96" t="s">
        <v>400</v>
      </c>
      <c r="B673" s="97" t="s">
        <v>2393</v>
      </c>
      <c r="C673" s="97" t="s">
        <v>2395</v>
      </c>
      <c r="D673" s="97"/>
      <c r="E673" s="97"/>
      <c r="F673" s="97" t="b">
        <v>1</v>
      </c>
      <c r="G673" s="97" t="b">
        <v>1</v>
      </c>
      <c r="H673" s="98">
        <f>IF(A673:A2055="", "", COUNTIF(Check!H:H, A672:A2055))</f>
        <v>1</v>
      </c>
      <c r="I673" s="98"/>
      <c r="J673" s="98"/>
      <c r="K673" s="102"/>
      <c r="L673" s="102"/>
      <c r="M673" s="102"/>
      <c r="N673" s="102"/>
      <c r="O673" s="98"/>
      <c r="P673" s="98"/>
      <c r="Q673" s="98"/>
    </row>
    <row r="674">
      <c r="A674" s="96" t="s">
        <v>386</v>
      </c>
      <c r="B674" s="97" t="s">
        <v>2396</v>
      </c>
      <c r="C674" s="97" t="s">
        <v>2397</v>
      </c>
      <c r="D674" s="97" t="s">
        <v>1191</v>
      </c>
      <c r="E674" s="97" t="s">
        <v>1050</v>
      </c>
      <c r="F674" s="97" t="b">
        <v>1</v>
      </c>
      <c r="G674" s="97" t="b">
        <v>1</v>
      </c>
      <c r="H674" s="98">
        <f>IF(A674:A2055="", "", COUNTIF(Check!H:H, A673:A2055))</f>
        <v>1</v>
      </c>
      <c r="I674" s="98"/>
      <c r="J674" s="98"/>
      <c r="K674" s="103" t="s">
        <v>821</v>
      </c>
      <c r="L674" s="112">
        <f>COUNTIFS($D$2:$D$1039, K674, $F$2:$F$1039, TRUE)</f>
        <v>0</v>
      </c>
      <c r="M674" s="100" t="s">
        <v>761</v>
      </c>
      <c r="N674" s="101">
        <f>COUNTIFS($E$2:$E$1039, M674, $F$2:$F$1039, TRUE)</f>
        <v>22</v>
      </c>
      <c r="O674" s="98"/>
      <c r="P674" s="98"/>
      <c r="Q674" s="98"/>
    </row>
    <row r="675">
      <c r="A675" s="96" t="s">
        <v>132</v>
      </c>
      <c r="B675" s="97" t="s">
        <v>2396</v>
      </c>
      <c r="C675" s="97" t="s">
        <v>2398</v>
      </c>
      <c r="D675" s="97" t="s">
        <v>648</v>
      </c>
      <c r="E675" s="97" t="s">
        <v>586</v>
      </c>
      <c r="F675" s="97" t="b">
        <v>1</v>
      </c>
      <c r="G675" s="97" t="b">
        <v>1</v>
      </c>
      <c r="H675" s="98">
        <f>IF(A675:A2055="", "", COUNTIF(Check!H:H, A674:A2055))</f>
        <v>1</v>
      </c>
      <c r="I675" s="98"/>
      <c r="J675" s="98"/>
      <c r="K675" s="99"/>
      <c r="L675" s="99"/>
      <c r="M675" s="102"/>
      <c r="N675" s="102"/>
      <c r="O675" s="98"/>
      <c r="P675" s="98"/>
      <c r="Q675" s="98"/>
    </row>
    <row r="676">
      <c r="A676" s="96" t="s">
        <v>484</v>
      </c>
      <c r="B676" s="97" t="s">
        <v>2399</v>
      </c>
      <c r="C676" s="97" t="s">
        <v>2400</v>
      </c>
      <c r="D676" s="97" t="s">
        <v>655</v>
      </c>
      <c r="E676" s="97" t="s">
        <v>921</v>
      </c>
      <c r="F676" s="97" t="b">
        <v>1</v>
      </c>
      <c r="G676" s="97" t="b">
        <v>1</v>
      </c>
      <c r="H676" s="98">
        <f>IF(A676:A2055="", "", COUNTIF(Check!H:H, A675:A2055))</f>
        <v>1</v>
      </c>
      <c r="I676" s="98"/>
      <c r="J676" s="98"/>
      <c r="K676" s="99"/>
      <c r="L676" s="99"/>
      <c r="M676" s="102"/>
      <c r="N676" s="102"/>
      <c r="O676" s="98"/>
      <c r="P676" s="98"/>
      <c r="Q676" s="98"/>
    </row>
    <row r="677">
      <c r="A677" s="96" t="s">
        <v>2401</v>
      </c>
      <c r="B677" s="97" t="s">
        <v>2402</v>
      </c>
      <c r="C677" s="97" t="s">
        <v>2403</v>
      </c>
      <c r="D677" s="97" t="s">
        <v>740</v>
      </c>
      <c r="E677" s="97" t="s">
        <v>777</v>
      </c>
      <c r="F677" s="97" t="b">
        <v>0</v>
      </c>
      <c r="G677" s="97" t="b">
        <v>0</v>
      </c>
      <c r="H677" s="98"/>
      <c r="I677" s="98"/>
      <c r="J677" s="98"/>
      <c r="K677" s="99"/>
      <c r="L677" s="99"/>
      <c r="M677" s="100"/>
      <c r="N677" s="101"/>
      <c r="O677" s="98"/>
      <c r="P677" s="98"/>
      <c r="Q677" s="98"/>
    </row>
    <row r="678">
      <c r="A678" s="96" t="s">
        <v>396</v>
      </c>
      <c r="B678" s="97" t="s">
        <v>2402</v>
      </c>
      <c r="C678" s="97" t="s">
        <v>2404</v>
      </c>
      <c r="D678" s="97"/>
      <c r="E678" s="97"/>
      <c r="F678" s="97" t="b">
        <v>1</v>
      </c>
      <c r="G678" s="97" t="b">
        <v>1</v>
      </c>
      <c r="H678" s="98">
        <f>IF(A678:A2055="", "", COUNTIF(Check!H:H, A677:A2055))</f>
        <v>1</v>
      </c>
      <c r="I678" s="98"/>
      <c r="J678" s="98"/>
      <c r="K678" s="102"/>
      <c r="L678" s="102"/>
      <c r="M678" s="102"/>
      <c r="N678" s="102"/>
      <c r="O678" s="98"/>
      <c r="P678" s="98"/>
      <c r="Q678" s="98"/>
    </row>
    <row r="679">
      <c r="A679" s="96" t="s">
        <v>2405</v>
      </c>
      <c r="B679" s="97" t="s">
        <v>2406</v>
      </c>
      <c r="C679" s="97" t="s">
        <v>2407</v>
      </c>
      <c r="D679" s="97" t="s">
        <v>814</v>
      </c>
      <c r="E679" s="97" t="s">
        <v>830</v>
      </c>
      <c r="F679" s="97" t="b">
        <v>0</v>
      </c>
      <c r="G679" s="97" t="b">
        <v>0</v>
      </c>
      <c r="H679" s="98"/>
      <c r="I679" s="98"/>
      <c r="J679" s="98"/>
      <c r="K679" s="108"/>
      <c r="L679" s="110"/>
      <c r="M679" s="103"/>
      <c r="N679" s="104"/>
      <c r="O679" s="105"/>
      <c r="P679" s="105"/>
      <c r="Q679" s="98"/>
    </row>
    <row r="680">
      <c r="A680" s="96" t="s">
        <v>170</v>
      </c>
      <c r="B680" s="97" t="s">
        <v>2408</v>
      </c>
      <c r="C680" s="97" t="s">
        <v>2409</v>
      </c>
      <c r="D680" s="97" t="s">
        <v>721</v>
      </c>
      <c r="E680" s="97" t="s">
        <v>663</v>
      </c>
      <c r="F680" s="97" t="b">
        <v>1</v>
      </c>
      <c r="G680" s="97" t="b">
        <v>1</v>
      </c>
      <c r="H680" s="98">
        <f>IF(A680:A2055="", "", COUNTIF(Check!H:H, A679:A2055))</f>
        <v>1</v>
      </c>
      <c r="I680" s="98"/>
      <c r="J680" s="98"/>
      <c r="K680" s="100"/>
      <c r="L680" s="107"/>
      <c r="M680" s="100"/>
      <c r="N680" s="101"/>
      <c r="O680" s="98"/>
      <c r="P680" s="98"/>
      <c r="Q680" s="98"/>
    </row>
    <row r="681">
      <c r="A681" s="96" t="s">
        <v>2410</v>
      </c>
      <c r="B681" s="97" t="s">
        <v>2411</v>
      </c>
      <c r="C681" s="97" t="s">
        <v>2412</v>
      </c>
      <c r="D681" s="97" t="s">
        <v>1026</v>
      </c>
      <c r="E681" s="97" t="s">
        <v>659</v>
      </c>
      <c r="F681" s="97" t="b">
        <v>0</v>
      </c>
      <c r="G681" s="97" t="b">
        <v>0</v>
      </c>
      <c r="H681" s="98"/>
      <c r="I681" s="98"/>
      <c r="J681" s="98"/>
      <c r="K681" s="99"/>
      <c r="L681" s="99"/>
      <c r="M681" s="108"/>
      <c r="N681" s="109"/>
      <c r="O681" s="98"/>
      <c r="P681" s="98"/>
      <c r="Q681" s="98"/>
    </row>
    <row r="682">
      <c r="A682" s="96" t="s">
        <v>2413</v>
      </c>
      <c r="B682" s="97" t="s">
        <v>2411</v>
      </c>
      <c r="C682" s="97" t="s">
        <v>2414</v>
      </c>
      <c r="D682" s="97" t="s">
        <v>639</v>
      </c>
      <c r="E682" s="97" t="s">
        <v>1265</v>
      </c>
      <c r="F682" s="97" t="b">
        <v>0</v>
      </c>
      <c r="G682" s="97" t="b">
        <v>0</v>
      </c>
      <c r="H682" s="98"/>
      <c r="I682" s="98"/>
      <c r="J682" s="98"/>
      <c r="K682" s="99"/>
      <c r="L682" s="99"/>
      <c r="M682" s="103"/>
      <c r="N682" s="104"/>
      <c r="O682" s="105"/>
      <c r="P682" s="105"/>
      <c r="Q682" s="98"/>
    </row>
    <row r="683">
      <c r="A683" s="96" t="s">
        <v>2415</v>
      </c>
      <c r="B683" s="97" t="s">
        <v>2416</v>
      </c>
      <c r="C683" s="97" t="s">
        <v>2417</v>
      </c>
      <c r="D683" s="97" t="s">
        <v>629</v>
      </c>
      <c r="E683" s="97" t="s">
        <v>777</v>
      </c>
      <c r="F683" s="97" t="b">
        <v>0</v>
      </c>
      <c r="G683" s="97" t="b">
        <v>0</v>
      </c>
      <c r="H683" s="98"/>
      <c r="I683" s="98"/>
      <c r="J683" s="98"/>
      <c r="K683" s="99"/>
      <c r="L683" s="99"/>
      <c r="M683" s="102"/>
      <c r="N683" s="102"/>
      <c r="O683" s="98"/>
      <c r="P683" s="98"/>
      <c r="Q683" s="98"/>
    </row>
    <row r="684">
      <c r="A684" s="96" t="s">
        <v>507</v>
      </c>
      <c r="B684" s="97" t="s">
        <v>2418</v>
      </c>
      <c r="C684" s="97" t="s">
        <v>2419</v>
      </c>
      <c r="D684" s="97" t="s">
        <v>1500</v>
      </c>
      <c r="E684" s="97" t="s">
        <v>644</v>
      </c>
      <c r="F684" s="97" t="b">
        <v>1</v>
      </c>
      <c r="G684" s="97" t="b">
        <v>1</v>
      </c>
      <c r="H684" s="98">
        <f>IF(A684:A2055="", "", COUNTIF(Check!H:H, A683:A2055))</f>
        <v>1</v>
      </c>
      <c r="I684" s="98"/>
      <c r="J684" s="98"/>
      <c r="K684" s="100"/>
      <c r="L684" s="101"/>
      <c r="M684" s="102"/>
      <c r="N684" s="102"/>
      <c r="O684" s="98"/>
      <c r="P684" s="98"/>
      <c r="Q684" s="98"/>
    </row>
    <row r="685">
      <c r="A685" s="96" t="s">
        <v>579</v>
      </c>
      <c r="B685" s="97" t="s">
        <v>2418</v>
      </c>
      <c r="C685" s="97" t="s">
        <v>2420</v>
      </c>
      <c r="D685" s="97" t="s">
        <v>939</v>
      </c>
      <c r="E685" s="97" t="s">
        <v>733</v>
      </c>
      <c r="F685" s="97" t="b">
        <v>0</v>
      </c>
      <c r="G685" s="97" t="b">
        <v>0</v>
      </c>
      <c r="H685" s="98"/>
      <c r="I685" s="98"/>
      <c r="J685" s="98"/>
      <c r="K685" s="102"/>
      <c r="L685" s="102"/>
      <c r="M685" s="102"/>
      <c r="N685" s="102"/>
      <c r="O685" s="98"/>
      <c r="P685" s="98"/>
      <c r="Q685" s="98"/>
    </row>
    <row r="686">
      <c r="A686" s="96" t="s">
        <v>436</v>
      </c>
      <c r="B686" s="97" t="s">
        <v>2421</v>
      </c>
      <c r="C686" s="97" t="s">
        <v>2422</v>
      </c>
      <c r="D686" s="97"/>
      <c r="E686" s="97"/>
      <c r="F686" s="97" t="b">
        <v>1</v>
      </c>
      <c r="G686" s="97" t="b">
        <v>1</v>
      </c>
      <c r="H686" s="98">
        <f>IF(A686:A2055="", "", COUNTIF(Check!H:H, A685:A2055))</f>
        <v>1</v>
      </c>
      <c r="I686" s="98"/>
      <c r="J686" s="98"/>
      <c r="K686" s="102"/>
      <c r="L686" s="102"/>
      <c r="M686" s="102"/>
      <c r="N686" s="102"/>
      <c r="O686" s="98"/>
      <c r="P686" s="98"/>
      <c r="Q686" s="111"/>
    </row>
    <row r="687">
      <c r="A687" s="96" t="s">
        <v>2423</v>
      </c>
      <c r="B687" s="97" t="s">
        <v>2424</v>
      </c>
      <c r="C687" s="97" t="s">
        <v>2425</v>
      </c>
      <c r="D687" s="97" t="s">
        <v>920</v>
      </c>
      <c r="E687" s="97" t="s">
        <v>767</v>
      </c>
      <c r="F687" s="97" t="b">
        <v>0</v>
      </c>
      <c r="G687" s="97" t="b">
        <v>0</v>
      </c>
      <c r="H687" s="98"/>
      <c r="I687" s="98"/>
      <c r="J687" s="98"/>
      <c r="K687" s="99"/>
      <c r="L687" s="99"/>
      <c r="M687" s="102"/>
      <c r="N687" s="102"/>
      <c r="O687" s="98"/>
      <c r="P687" s="98"/>
      <c r="Q687" s="111"/>
    </row>
    <row r="688">
      <c r="A688" s="96" t="s">
        <v>2426</v>
      </c>
      <c r="B688" s="97" t="s">
        <v>2427</v>
      </c>
      <c r="C688" s="97" t="s">
        <v>2428</v>
      </c>
      <c r="D688" s="97" t="s">
        <v>877</v>
      </c>
      <c r="E688" s="97" t="s">
        <v>921</v>
      </c>
      <c r="F688" s="97" t="b">
        <v>0</v>
      </c>
      <c r="G688" s="97" t="b">
        <v>0</v>
      </c>
      <c r="H688" s="98"/>
      <c r="I688" s="98"/>
      <c r="J688" s="98"/>
      <c r="K688" s="99"/>
      <c r="L688" s="99"/>
      <c r="M688" s="102"/>
      <c r="N688" s="102"/>
      <c r="O688" s="98"/>
      <c r="P688" s="98"/>
      <c r="Q688" s="111"/>
    </row>
    <row r="689">
      <c r="A689" s="96" t="s">
        <v>2429</v>
      </c>
      <c r="B689" s="97" t="s">
        <v>2427</v>
      </c>
      <c r="C689" s="97" t="s">
        <v>2430</v>
      </c>
      <c r="D689" s="97" t="s">
        <v>942</v>
      </c>
      <c r="E689" s="97" t="s">
        <v>932</v>
      </c>
      <c r="F689" s="97" t="b">
        <v>0</v>
      </c>
      <c r="G689" s="97" t="b">
        <v>0</v>
      </c>
      <c r="H689" s="98"/>
      <c r="I689" s="98"/>
      <c r="J689" s="98"/>
      <c r="K689" s="99"/>
      <c r="L689" s="99"/>
      <c r="M689" s="102"/>
      <c r="N689" s="102"/>
      <c r="O689" s="98"/>
      <c r="P689" s="98"/>
      <c r="Q689" s="98"/>
    </row>
    <row r="690">
      <c r="A690" s="96" t="s">
        <v>2431</v>
      </c>
      <c r="B690" s="97" t="s">
        <v>2432</v>
      </c>
      <c r="C690" s="97" t="s">
        <v>2433</v>
      </c>
      <c r="D690" s="97" t="s">
        <v>821</v>
      </c>
      <c r="E690" s="97" t="s">
        <v>891</v>
      </c>
      <c r="F690" s="97" t="b">
        <v>0</v>
      </c>
      <c r="G690" s="97" t="b">
        <v>0</v>
      </c>
      <c r="H690" s="98"/>
      <c r="I690" s="98"/>
      <c r="J690" s="98"/>
      <c r="K690" s="99"/>
      <c r="L690" s="99"/>
      <c r="M690" s="102"/>
      <c r="N690" s="102"/>
      <c r="O690" s="98"/>
      <c r="P690" s="98"/>
      <c r="Q690" s="106"/>
    </row>
    <row r="691">
      <c r="A691" s="96" t="s">
        <v>278</v>
      </c>
      <c r="B691" s="97" t="s">
        <v>2434</v>
      </c>
      <c r="C691" s="97" t="s">
        <v>2435</v>
      </c>
      <c r="D691" s="97" t="s">
        <v>737</v>
      </c>
      <c r="E691" s="97" t="s">
        <v>697</v>
      </c>
      <c r="F691" s="97" t="b">
        <v>1</v>
      </c>
      <c r="G691" s="97" t="b">
        <v>1</v>
      </c>
      <c r="H691" s="98">
        <f>IF(A691:A2055="", "", COUNTIF(Check!H:H, A690:A2055))</f>
        <v>1</v>
      </c>
      <c r="I691" s="98"/>
      <c r="J691" s="98"/>
      <c r="K691" s="100" t="s">
        <v>755</v>
      </c>
      <c r="L691" s="101">
        <f>COUNTIFS($D$2:$D$1039, K691, $F$2:$F$1039, TRUE)</f>
        <v>2</v>
      </c>
      <c r="M691" s="100" t="s">
        <v>2389</v>
      </c>
      <c r="N691" s="101">
        <f>COUNTIFS($E$2:$E$1039, M691, $F$2:$F$1039, TRUE)</f>
        <v>0</v>
      </c>
      <c r="O691" s="98"/>
      <c r="P691" s="98"/>
      <c r="Q691" s="98"/>
    </row>
    <row r="692">
      <c r="A692" s="96" t="s">
        <v>2436</v>
      </c>
      <c r="B692" s="97" t="s">
        <v>2434</v>
      </c>
      <c r="C692" s="97" t="s">
        <v>2437</v>
      </c>
      <c r="D692" s="97" t="s">
        <v>737</v>
      </c>
      <c r="E692" s="97" t="s">
        <v>582</v>
      </c>
      <c r="F692" s="97" t="b">
        <v>0</v>
      </c>
      <c r="G692" s="97" t="b">
        <v>0</v>
      </c>
      <c r="H692" s="98"/>
      <c r="I692" s="98"/>
      <c r="J692" s="98"/>
      <c r="K692" s="99"/>
      <c r="L692" s="99"/>
      <c r="M692" s="102"/>
      <c r="N692" s="102"/>
      <c r="O692" s="98"/>
      <c r="P692" s="98"/>
      <c r="Q692" s="98"/>
    </row>
    <row r="693">
      <c r="A693" s="96" t="s">
        <v>2438</v>
      </c>
      <c r="B693" s="97" t="s">
        <v>2439</v>
      </c>
      <c r="C693" s="97" t="s">
        <v>2440</v>
      </c>
      <c r="D693" s="97" t="s">
        <v>740</v>
      </c>
      <c r="E693" s="97" t="s">
        <v>2441</v>
      </c>
      <c r="F693" s="97" t="b">
        <v>0</v>
      </c>
      <c r="G693" s="97" t="b">
        <v>0</v>
      </c>
      <c r="H693" s="98"/>
      <c r="I693" s="98"/>
      <c r="J693" s="98"/>
      <c r="K693" s="103" t="s">
        <v>633</v>
      </c>
      <c r="L693" s="112">
        <f>COUNTIFS($D$2:$D$1039, K693, $F$2:$F$1039, TRUE)</f>
        <v>14</v>
      </c>
      <c r="M693" s="108" t="s">
        <v>1486</v>
      </c>
      <c r="N693" s="109">
        <f>COUNTIFS($E$2:$E$1039, M693, $F$2:$F$1039, TRUE)</f>
        <v>0</v>
      </c>
      <c r="O693" s="98"/>
      <c r="P693" s="98"/>
      <c r="Q693" s="98"/>
    </row>
    <row r="694">
      <c r="A694" s="96" t="s">
        <v>2442</v>
      </c>
      <c r="B694" s="97" t="s">
        <v>2443</v>
      </c>
      <c r="C694" s="97" t="s">
        <v>2444</v>
      </c>
      <c r="D694" s="97" t="s">
        <v>1026</v>
      </c>
      <c r="E694" s="97" t="s">
        <v>659</v>
      </c>
      <c r="F694" s="97" t="b">
        <v>0</v>
      </c>
      <c r="G694" s="97" t="b">
        <v>0</v>
      </c>
      <c r="H694" s="98"/>
      <c r="I694" s="98"/>
      <c r="J694" s="98"/>
      <c r="K694" s="99"/>
      <c r="L694" s="99"/>
      <c r="M694" s="100"/>
      <c r="N694" s="101"/>
      <c r="O694" s="98"/>
      <c r="P694" s="98"/>
      <c r="Q694" s="98"/>
    </row>
    <row r="695">
      <c r="A695" s="96" t="s">
        <v>2445</v>
      </c>
      <c r="B695" s="97" t="s">
        <v>2446</v>
      </c>
      <c r="C695" s="97" t="s">
        <v>2447</v>
      </c>
      <c r="D695" s="97" t="s">
        <v>1230</v>
      </c>
      <c r="E695" s="97" t="s">
        <v>1134</v>
      </c>
      <c r="F695" s="97" t="b">
        <v>0</v>
      </c>
      <c r="G695" s="97" t="b">
        <v>0</v>
      </c>
      <c r="H695" s="98"/>
      <c r="I695" s="98"/>
      <c r="J695" s="98"/>
      <c r="K695" s="99"/>
      <c r="L695" s="99"/>
      <c r="M695" s="102"/>
      <c r="N695" s="102"/>
      <c r="O695" s="98"/>
      <c r="P695" s="98"/>
      <c r="Q695" s="98"/>
    </row>
    <row r="696">
      <c r="A696" s="96" t="s">
        <v>2448</v>
      </c>
      <c r="B696" s="97" t="s">
        <v>2449</v>
      </c>
      <c r="C696" s="97" t="s">
        <v>2450</v>
      </c>
      <c r="D696" s="97" t="s">
        <v>1177</v>
      </c>
      <c r="E696" s="97" t="s">
        <v>789</v>
      </c>
      <c r="F696" s="97" t="b">
        <v>0</v>
      </c>
      <c r="G696" s="97" t="b">
        <v>0</v>
      </c>
      <c r="H696" s="98"/>
      <c r="I696" s="98"/>
      <c r="J696" s="98"/>
      <c r="K696" s="102"/>
      <c r="L696" s="102"/>
      <c r="M696" s="100"/>
      <c r="N696" s="101"/>
      <c r="O696" s="98"/>
      <c r="P696" s="98"/>
      <c r="Q696" s="98"/>
    </row>
    <row r="697">
      <c r="A697" s="96" t="s">
        <v>333</v>
      </c>
      <c r="B697" s="97" t="s">
        <v>2451</v>
      </c>
      <c r="C697" s="97" t="s">
        <v>2452</v>
      </c>
      <c r="D697" s="97" t="s">
        <v>737</v>
      </c>
      <c r="E697" s="97" t="s">
        <v>767</v>
      </c>
      <c r="F697" s="97" t="b">
        <v>1</v>
      </c>
      <c r="G697" s="97" t="b">
        <v>1</v>
      </c>
      <c r="H697" s="98">
        <f>IF(A697:A2055="", "", COUNTIF(Check!H:H, A696:A2055))</f>
        <v>1</v>
      </c>
      <c r="I697" s="98"/>
      <c r="J697" s="98"/>
      <c r="K697" s="99"/>
      <c r="L697" s="99"/>
      <c r="M697" s="102"/>
      <c r="N697" s="102"/>
      <c r="O697" s="98"/>
      <c r="P697" s="98"/>
      <c r="Q697" s="98"/>
    </row>
    <row r="698">
      <c r="A698" s="96" t="s">
        <v>373</v>
      </c>
      <c r="B698" s="97" t="s">
        <v>2453</v>
      </c>
      <c r="C698" s="97" t="s">
        <v>2454</v>
      </c>
      <c r="D698" s="97" t="s">
        <v>1615</v>
      </c>
      <c r="E698" s="97" t="s">
        <v>932</v>
      </c>
      <c r="F698" s="97" t="b">
        <v>0</v>
      </c>
      <c r="G698" s="97" t="b">
        <v>0</v>
      </c>
      <c r="H698" s="98"/>
      <c r="I698" s="98"/>
      <c r="J698" s="98"/>
      <c r="K698" s="99"/>
      <c r="L698" s="99"/>
      <c r="M698" s="102"/>
      <c r="N698" s="102"/>
      <c r="O698" s="98"/>
      <c r="P698" s="98"/>
      <c r="Q698" s="98"/>
    </row>
    <row r="699">
      <c r="A699" s="96" t="s">
        <v>2455</v>
      </c>
      <c r="B699" s="97" t="s">
        <v>2456</v>
      </c>
      <c r="C699" s="97" t="s">
        <v>2457</v>
      </c>
      <c r="D699" s="97" t="s">
        <v>801</v>
      </c>
      <c r="E699" s="97" t="s">
        <v>733</v>
      </c>
      <c r="F699" s="97" t="b">
        <v>0</v>
      </c>
      <c r="G699" s="97" t="b">
        <v>0</v>
      </c>
      <c r="H699" s="98"/>
      <c r="I699" s="98"/>
      <c r="J699" s="98"/>
      <c r="K699" s="100"/>
      <c r="L699" s="107"/>
      <c r="M699" s="100"/>
      <c r="N699" s="101"/>
      <c r="O699" s="98"/>
      <c r="P699" s="98"/>
      <c r="Q699" s="98"/>
    </row>
    <row r="700">
      <c r="A700" s="96" t="s">
        <v>2458</v>
      </c>
      <c r="B700" s="97" t="s">
        <v>2459</v>
      </c>
      <c r="C700" s="97" t="s">
        <v>2460</v>
      </c>
      <c r="D700" s="97" t="s">
        <v>698</v>
      </c>
      <c r="E700" s="97" t="s">
        <v>685</v>
      </c>
      <c r="F700" s="97" t="b">
        <v>0</v>
      </c>
      <c r="G700" s="97" t="b">
        <v>0</v>
      </c>
      <c r="H700" s="98"/>
      <c r="I700" s="98"/>
      <c r="J700" s="98"/>
      <c r="K700" s="99"/>
      <c r="L700" s="99"/>
      <c r="M700" s="100"/>
      <c r="N700" s="101"/>
      <c r="O700" s="98"/>
      <c r="P700" s="98"/>
      <c r="Q700" s="98"/>
    </row>
    <row r="701">
      <c r="A701" s="96" t="s">
        <v>2461</v>
      </c>
      <c r="B701" s="97" t="s">
        <v>2462</v>
      </c>
      <c r="C701" s="97" t="s">
        <v>2463</v>
      </c>
      <c r="D701" s="97" t="s">
        <v>1055</v>
      </c>
      <c r="E701" s="97" t="s">
        <v>1172</v>
      </c>
      <c r="F701" s="97" t="b">
        <v>0</v>
      </c>
      <c r="G701" s="97" t="b">
        <v>0</v>
      </c>
      <c r="H701" s="98"/>
      <c r="I701" s="98"/>
      <c r="J701" s="98"/>
      <c r="K701" s="99"/>
      <c r="L701" s="99"/>
      <c r="M701" s="103"/>
      <c r="N701" s="104"/>
      <c r="O701" s="106"/>
      <c r="P701" s="106"/>
      <c r="Q701" s="98"/>
    </row>
    <row r="702">
      <c r="A702" s="96" t="s">
        <v>2464</v>
      </c>
      <c r="B702" s="97" t="s">
        <v>2465</v>
      </c>
      <c r="C702" s="97" t="s">
        <v>2466</v>
      </c>
      <c r="D702" s="97" t="s">
        <v>985</v>
      </c>
      <c r="E702" s="97" t="s">
        <v>1146</v>
      </c>
      <c r="F702" s="97" t="b">
        <v>0</v>
      </c>
      <c r="G702" s="97" t="b">
        <v>0</v>
      </c>
      <c r="H702" s="98"/>
      <c r="I702" s="98"/>
      <c r="J702" s="98"/>
      <c r="K702" s="99"/>
      <c r="L702" s="99"/>
      <c r="M702" s="102"/>
      <c r="N702" s="102"/>
      <c r="O702" s="98"/>
      <c r="P702" s="98"/>
      <c r="Q702" s="98"/>
    </row>
    <row r="703">
      <c r="A703" s="96" t="s">
        <v>2467</v>
      </c>
      <c r="B703" s="97" t="s">
        <v>2468</v>
      </c>
      <c r="C703" s="97" t="s">
        <v>2469</v>
      </c>
      <c r="D703" s="97" t="s">
        <v>1022</v>
      </c>
      <c r="E703" s="97" t="s">
        <v>1552</v>
      </c>
      <c r="F703" s="97" t="b">
        <v>0</v>
      </c>
      <c r="G703" s="97" t="b">
        <v>0</v>
      </c>
      <c r="H703" s="98"/>
      <c r="I703" s="98"/>
      <c r="J703" s="98"/>
      <c r="K703" s="99"/>
      <c r="L703" s="99"/>
      <c r="M703" s="102"/>
      <c r="N703" s="102"/>
      <c r="O703" s="98"/>
      <c r="P703" s="98"/>
      <c r="Q703" s="98"/>
    </row>
    <row r="704">
      <c r="A704" s="96" t="s">
        <v>320</v>
      </c>
      <c r="B704" s="97" t="s">
        <v>2470</v>
      </c>
      <c r="C704" s="97" t="s">
        <v>2471</v>
      </c>
      <c r="D704" s="97" t="s">
        <v>1012</v>
      </c>
      <c r="E704" s="97" t="s">
        <v>830</v>
      </c>
      <c r="F704" s="97" t="b">
        <v>1</v>
      </c>
      <c r="G704" s="97" t="b">
        <v>1</v>
      </c>
      <c r="H704" s="98">
        <f>IF(A704:A2055="", "", COUNTIF(Check!H:H, A703:A2055))</f>
        <v>1</v>
      </c>
      <c r="I704" s="98"/>
      <c r="J704" s="98"/>
      <c r="K704" s="100"/>
      <c r="L704" s="101"/>
      <c r="M704" s="102"/>
      <c r="N704" s="102"/>
      <c r="O704" s="98"/>
      <c r="P704" s="98"/>
      <c r="Q704" s="98"/>
    </row>
    <row r="705">
      <c r="A705" s="96" t="s">
        <v>2472</v>
      </c>
      <c r="B705" s="97" t="s">
        <v>2473</v>
      </c>
      <c r="C705" s="97" t="s">
        <v>2474</v>
      </c>
      <c r="D705" s="97" t="s">
        <v>619</v>
      </c>
      <c r="E705" s="97" t="s">
        <v>1134</v>
      </c>
      <c r="F705" s="97" t="b">
        <v>0</v>
      </c>
      <c r="G705" s="97" t="b">
        <v>0</v>
      </c>
      <c r="H705" s="98"/>
      <c r="I705" s="98"/>
      <c r="J705" s="98"/>
      <c r="K705" s="99"/>
      <c r="L705" s="99"/>
      <c r="M705" s="102"/>
      <c r="N705" s="102"/>
      <c r="O705" s="98"/>
      <c r="P705" s="98"/>
      <c r="Q705" s="98"/>
    </row>
    <row r="706">
      <c r="A706" s="96" t="s">
        <v>2475</v>
      </c>
      <c r="B706" s="97" t="s">
        <v>2476</v>
      </c>
      <c r="C706" s="97" t="s">
        <v>2477</v>
      </c>
      <c r="D706" s="97" t="s">
        <v>629</v>
      </c>
      <c r="E706" s="97" t="s">
        <v>777</v>
      </c>
      <c r="F706" s="97" t="b">
        <v>0</v>
      </c>
      <c r="G706" s="97" t="b">
        <v>0</v>
      </c>
      <c r="H706" s="98"/>
      <c r="I706" s="98"/>
      <c r="J706" s="98"/>
      <c r="K706" s="99"/>
      <c r="L706" s="99"/>
      <c r="M706" s="102"/>
      <c r="N706" s="102"/>
      <c r="O706" s="98"/>
      <c r="P706" s="98"/>
      <c r="Q706" s="98"/>
    </row>
    <row r="707">
      <c r="A707" s="96" t="s">
        <v>2478</v>
      </c>
      <c r="B707" s="97" t="s">
        <v>2479</v>
      </c>
      <c r="C707" s="97" t="s">
        <v>2480</v>
      </c>
      <c r="D707" s="97" t="s">
        <v>1177</v>
      </c>
      <c r="E707" s="97" t="s">
        <v>789</v>
      </c>
      <c r="F707" s="97" t="b">
        <v>0</v>
      </c>
      <c r="G707" s="97" t="b">
        <v>0</v>
      </c>
      <c r="H707" s="98"/>
      <c r="I707" s="98"/>
      <c r="J707" s="98"/>
      <c r="K707" s="102"/>
      <c r="L707" s="102"/>
      <c r="M707" s="100"/>
      <c r="N707" s="101"/>
      <c r="O707" s="98"/>
      <c r="P707" s="98"/>
      <c r="Q707" s="98"/>
    </row>
    <row r="708">
      <c r="A708" s="96" t="s">
        <v>2481</v>
      </c>
      <c r="B708" s="97" t="s">
        <v>2482</v>
      </c>
      <c r="C708" s="97" t="s">
        <v>2483</v>
      </c>
      <c r="D708" s="97" t="s">
        <v>1191</v>
      </c>
      <c r="E708" s="97" t="s">
        <v>620</v>
      </c>
      <c r="F708" s="97" t="b">
        <v>0</v>
      </c>
      <c r="G708" s="97" t="b">
        <v>0</v>
      </c>
      <c r="H708" s="98"/>
      <c r="I708" s="98"/>
      <c r="J708" s="98"/>
      <c r="K708" s="102"/>
      <c r="L708" s="102"/>
      <c r="M708" s="102"/>
      <c r="N708" s="102"/>
      <c r="O708" s="98"/>
      <c r="P708" s="98"/>
      <c r="Q708" s="98"/>
    </row>
    <row r="709">
      <c r="A709" s="96" t="s">
        <v>509</v>
      </c>
      <c r="B709" s="97" t="s">
        <v>2484</v>
      </c>
      <c r="C709" s="97" t="s">
        <v>2485</v>
      </c>
      <c r="D709" s="97" t="s">
        <v>1615</v>
      </c>
      <c r="E709" s="97" t="s">
        <v>644</v>
      </c>
      <c r="F709" s="97" t="b">
        <v>1</v>
      </c>
      <c r="G709" s="97" t="b">
        <v>1</v>
      </c>
      <c r="H709" s="98">
        <f>IF(A709:A2055="", "", COUNTIF(Check!H:H, A708:A2055))</f>
        <v>1</v>
      </c>
      <c r="I709" s="98"/>
      <c r="J709" s="98"/>
      <c r="K709" s="99"/>
      <c r="L709" s="99"/>
      <c r="M709" s="102"/>
      <c r="N709" s="102"/>
      <c r="O709" s="98"/>
      <c r="P709" s="98"/>
      <c r="Q709" s="98"/>
    </row>
    <row r="710">
      <c r="A710" s="96" t="s">
        <v>2486</v>
      </c>
      <c r="B710" s="97" t="s">
        <v>2487</v>
      </c>
      <c r="C710" s="97" t="s">
        <v>2488</v>
      </c>
      <c r="D710" s="97" t="s">
        <v>854</v>
      </c>
      <c r="E710" s="97" t="s">
        <v>611</v>
      </c>
      <c r="F710" s="97" t="b">
        <v>0</v>
      </c>
      <c r="G710" s="97" t="b">
        <v>0</v>
      </c>
      <c r="H710" s="98"/>
      <c r="I710" s="98"/>
      <c r="J710" s="98"/>
      <c r="K710" s="99"/>
      <c r="L710" s="99"/>
      <c r="M710" s="102"/>
      <c r="N710" s="102"/>
      <c r="O710" s="98"/>
      <c r="P710" s="98"/>
      <c r="Q710" s="98"/>
    </row>
    <row r="711">
      <c r="A711" s="96" t="s">
        <v>2489</v>
      </c>
      <c r="B711" s="97" t="s">
        <v>2487</v>
      </c>
      <c r="C711" s="97" t="s">
        <v>2490</v>
      </c>
      <c r="D711" s="97" t="s">
        <v>655</v>
      </c>
      <c r="E711" s="97" t="s">
        <v>2491</v>
      </c>
      <c r="F711" s="97" t="b">
        <v>0</v>
      </c>
      <c r="G711" s="97" t="b">
        <v>0</v>
      </c>
      <c r="H711" s="98"/>
      <c r="I711" s="98"/>
      <c r="J711" s="98"/>
      <c r="K711" s="99"/>
      <c r="L711" s="99"/>
      <c r="M711" s="102"/>
      <c r="N711" s="102"/>
      <c r="O711" s="98"/>
      <c r="P711" s="98"/>
      <c r="Q711" s="98"/>
    </row>
    <row r="712">
      <c r="A712" s="96" t="s">
        <v>2492</v>
      </c>
      <c r="B712" s="97" t="s">
        <v>2487</v>
      </c>
      <c r="C712" s="97" t="s">
        <v>2493</v>
      </c>
      <c r="D712" s="97" t="s">
        <v>629</v>
      </c>
      <c r="E712" s="97" t="s">
        <v>777</v>
      </c>
      <c r="F712" s="97" t="b">
        <v>0</v>
      </c>
      <c r="G712" s="97" t="b">
        <v>0</v>
      </c>
      <c r="H712" s="98"/>
      <c r="I712" s="98"/>
      <c r="J712" s="98"/>
      <c r="K712" s="99"/>
      <c r="L712" s="99"/>
      <c r="M712" s="102"/>
      <c r="N712" s="102"/>
      <c r="O712" s="98"/>
      <c r="P712" s="98"/>
      <c r="Q712" s="98"/>
    </row>
    <row r="713">
      <c r="A713" s="96" t="s">
        <v>2494</v>
      </c>
      <c r="B713" s="97" t="s">
        <v>2495</v>
      </c>
      <c r="C713" s="97" t="s">
        <v>2496</v>
      </c>
      <c r="D713" s="97" t="s">
        <v>939</v>
      </c>
      <c r="E713" s="97" t="s">
        <v>752</v>
      </c>
      <c r="F713" s="97" t="b">
        <v>0</v>
      </c>
      <c r="G713" s="97" t="b">
        <v>0</v>
      </c>
      <c r="H713" s="98"/>
      <c r="I713" s="98"/>
      <c r="J713" s="98"/>
      <c r="K713" s="99"/>
      <c r="L713" s="99"/>
      <c r="M713" s="102"/>
      <c r="N713" s="102"/>
      <c r="O713" s="98"/>
      <c r="P713" s="98"/>
      <c r="Q713" s="98"/>
    </row>
    <row r="714">
      <c r="A714" s="96" t="s">
        <v>2497</v>
      </c>
      <c r="B714" s="97" t="s">
        <v>2498</v>
      </c>
      <c r="C714" s="97" t="s">
        <v>2499</v>
      </c>
      <c r="D714" s="97" t="s">
        <v>755</v>
      </c>
      <c r="E714" s="97" t="s">
        <v>685</v>
      </c>
      <c r="F714" s="97" t="b">
        <v>0</v>
      </c>
      <c r="G714" s="97" t="b">
        <v>0</v>
      </c>
      <c r="H714" s="98"/>
      <c r="I714" s="98"/>
      <c r="J714" s="98"/>
      <c r="K714" s="99"/>
      <c r="L714" s="99"/>
      <c r="M714" s="100"/>
      <c r="N714" s="101"/>
      <c r="O714" s="98"/>
      <c r="P714" s="98"/>
      <c r="Q714" s="98"/>
    </row>
    <row r="715">
      <c r="A715" s="96" t="s">
        <v>2500</v>
      </c>
      <c r="B715" s="97" t="s">
        <v>2501</v>
      </c>
      <c r="C715" s="97" t="s">
        <v>2502</v>
      </c>
      <c r="D715" s="97" t="s">
        <v>1177</v>
      </c>
      <c r="E715" s="97" t="s">
        <v>685</v>
      </c>
      <c r="F715" s="97" t="b">
        <v>0</v>
      </c>
      <c r="G715" s="97" t="b">
        <v>0</v>
      </c>
      <c r="H715" s="98"/>
      <c r="I715" s="98"/>
      <c r="J715" s="98"/>
      <c r="K715" s="99"/>
      <c r="L715" s="99"/>
      <c r="M715" s="100"/>
      <c r="N715" s="101"/>
      <c r="O715" s="98"/>
      <c r="P715" s="98"/>
      <c r="Q715" s="98"/>
    </row>
    <row r="716">
      <c r="A716" s="96" t="s">
        <v>2503</v>
      </c>
      <c r="B716" s="97" t="s">
        <v>2504</v>
      </c>
      <c r="C716" s="97" t="s">
        <v>2505</v>
      </c>
      <c r="D716" s="97" t="s">
        <v>972</v>
      </c>
      <c r="E716" s="97" t="s">
        <v>582</v>
      </c>
      <c r="F716" s="97" t="b">
        <v>0</v>
      </c>
      <c r="G716" s="97" t="b">
        <v>0</v>
      </c>
      <c r="H716" s="98"/>
      <c r="I716" s="98"/>
      <c r="J716" s="98"/>
      <c r="K716" s="99"/>
      <c r="L716" s="99"/>
      <c r="M716" s="108"/>
      <c r="N716" s="109"/>
      <c r="O716" s="98"/>
      <c r="P716" s="98"/>
      <c r="Q716" s="98"/>
    </row>
    <row r="717">
      <c r="A717" s="96" t="s">
        <v>2506</v>
      </c>
      <c r="B717" s="97" t="s">
        <v>2507</v>
      </c>
      <c r="C717" s="97" t="s">
        <v>2508</v>
      </c>
      <c r="D717" s="97" t="s">
        <v>815</v>
      </c>
      <c r="E717" s="97" t="s">
        <v>616</v>
      </c>
      <c r="F717" s="97" t="b">
        <v>0</v>
      </c>
      <c r="G717" s="97" t="b">
        <v>0</v>
      </c>
      <c r="H717" s="98"/>
      <c r="I717" s="98"/>
      <c r="J717" s="98"/>
      <c r="K717" s="99"/>
      <c r="L717" s="99"/>
      <c r="M717" s="100"/>
      <c r="N717" s="101"/>
      <c r="O717" s="98"/>
      <c r="P717" s="98"/>
      <c r="Q717" s="98"/>
    </row>
    <row r="718">
      <c r="A718" s="96" t="s">
        <v>539</v>
      </c>
      <c r="B718" s="97" t="s">
        <v>2507</v>
      </c>
      <c r="C718" s="97" t="s">
        <v>2509</v>
      </c>
      <c r="D718" s="97" t="s">
        <v>815</v>
      </c>
      <c r="E718" s="97" t="s">
        <v>895</v>
      </c>
      <c r="F718" s="97" t="b">
        <v>1</v>
      </c>
      <c r="G718" s="97" t="b">
        <v>1</v>
      </c>
      <c r="H718" s="98">
        <f>IF(A718:A2055="", "", COUNTIF(Check!H:H, A717:A2055))</f>
        <v>1</v>
      </c>
      <c r="I718" s="98"/>
      <c r="J718" s="98"/>
      <c r="K718" s="99"/>
      <c r="L718" s="99"/>
      <c r="M718" s="102"/>
      <c r="N718" s="102"/>
      <c r="O718" s="98"/>
      <c r="P718" s="98"/>
      <c r="Q718" s="98"/>
    </row>
    <row r="719">
      <c r="A719" s="96" t="s">
        <v>297</v>
      </c>
      <c r="B719" s="97" t="s">
        <v>2510</v>
      </c>
      <c r="C719" s="97" t="s">
        <v>2511</v>
      </c>
      <c r="D719" s="97" t="s">
        <v>619</v>
      </c>
      <c r="E719" s="97" t="s">
        <v>620</v>
      </c>
      <c r="F719" s="97" t="b">
        <v>1</v>
      </c>
      <c r="G719" s="97" t="b">
        <v>1</v>
      </c>
      <c r="H719" s="98">
        <f>IF(A719:A2055="", "", COUNTIF(Check!H:H, A718:A2055))</f>
        <v>1</v>
      </c>
      <c r="I719" s="98"/>
      <c r="J719" s="98"/>
      <c r="K719" s="102"/>
      <c r="L719" s="102"/>
      <c r="M719" s="102"/>
      <c r="N719" s="102"/>
      <c r="O719" s="98"/>
      <c r="P719" s="98"/>
      <c r="Q719" s="98"/>
    </row>
    <row r="720">
      <c r="A720" s="96" t="s">
        <v>2512</v>
      </c>
      <c r="B720" s="97" t="s">
        <v>2513</v>
      </c>
      <c r="C720" s="97" t="s">
        <v>2514</v>
      </c>
      <c r="D720" s="97" t="s">
        <v>662</v>
      </c>
      <c r="E720" s="97" t="s">
        <v>1251</v>
      </c>
      <c r="F720" s="97" t="b">
        <v>0</v>
      </c>
      <c r="G720" s="97" t="b">
        <v>0</v>
      </c>
      <c r="H720" s="98"/>
      <c r="I720" s="98"/>
      <c r="J720" s="98"/>
      <c r="K720" s="100" t="s">
        <v>732</v>
      </c>
      <c r="L720" s="107">
        <f>COUNTIFS($D$2:$D$1039, K720, $F$2:$F$1039, TRUE)</f>
        <v>5</v>
      </c>
      <c r="M720" s="100" t="s">
        <v>1644</v>
      </c>
      <c r="N720" s="101">
        <f>COUNTIFS($E$2:$E$1039, M720, $F$2:$F$1039, TRUE)</f>
        <v>0</v>
      </c>
      <c r="O720" s="98"/>
      <c r="P720" s="98"/>
      <c r="Q720" s="98"/>
    </row>
    <row r="721">
      <c r="A721" s="96" t="s">
        <v>2515</v>
      </c>
      <c r="B721" s="97" t="s">
        <v>2516</v>
      </c>
      <c r="C721" s="97" t="s">
        <v>2517</v>
      </c>
      <c r="D721" s="97" t="s">
        <v>815</v>
      </c>
      <c r="E721" s="97" t="s">
        <v>659</v>
      </c>
      <c r="F721" s="97" t="b">
        <v>0</v>
      </c>
      <c r="G721" s="97" t="b">
        <v>0</v>
      </c>
      <c r="H721" s="98"/>
      <c r="I721" s="98"/>
      <c r="J721" s="98"/>
      <c r="K721" s="99"/>
      <c r="L721" s="99"/>
      <c r="M721" s="100"/>
      <c r="N721" s="101"/>
      <c r="O721" s="98"/>
      <c r="P721" s="98"/>
      <c r="Q721" s="98"/>
    </row>
    <row r="722">
      <c r="A722" s="96" t="s">
        <v>2518</v>
      </c>
      <c r="B722" s="97" t="s">
        <v>2516</v>
      </c>
      <c r="C722" s="97" t="s">
        <v>2519</v>
      </c>
      <c r="D722" s="97" t="s">
        <v>615</v>
      </c>
      <c r="E722" s="97" t="s">
        <v>607</v>
      </c>
      <c r="F722" s="97" t="b">
        <v>0</v>
      </c>
      <c r="G722" s="97" t="b">
        <v>0</v>
      </c>
      <c r="H722" s="98"/>
      <c r="I722" s="98"/>
      <c r="J722" s="98"/>
      <c r="K722" s="99"/>
      <c r="L722" s="99"/>
      <c r="M722" s="103"/>
      <c r="N722" s="104"/>
      <c r="O722" s="106"/>
      <c r="P722" s="106"/>
      <c r="Q722" s="98"/>
    </row>
    <row r="723">
      <c r="A723" s="96" t="s">
        <v>185</v>
      </c>
      <c r="B723" s="97" t="s">
        <v>2516</v>
      </c>
      <c r="C723" s="97" t="s">
        <v>2520</v>
      </c>
      <c r="D723" s="97" t="s">
        <v>857</v>
      </c>
      <c r="E723" s="97" t="s">
        <v>789</v>
      </c>
      <c r="F723" s="97" t="b">
        <v>1</v>
      </c>
      <c r="G723" s="97" t="b">
        <v>1</v>
      </c>
      <c r="H723" s="98">
        <f>IF(A723:A2055="", "", COUNTIF(Check!H:H, A722:A2055))</f>
        <v>1</v>
      </c>
      <c r="I723" s="98"/>
      <c r="J723" s="98"/>
      <c r="K723" s="102"/>
      <c r="L723" s="102"/>
      <c r="M723" s="100"/>
      <c r="N723" s="101"/>
      <c r="O723" s="98"/>
      <c r="P723" s="98"/>
      <c r="Q723" s="98"/>
    </row>
    <row r="724">
      <c r="A724" s="96" t="s">
        <v>311</v>
      </c>
      <c r="B724" s="97" t="s">
        <v>2521</v>
      </c>
      <c r="C724" s="97" t="s">
        <v>2522</v>
      </c>
      <c r="D724" s="97" t="s">
        <v>633</v>
      </c>
      <c r="E724" s="97" t="s">
        <v>711</v>
      </c>
      <c r="F724" s="97" t="b">
        <v>1</v>
      </c>
      <c r="G724" s="97" t="b">
        <v>1</v>
      </c>
      <c r="H724" s="98">
        <f>IF(A724:A2055="", "", COUNTIF(Check!H:H, A723:A2055))</f>
        <v>1</v>
      </c>
      <c r="I724" s="98"/>
      <c r="J724" s="98"/>
      <c r="K724" s="99"/>
      <c r="L724" s="99"/>
      <c r="M724" s="102"/>
      <c r="N724" s="102"/>
      <c r="O724" s="98"/>
      <c r="P724" s="98"/>
      <c r="Q724" s="98"/>
    </row>
    <row r="725">
      <c r="A725" s="96" t="s">
        <v>80</v>
      </c>
      <c r="B725" s="97" t="s">
        <v>2523</v>
      </c>
      <c r="C725" s="97" t="s">
        <v>2524</v>
      </c>
      <c r="D725" s="97" t="s">
        <v>658</v>
      </c>
      <c r="E725" s="97" t="s">
        <v>697</v>
      </c>
      <c r="F725" s="97" t="b">
        <v>1</v>
      </c>
      <c r="G725" s="97" t="b">
        <v>1</v>
      </c>
      <c r="H725" s="98">
        <f>IF(A725:A2055="", "", COUNTIF(Check!H:H, A724:A2055))</f>
        <v>1</v>
      </c>
      <c r="I725" s="98"/>
      <c r="J725" s="98"/>
      <c r="K725" s="100" t="s">
        <v>725</v>
      </c>
      <c r="L725" s="101">
        <f>COUNTIFS($D$2:$D$1039, K725, $F$2:$F$1039, TRUE)</f>
        <v>4</v>
      </c>
      <c r="M725" s="100" t="s">
        <v>1050</v>
      </c>
      <c r="N725" s="101">
        <f>COUNTIFS($E$2:$E$1039, M725, $F$2:$F$1039, TRUE)</f>
        <v>16</v>
      </c>
      <c r="O725" s="98"/>
      <c r="P725" s="98"/>
      <c r="Q725" s="98"/>
    </row>
    <row r="726">
      <c r="A726" s="96" t="s">
        <v>145</v>
      </c>
      <c r="B726" s="97" t="s">
        <v>2525</v>
      </c>
      <c r="C726" s="97" t="s">
        <v>2526</v>
      </c>
      <c r="D726" s="97" t="s">
        <v>878</v>
      </c>
      <c r="E726" s="97" t="s">
        <v>616</v>
      </c>
      <c r="F726" s="97" t="b">
        <v>1</v>
      </c>
      <c r="G726" s="97" t="b">
        <v>1</v>
      </c>
      <c r="H726" s="98">
        <f>IF(A726:A2055="", "", COUNTIF(Check!H:H, A725:A2055))</f>
        <v>1</v>
      </c>
      <c r="I726" s="98"/>
      <c r="J726" s="98"/>
      <c r="K726" s="99"/>
      <c r="L726" s="99"/>
      <c r="M726" s="108"/>
      <c r="N726" s="109"/>
      <c r="O726" s="98"/>
      <c r="P726" s="98"/>
      <c r="Q726" s="98"/>
    </row>
    <row r="727">
      <c r="A727" s="96" t="s">
        <v>92</v>
      </c>
      <c r="B727" s="97" t="s">
        <v>2527</v>
      </c>
      <c r="C727" s="97" t="s">
        <v>2528</v>
      </c>
      <c r="D727" s="97" t="s">
        <v>964</v>
      </c>
      <c r="E727" s="97" t="s">
        <v>586</v>
      </c>
      <c r="F727" s="97" t="b">
        <v>1</v>
      </c>
      <c r="G727" s="97" t="b">
        <v>1</v>
      </c>
      <c r="H727" s="98">
        <f>IF(A727:A2055="", "", COUNTIF(Check!H:H, A726:A2055))</f>
        <v>1</v>
      </c>
      <c r="I727" s="98"/>
      <c r="J727" s="98"/>
      <c r="K727" s="99"/>
      <c r="L727" s="99"/>
      <c r="M727" s="103"/>
      <c r="N727" s="104"/>
      <c r="O727" s="105"/>
      <c r="P727" s="105"/>
      <c r="Q727" s="98"/>
    </row>
    <row r="728">
      <c r="A728" s="96" t="s">
        <v>195</v>
      </c>
      <c r="B728" s="97" t="s">
        <v>2529</v>
      </c>
      <c r="C728" s="97" t="s">
        <v>2530</v>
      </c>
      <c r="D728" s="97" t="s">
        <v>948</v>
      </c>
      <c r="E728" s="97" t="s">
        <v>722</v>
      </c>
      <c r="F728" s="97" t="b">
        <v>1</v>
      </c>
      <c r="G728" s="97" t="b">
        <v>1</v>
      </c>
      <c r="H728" s="98">
        <f>IF(A728:A2055="", "", COUNTIF(Check!H:H, A727:A2055))</f>
        <v>1</v>
      </c>
      <c r="I728" s="98"/>
      <c r="J728" s="98"/>
      <c r="K728" s="102"/>
      <c r="L728" s="102"/>
      <c r="M728" s="100"/>
      <c r="N728" s="101"/>
      <c r="O728" s="98"/>
      <c r="P728" s="98"/>
      <c r="Q728" s="98"/>
    </row>
    <row r="729">
      <c r="A729" s="96" t="s">
        <v>336</v>
      </c>
      <c r="B729" s="97" t="s">
        <v>2531</v>
      </c>
      <c r="C729" s="97" t="s">
        <v>2532</v>
      </c>
      <c r="D729" s="97" t="s">
        <v>1320</v>
      </c>
      <c r="E729" s="97" t="s">
        <v>767</v>
      </c>
      <c r="F729" s="97" t="b">
        <v>1</v>
      </c>
      <c r="G729" s="97" t="b">
        <v>1</v>
      </c>
      <c r="H729" s="98">
        <f>IF(A729:A2055="", "", COUNTIF(Check!H:H, A728:A2055))</f>
        <v>1</v>
      </c>
      <c r="I729" s="98"/>
      <c r="J729" s="98"/>
      <c r="K729" s="99"/>
      <c r="L729" s="99"/>
      <c r="M729" s="102"/>
      <c r="N729" s="102"/>
      <c r="O729" s="98"/>
      <c r="P729" s="98"/>
      <c r="Q729" s="98"/>
    </row>
    <row r="730">
      <c r="A730" s="96" t="s">
        <v>2533</v>
      </c>
      <c r="B730" s="97" t="s">
        <v>2534</v>
      </c>
      <c r="C730" s="97" t="s">
        <v>2535</v>
      </c>
      <c r="D730" s="97" t="s">
        <v>1699</v>
      </c>
      <c r="E730" s="97" t="s">
        <v>777</v>
      </c>
      <c r="F730" s="97" t="b">
        <v>0</v>
      </c>
      <c r="G730" s="97" t="b">
        <v>0</v>
      </c>
      <c r="H730" s="98"/>
      <c r="I730" s="98"/>
      <c r="J730" s="98"/>
      <c r="K730" s="99"/>
      <c r="L730" s="99"/>
      <c r="M730" s="102"/>
      <c r="N730" s="102"/>
      <c r="O730" s="98"/>
      <c r="P730" s="98"/>
      <c r="Q730" s="98"/>
    </row>
    <row r="731">
      <c r="A731" s="96" t="s">
        <v>225</v>
      </c>
      <c r="B731" s="97" t="s">
        <v>2536</v>
      </c>
      <c r="C731" s="97" t="s">
        <v>2537</v>
      </c>
      <c r="D731" s="97" t="s">
        <v>619</v>
      </c>
      <c r="E731" s="97" t="s">
        <v>895</v>
      </c>
      <c r="F731" s="97" t="b">
        <v>1</v>
      </c>
      <c r="G731" s="97" t="b">
        <v>1</v>
      </c>
      <c r="H731" s="98">
        <f>IF(A731:A2055="", "", COUNTIF(Check!H:H, A730:A2055))</f>
        <v>1</v>
      </c>
      <c r="I731" s="98"/>
      <c r="J731" s="98"/>
      <c r="K731" s="99"/>
      <c r="L731" s="99"/>
      <c r="M731" s="102"/>
      <c r="N731" s="102"/>
      <c r="O731" s="98"/>
      <c r="P731" s="98"/>
      <c r="Q731" s="98"/>
    </row>
    <row r="732">
      <c r="A732" s="96" t="s">
        <v>153</v>
      </c>
      <c r="B732" s="97" t="s">
        <v>2538</v>
      </c>
      <c r="C732" s="97" t="s">
        <v>2539</v>
      </c>
      <c r="D732" s="97" t="s">
        <v>1237</v>
      </c>
      <c r="E732" s="97" t="s">
        <v>789</v>
      </c>
      <c r="F732" s="97" t="b">
        <v>1</v>
      </c>
      <c r="G732" s="97" t="b">
        <v>1</v>
      </c>
      <c r="H732" s="98">
        <f>IF(A732:A2055="", "", COUNTIF(Check!H:H, A731:A2055))</f>
        <v>1</v>
      </c>
      <c r="I732" s="98"/>
      <c r="J732" s="98"/>
      <c r="K732" s="103"/>
      <c r="L732" s="104"/>
      <c r="M732" s="103"/>
      <c r="N732" s="104"/>
      <c r="O732" s="113" t="s">
        <v>2540</v>
      </c>
      <c r="P732" s="105" t="str">
        <f>COUNTIF($E$2:$E$1091, "*"&amp;N2)</f>
        <v>#ERROR!</v>
      </c>
      <c r="Q732" s="98"/>
    </row>
    <row r="733">
      <c r="A733" s="96" t="s">
        <v>2541</v>
      </c>
      <c r="B733" s="97" t="s">
        <v>2542</v>
      </c>
      <c r="C733" s="97" t="s">
        <v>2543</v>
      </c>
      <c r="D733" s="97" t="s">
        <v>726</v>
      </c>
      <c r="E733" s="97" t="s">
        <v>932</v>
      </c>
      <c r="F733" s="97" t="b">
        <v>0</v>
      </c>
      <c r="G733" s="97" t="b">
        <v>0</v>
      </c>
      <c r="H733" s="98"/>
      <c r="I733" s="98"/>
      <c r="J733" s="98"/>
      <c r="K733" s="99"/>
      <c r="L733" s="99"/>
      <c r="M733" s="102"/>
      <c r="N733" s="102"/>
      <c r="O733" s="98"/>
      <c r="P733" s="98"/>
      <c r="Q733" s="98"/>
    </row>
    <row r="734">
      <c r="A734" s="96" t="s">
        <v>337</v>
      </c>
      <c r="B734" s="97" t="s">
        <v>2544</v>
      </c>
      <c r="C734" s="97" t="s">
        <v>2545</v>
      </c>
      <c r="D734" s="97" t="s">
        <v>854</v>
      </c>
      <c r="E734" s="97" t="s">
        <v>711</v>
      </c>
      <c r="F734" s="97" t="b">
        <v>1</v>
      </c>
      <c r="G734" s="97" t="b">
        <v>1</v>
      </c>
      <c r="H734" s="98">
        <f>IF(A734:A2055="", "", COUNTIF(Check!H:H, A733:A2055))</f>
        <v>1</v>
      </c>
      <c r="I734" s="98"/>
      <c r="J734" s="98"/>
      <c r="K734" s="108"/>
      <c r="L734" s="110"/>
      <c r="M734" s="100"/>
      <c r="N734" s="101"/>
      <c r="O734" s="98"/>
      <c r="P734" s="98"/>
      <c r="Q734" s="98"/>
    </row>
    <row r="735">
      <c r="A735" s="96" t="s">
        <v>177</v>
      </c>
      <c r="B735" s="97" t="s">
        <v>2544</v>
      </c>
      <c r="C735" s="97" t="s">
        <v>2546</v>
      </c>
      <c r="D735" s="97" t="s">
        <v>1699</v>
      </c>
      <c r="E735" s="97" t="s">
        <v>663</v>
      </c>
      <c r="F735" s="97" t="b">
        <v>1</v>
      </c>
      <c r="G735" s="97" t="b">
        <v>1</v>
      </c>
      <c r="H735" s="98">
        <f>IF(A735:A2055="", "", COUNTIF(Check!H:H, A734:A2055))</f>
        <v>1</v>
      </c>
      <c r="I735" s="98"/>
      <c r="J735" s="98"/>
      <c r="K735" s="100"/>
      <c r="L735" s="107"/>
      <c r="M735" s="100"/>
      <c r="N735" s="101"/>
      <c r="O735" s="98"/>
      <c r="P735" s="98"/>
      <c r="Q735" s="98"/>
    </row>
    <row r="736">
      <c r="A736" s="96" t="s">
        <v>2547</v>
      </c>
      <c r="B736" s="97" t="s">
        <v>2548</v>
      </c>
      <c r="C736" s="97" t="s">
        <v>2549</v>
      </c>
      <c r="D736" s="97" t="s">
        <v>643</v>
      </c>
      <c r="E736" s="97" t="s">
        <v>1172</v>
      </c>
      <c r="F736" s="97" t="b">
        <v>0</v>
      </c>
      <c r="G736" s="97" t="b">
        <v>0</v>
      </c>
      <c r="H736" s="98"/>
      <c r="I736" s="98"/>
      <c r="J736" s="98"/>
      <c r="K736" s="99"/>
      <c r="L736" s="99"/>
      <c r="M736" s="108"/>
      <c r="N736" s="109"/>
      <c r="O736" s="98"/>
      <c r="P736" s="98"/>
      <c r="Q736" s="98"/>
    </row>
    <row r="737">
      <c r="A737" s="96" t="s">
        <v>161</v>
      </c>
      <c r="B737" s="97" t="s">
        <v>2550</v>
      </c>
      <c r="C737" s="97" t="s">
        <v>2551</v>
      </c>
      <c r="D737" s="97" t="s">
        <v>1108</v>
      </c>
      <c r="E737" s="97" t="s">
        <v>630</v>
      </c>
      <c r="F737" s="97" t="b">
        <v>1</v>
      </c>
      <c r="G737" s="97" t="b">
        <v>1</v>
      </c>
      <c r="H737" s="98">
        <f>IF(A737:A2055="", "", COUNTIF(Check!H:H, A736:A2055))</f>
        <v>1</v>
      </c>
      <c r="I737" s="98"/>
      <c r="J737" s="98"/>
      <c r="K737" s="99"/>
      <c r="L737" s="99"/>
      <c r="M737" s="102"/>
      <c r="N737" s="102"/>
      <c r="O737" s="98"/>
      <c r="P737" s="98"/>
      <c r="Q737" s="98"/>
    </row>
    <row r="738">
      <c r="A738" s="96" t="s">
        <v>2552</v>
      </c>
      <c r="B738" s="97" t="s">
        <v>2553</v>
      </c>
      <c r="C738" s="97" t="s">
        <v>2554</v>
      </c>
      <c r="D738" s="97" t="s">
        <v>648</v>
      </c>
      <c r="E738" s="97" t="s">
        <v>663</v>
      </c>
      <c r="F738" s="97" t="b">
        <v>0</v>
      </c>
      <c r="G738" s="97" t="b">
        <v>0</v>
      </c>
      <c r="H738" s="98"/>
      <c r="I738" s="98"/>
      <c r="J738" s="98"/>
      <c r="K738" s="100"/>
      <c r="L738" s="107"/>
      <c r="M738" s="102"/>
      <c r="N738" s="102"/>
      <c r="O738" s="98"/>
      <c r="P738" s="98"/>
      <c r="Q738" s="98"/>
    </row>
    <row r="739">
      <c r="A739" s="96" t="s">
        <v>218</v>
      </c>
      <c r="B739" s="97" t="s">
        <v>2555</v>
      </c>
      <c r="C739" s="97" t="s">
        <v>2556</v>
      </c>
      <c r="D739" s="97" t="s">
        <v>1237</v>
      </c>
      <c r="E739" s="97" t="s">
        <v>685</v>
      </c>
      <c r="F739" s="97" t="b">
        <v>1</v>
      </c>
      <c r="G739" s="97" t="b">
        <v>1</v>
      </c>
      <c r="H739" s="98">
        <f>IF(A739:A2055="", "", COUNTIF(Check!H:H, A738:A2055))</f>
        <v>1</v>
      </c>
      <c r="I739" s="98"/>
      <c r="J739" s="98"/>
      <c r="K739" s="99"/>
      <c r="L739" s="99"/>
      <c r="M739" s="103"/>
      <c r="N739" s="104"/>
      <c r="O739" s="105"/>
      <c r="P739" s="105"/>
      <c r="Q739" s="98"/>
    </row>
    <row r="740">
      <c r="A740" s="96" t="s">
        <v>390</v>
      </c>
      <c r="B740" s="97" t="s">
        <v>2557</v>
      </c>
      <c r="C740" s="97" t="s">
        <v>2558</v>
      </c>
      <c r="D740" s="97" t="s">
        <v>704</v>
      </c>
      <c r="E740" s="97" t="s">
        <v>1050</v>
      </c>
      <c r="F740" s="97" t="b">
        <v>1</v>
      </c>
      <c r="G740" s="97" t="b">
        <v>1</v>
      </c>
      <c r="H740" s="98">
        <f>IF(A740:A2055="", "", COUNTIF(Check!H:H, A739:A2055))</f>
        <v>1</v>
      </c>
      <c r="I740" s="98"/>
      <c r="J740" s="98"/>
      <c r="K740" s="108" t="s">
        <v>740</v>
      </c>
      <c r="L740" s="110">
        <f>COUNTIFS($D$2:$D$1039, K740, $F$2:$F$1039, TRUE)</f>
        <v>8</v>
      </c>
      <c r="M740" s="108" t="s">
        <v>1085</v>
      </c>
      <c r="N740" s="109">
        <f>COUNTIFS($E$2:$E$1039, M740, $F$2:$F$1039, TRUE)</f>
        <v>0</v>
      </c>
      <c r="O740" s="98"/>
      <c r="P740" s="98"/>
      <c r="Q740" s="98"/>
    </row>
    <row r="741">
      <c r="A741" s="96" t="s">
        <v>347</v>
      </c>
      <c r="B741" s="97" t="s">
        <v>2559</v>
      </c>
      <c r="C741" s="97" t="s">
        <v>2560</v>
      </c>
      <c r="D741" s="97" t="s">
        <v>784</v>
      </c>
      <c r="E741" s="97" t="s">
        <v>582</v>
      </c>
      <c r="F741" s="97" t="b">
        <v>1</v>
      </c>
      <c r="G741" s="97" t="b">
        <v>1</v>
      </c>
      <c r="H741" s="98">
        <f>IF(A741:A2055="", "", COUNTIF(Check!H:H, A740:A2055))</f>
        <v>1</v>
      </c>
      <c r="I741" s="98"/>
      <c r="J741" s="98"/>
      <c r="K741" s="99"/>
      <c r="L741" s="99"/>
      <c r="M741" s="108"/>
      <c r="N741" s="109"/>
      <c r="O741" s="98"/>
      <c r="P741" s="98"/>
      <c r="Q741" s="98"/>
    </row>
    <row r="742">
      <c r="A742" s="96" t="s">
        <v>392</v>
      </c>
      <c r="B742" s="97" t="s">
        <v>2561</v>
      </c>
      <c r="C742" s="97" t="s">
        <v>2562</v>
      </c>
      <c r="D742" s="97" t="s">
        <v>633</v>
      </c>
      <c r="E742" s="97" t="s">
        <v>1050</v>
      </c>
      <c r="F742" s="97" t="b">
        <v>1</v>
      </c>
      <c r="G742" s="97" t="b">
        <v>1</v>
      </c>
      <c r="H742" s="98">
        <f>IF(A742:A2055="", "", COUNTIF(Check!H:H, A741:A2055))</f>
        <v>1</v>
      </c>
      <c r="I742" s="98"/>
      <c r="J742" s="98"/>
      <c r="K742" s="108" t="s">
        <v>648</v>
      </c>
      <c r="L742" s="109">
        <f>COUNTIFS($D$2:$D$1039, K742, $F$2:$F$1039, TRUE)</f>
        <v>10</v>
      </c>
      <c r="M742" s="100" t="s">
        <v>822</v>
      </c>
      <c r="N742" s="101">
        <f>COUNTIFS($E$2:$E$1039, M742, $F$2:$F$1039, TRUE)</f>
        <v>0</v>
      </c>
      <c r="O742" s="98"/>
      <c r="P742" s="98"/>
      <c r="Q742" s="98"/>
    </row>
    <row r="743">
      <c r="A743" s="96" t="s">
        <v>2563</v>
      </c>
      <c r="B743" s="97" t="s">
        <v>2564</v>
      </c>
      <c r="C743" s="97" t="s">
        <v>2565</v>
      </c>
      <c r="D743" s="97" t="s">
        <v>1089</v>
      </c>
      <c r="E743" s="97" t="s">
        <v>1146</v>
      </c>
      <c r="F743" s="97" t="b">
        <v>0</v>
      </c>
      <c r="G743" s="97" t="b">
        <v>0</v>
      </c>
      <c r="H743" s="98"/>
      <c r="I743" s="98"/>
      <c r="J743" s="98"/>
      <c r="K743" s="99"/>
      <c r="L743" s="99"/>
      <c r="M743" s="102"/>
      <c r="N743" s="102"/>
      <c r="O743" s="98"/>
      <c r="P743" s="98"/>
      <c r="Q743" s="98"/>
    </row>
    <row r="744">
      <c r="A744" s="96" t="s">
        <v>2566</v>
      </c>
      <c r="B744" s="97" t="s">
        <v>2567</v>
      </c>
      <c r="C744" s="97" t="s">
        <v>2568</v>
      </c>
      <c r="D744" s="97" t="s">
        <v>606</v>
      </c>
      <c r="E744" s="97" t="s">
        <v>711</v>
      </c>
      <c r="F744" s="97" t="b">
        <v>0</v>
      </c>
      <c r="G744" s="97" t="b">
        <v>0</v>
      </c>
      <c r="H744" s="98"/>
      <c r="I744" s="98"/>
      <c r="J744" s="98"/>
      <c r="K744" s="99"/>
      <c r="L744" s="99"/>
      <c r="M744" s="100"/>
      <c r="N744" s="101"/>
      <c r="O744" s="98"/>
      <c r="P744" s="98"/>
      <c r="Q744" s="106"/>
    </row>
    <row r="745">
      <c r="A745" s="96" t="s">
        <v>574</v>
      </c>
      <c r="B745" s="97" t="s">
        <v>2569</v>
      </c>
      <c r="C745" s="97" t="s">
        <v>2570</v>
      </c>
      <c r="D745" s="97" t="s">
        <v>655</v>
      </c>
      <c r="E745" s="97" t="s">
        <v>895</v>
      </c>
      <c r="F745" s="97" t="b">
        <v>0</v>
      </c>
      <c r="G745" s="97" t="b">
        <v>0</v>
      </c>
      <c r="H745" s="98"/>
      <c r="I745" s="98"/>
      <c r="J745" s="98"/>
      <c r="K745" s="99"/>
      <c r="L745" s="99"/>
      <c r="M745" s="102"/>
      <c r="N745" s="102"/>
      <c r="O745" s="98"/>
      <c r="P745" s="98"/>
      <c r="Q745" s="98"/>
    </row>
    <row r="746">
      <c r="A746" s="96" t="s">
        <v>577</v>
      </c>
      <c r="B746" s="97" t="s">
        <v>2571</v>
      </c>
      <c r="C746" s="97" t="s">
        <v>2572</v>
      </c>
      <c r="D746" s="97" t="s">
        <v>681</v>
      </c>
      <c r="E746" s="97" t="s">
        <v>711</v>
      </c>
      <c r="F746" s="97" t="b">
        <v>0</v>
      </c>
      <c r="G746" s="97" t="b">
        <v>0</v>
      </c>
      <c r="H746" s="98"/>
      <c r="I746" s="98"/>
      <c r="J746" s="98"/>
      <c r="K746" s="99"/>
      <c r="L746" s="99"/>
      <c r="M746" s="102"/>
      <c r="N746" s="102"/>
      <c r="O746" s="98"/>
      <c r="P746" s="98"/>
      <c r="Q746" s="98"/>
    </row>
    <row r="747">
      <c r="A747" s="96" t="s">
        <v>2573</v>
      </c>
      <c r="B747" s="97" t="s">
        <v>2574</v>
      </c>
      <c r="C747" s="97" t="s">
        <v>2575</v>
      </c>
      <c r="D747" s="97" t="s">
        <v>1026</v>
      </c>
      <c r="E747" s="97" t="s">
        <v>1346</v>
      </c>
      <c r="F747" s="97" t="b">
        <v>0</v>
      </c>
      <c r="G747" s="97" t="b">
        <v>0</v>
      </c>
      <c r="H747" s="98"/>
      <c r="I747" s="98"/>
      <c r="J747" s="98"/>
      <c r="K747" s="102"/>
      <c r="L747" s="102"/>
      <c r="M747" s="100"/>
      <c r="N747" s="101"/>
      <c r="O747" s="98"/>
      <c r="P747" s="98"/>
      <c r="Q747" s="98"/>
    </row>
    <row r="748">
      <c r="A748" s="96" t="s">
        <v>488</v>
      </c>
      <c r="B748" s="97" t="s">
        <v>2576</v>
      </c>
      <c r="C748" s="97" t="s">
        <v>2577</v>
      </c>
      <c r="D748" s="97" t="s">
        <v>1108</v>
      </c>
      <c r="E748" s="97" t="s">
        <v>789</v>
      </c>
      <c r="F748" s="97" t="b">
        <v>1</v>
      </c>
      <c r="G748" s="97" t="b">
        <v>1</v>
      </c>
      <c r="H748" s="98">
        <f>IF(A748:A2055="", "", COUNTIF(Check!H:H, A747:A2055))</f>
        <v>1</v>
      </c>
      <c r="I748" s="98"/>
      <c r="J748" s="98"/>
      <c r="K748" s="102"/>
      <c r="L748" s="102"/>
      <c r="M748" s="100"/>
      <c r="N748" s="101"/>
      <c r="O748" s="98"/>
      <c r="P748" s="98"/>
      <c r="Q748" s="98"/>
    </row>
    <row r="749">
      <c r="A749" s="96" t="s">
        <v>364</v>
      </c>
      <c r="B749" s="97" t="s">
        <v>2578</v>
      </c>
      <c r="C749" s="97" t="s">
        <v>2579</v>
      </c>
      <c r="D749" s="97" t="s">
        <v>1503</v>
      </c>
      <c r="E749" s="97" t="s">
        <v>586</v>
      </c>
      <c r="F749" s="97" t="b">
        <v>0</v>
      </c>
      <c r="G749" s="97" t="b">
        <v>0</v>
      </c>
      <c r="H749" s="98"/>
      <c r="I749" s="98"/>
      <c r="J749" s="98"/>
      <c r="K749" s="99"/>
      <c r="L749" s="99"/>
      <c r="M749" s="102"/>
      <c r="N749" s="102"/>
      <c r="O749" s="98"/>
      <c r="P749" s="98"/>
      <c r="Q749" s="98"/>
    </row>
    <row r="750">
      <c r="A750" s="96" t="s">
        <v>2580</v>
      </c>
      <c r="B750" s="97" t="s">
        <v>2581</v>
      </c>
      <c r="C750" s="97" t="s">
        <v>2582</v>
      </c>
      <c r="D750" s="97" t="s">
        <v>1417</v>
      </c>
      <c r="E750" s="97" t="s">
        <v>789</v>
      </c>
      <c r="F750" s="97" t="b">
        <v>0</v>
      </c>
      <c r="G750" s="97" t="b">
        <v>0</v>
      </c>
      <c r="H750" s="98"/>
      <c r="I750" s="98"/>
      <c r="J750" s="98"/>
      <c r="K750" s="102"/>
      <c r="L750" s="102"/>
      <c r="M750" s="100"/>
      <c r="N750" s="101"/>
      <c r="O750" s="98"/>
      <c r="P750" s="98"/>
      <c r="Q750" s="98"/>
    </row>
    <row r="751">
      <c r="A751" s="96" t="s">
        <v>160</v>
      </c>
      <c r="B751" s="97" t="s">
        <v>2583</v>
      </c>
      <c r="C751" s="97" t="s">
        <v>2584</v>
      </c>
      <c r="D751" s="97"/>
      <c r="E751" s="97"/>
      <c r="F751" s="97" t="b">
        <v>1</v>
      </c>
      <c r="G751" s="97" t="b">
        <v>1</v>
      </c>
      <c r="H751" s="98">
        <f>IF(A751:A2055="", "", COUNTIF(Check!H:H, A750:A2055))</f>
        <v>1</v>
      </c>
      <c r="I751" s="98"/>
      <c r="J751" s="98"/>
      <c r="K751" s="102"/>
      <c r="L751" s="102"/>
      <c r="M751" s="100"/>
      <c r="N751" s="101"/>
      <c r="O751" s="98"/>
      <c r="P751" s="98"/>
      <c r="Q751" s="98"/>
    </row>
    <row r="752">
      <c r="A752" s="96" t="s">
        <v>345</v>
      </c>
      <c r="B752" s="97" t="s">
        <v>2585</v>
      </c>
      <c r="C752" s="97" t="s">
        <v>2586</v>
      </c>
      <c r="D752" s="97" t="s">
        <v>671</v>
      </c>
      <c r="E752" s="97" t="s">
        <v>663</v>
      </c>
      <c r="F752" s="97" t="b">
        <v>0</v>
      </c>
      <c r="G752" s="97" t="b">
        <v>0</v>
      </c>
      <c r="H752" s="98"/>
      <c r="I752" s="98"/>
      <c r="J752" s="98"/>
      <c r="K752" s="99"/>
      <c r="L752" s="99"/>
      <c r="M752" s="102"/>
      <c r="N752" s="102"/>
      <c r="O752" s="98"/>
      <c r="P752" s="98"/>
      <c r="Q752" s="98"/>
    </row>
    <row r="753">
      <c r="A753" s="96" t="s">
        <v>433</v>
      </c>
      <c r="B753" s="97" t="s">
        <v>2587</v>
      </c>
      <c r="C753" s="97" t="s">
        <v>2588</v>
      </c>
      <c r="D753" s="97" t="s">
        <v>1615</v>
      </c>
      <c r="E753" s="97" t="s">
        <v>649</v>
      </c>
      <c r="F753" s="97" t="b">
        <v>1</v>
      </c>
      <c r="G753" s="97" t="b">
        <v>1</v>
      </c>
      <c r="H753" s="98">
        <f>IF(A753:A2055="", "", COUNTIF(Check!H:H, A752:A2055))</f>
        <v>1</v>
      </c>
      <c r="I753" s="98"/>
      <c r="J753" s="98"/>
      <c r="K753" s="100" t="s">
        <v>764</v>
      </c>
      <c r="L753" s="101">
        <f>COUNTIFS($D$2:$D$1039, K753, $F$2:$F$1039, TRUE)</f>
        <v>3</v>
      </c>
      <c r="M753" s="100" t="s">
        <v>590</v>
      </c>
      <c r="N753" s="101">
        <f>COUNTIFS($E$2:$E$1039, M753, $F$2:$F$1039, TRUE)</f>
        <v>26</v>
      </c>
      <c r="O753" s="98"/>
      <c r="P753" s="98"/>
      <c r="Q753" s="98"/>
    </row>
    <row r="754">
      <c r="A754" s="96" t="s">
        <v>197</v>
      </c>
      <c r="B754" s="97" t="s">
        <v>2589</v>
      </c>
      <c r="C754" s="97" t="s">
        <v>2590</v>
      </c>
      <c r="D754" s="97" t="s">
        <v>939</v>
      </c>
      <c r="E754" s="97" t="s">
        <v>767</v>
      </c>
      <c r="F754" s="97" t="b">
        <v>1</v>
      </c>
      <c r="G754" s="97" t="b">
        <v>1</v>
      </c>
      <c r="H754" s="98">
        <f>IF(A754:A2055="", "", COUNTIF(Check!H:H, A753:A2055))</f>
        <v>1</v>
      </c>
      <c r="I754" s="98"/>
      <c r="J754" s="98"/>
      <c r="K754" s="99"/>
      <c r="L754" s="99"/>
      <c r="M754" s="102"/>
      <c r="N754" s="102"/>
      <c r="O754" s="98"/>
      <c r="P754" s="98"/>
      <c r="Q754" s="98"/>
    </row>
    <row r="755">
      <c r="A755" s="96" t="s">
        <v>215</v>
      </c>
      <c r="B755" s="97" t="s">
        <v>2591</v>
      </c>
      <c r="C755" s="97" t="s">
        <v>2592</v>
      </c>
      <c r="D755" s="97" t="s">
        <v>1089</v>
      </c>
      <c r="E755" s="97" t="s">
        <v>727</v>
      </c>
      <c r="F755" s="97" t="b">
        <v>1</v>
      </c>
      <c r="G755" s="97" t="b">
        <v>1</v>
      </c>
      <c r="H755" s="98">
        <f>IF(A755:A2055="", "", COUNTIF(Check!H:H, A754:A2055))</f>
        <v>1</v>
      </c>
      <c r="I755" s="98"/>
      <c r="J755" s="98"/>
      <c r="K755" s="99"/>
      <c r="L755" s="99"/>
      <c r="M755" s="100"/>
      <c r="N755" s="101"/>
      <c r="O755" s="98"/>
      <c r="P755" s="98"/>
      <c r="Q755" s="98"/>
    </row>
    <row r="756">
      <c r="A756" s="96" t="s">
        <v>2593</v>
      </c>
      <c r="B756" s="97" t="s">
        <v>2594</v>
      </c>
      <c r="C756" s="97" t="s">
        <v>2595</v>
      </c>
      <c r="D756" s="97" t="s">
        <v>821</v>
      </c>
      <c r="E756" s="97" t="s">
        <v>1134</v>
      </c>
      <c r="F756" s="97" t="b">
        <v>0</v>
      </c>
      <c r="G756" s="97" t="b">
        <v>0</v>
      </c>
      <c r="H756" s="98"/>
      <c r="I756" s="98"/>
      <c r="J756" s="98"/>
      <c r="K756" s="100"/>
      <c r="L756" s="101"/>
      <c r="M756" s="102"/>
      <c r="N756" s="102"/>
      <c r="O756" s="98"/>
      <c r="P756" s="98"/>
      <c r="Q756" s="98"/>
    </row>
    <row r="757">
      <c r="A757" s="96" t="s">
        <v>228</v>
      </c>
      <c r="B757" s="97" t="s">
        <v>2596</v>
      </c>
      <c r="C757" s="97" t="s">
        <v>2597</v>
      </c>
      <c r="D757" s="97" t="s">
        <v>760</v>
      </c>
      <c r="E757" s="97" t="s">
        <v>761</v>
      </c>
      <c r="F757" s="97" t="b">
        <v>1</v>
      </c>
      <c r="G757" s="97" t="b">
        <v>1</v>
      </c>
      <c r="H757" s="98">
        <f>IF(A757:A2055="", "", COUNTIF(Check!H:H, A756:A2055))</f>
        <v>1</v>
      </c>
      <c r="I757" s="98"/>
      <c r="J757" s="98"/>
      <c r="K757" s="99"/>
      <c r="L757" s="99"/>
      <c r="M757" s="102"/>
      <c r="N757" s="102"/>
      <c r="O757" s="98"/>
      <c r="P757" s="98"/>
      <c r="Q757" s="98"/>
    </row>
    <row r="758">
      <c r="A758" s="96" t="s">
        <v>2598</v>
      </c>
      <c r="B758" s="97" t="s">
        <v>2599</v>
      </c>
      <c r="C758" s="97" t="s">
        <v>2600</v>
      </c>
      <c r="D758" s="97" t="s">
        <v>747</v>
      </c>
      <c r="E758" s="97" t="s">
        <v>644</v>
      </c>
      <c r="F758" s="97" t="b">
        <v>0</v>
      </c>
      <c r="G758" s="97" t="b">
        <v>0</v>
      </c>
      <c r="H758" s="98"/>
      <c r="I758" s="98"/>
      <c r="J758" s="98"/>
      <c r="K758" s="100"/>
      <c r="L758" s="107"/>
      <c r="M758" s="108"/>
      <c r="N758" s="109"/>
      <c r="O758" s="98"/>
      <c r="P758" s="98"/>
      <c r="Q758" s="98"/>
    </row>
    <row r="759">
      <c r="A759" s="96" t="s">
        <v>573</v>
      </c>
      <c r="B759" s="97" t="s">
        <v>2601</v>
      </c>
      <c r="C759" s="97" t="s">
        <v>2602</v>
      </c>
      <c r="D759" s="97" t="s">
        <v>692</v>
      </c>
      <c r="E759" s="97" t="s">
        <v>1854</v>
      </c>
      <c r="F759" s="97" t="b">
        <v>1</v>
      </c>
      <c r="G759" s="97" t="b">
        <v>1</v>
      </c>
      <c r="H759" s="98">
        <f>IF(A759:A2055="", "", COUNTIF(Check!H:H, A758:A2055))</f>
        <v>1</v>
      </c>
      <c r="I759" s="111"/>
      <c r="J759" s="111"/>
      <c r="K759" s="99"/>
      <c r="L759" s="99"/>
      <c r="M759" s="102"/>
      <c r="N759" s="102"/>
      <c r="O759" s="111"/>
      <c r="P759" s="111"/>
      <c r="Q759" s="98"/>
    </row>
    <row r="760">
      <c r="A760" s="96" t="s">
        <v>2603</v>
      </c>
      <c r="B760" s="97" t="s">
        <v>2604</v>
      </c>
      <c r="C760" s="97" t="s">
        <v>2605</v>
      </c>
      <c r="D760" s="97" t="s">
        <v>773</v>
      </c>
      <c r="E760" s="97" t="s">
        <v>830</v>
      </c>
      <c r="F760" s="97" t="b">
        <v>0</v>
      </c>
      <c r="G760" s="97" t="b">
        <v>0</v>
      </c>
      <c r="H760" s="98"/>
      <c r="I760" s="98"/>
      <c r="J760" s="98"/>
      <c r="K760" s="100"/>
      <c r="L760" s="101"/>
      <c r="M760" s="100"/>
      <c r="N760" s="101"/>
      <c r="O760" s="98"/>
      <c r="P760" s="98"/>
      <c r="Q760" s="98"/>
    </row>
    <row r="761">
      <c r="A761" s="96" t="s">
        <v>102</v>
      </c>
      <c r="B761" s="97" t="s">
        <v>2606</v>
      </c>
      <c r="C761" s="97" t="s">
        <v>2607</v>
      </c>
      <c r="D761" s="97" t="s">
        <v>717</v>
      </c>
      <c r="E761" s="97" t="s">
        <v>649</v>
      </c>
      <c r="F761" s="97" t="b">
        <v>1</v>
      </c>
      <c r="G761" s="97" t="b">
        <v>1</v>
      </c>
      <c r="H761" s="98">
        <f>IF(A761:A2055="", "", COUNTIF(Check!H:H, A760:A2055))</f>
        <v>1</v>
      </c>
      <c r="I761" s="98"/>
      <c r="J761" s="98"/>
      <c r="K761" s="100" t="s">
        <v>776</v>
      </c>
      <c r="L761" s="107">
        <f>COUNTIFS($D$2:$D$1039, K761, $F$2:$F$1039, TRUE)</f>
        <v>2</v>
      </c>
      <c r="M761" s="100" t="s">
        <v>2491</v>
      </c>
      <c r="N761" s="101">
        <f>COUNTIFS($E$2:$E$1039, M761, $F$2:$F$1039, TRUE)</f>
        <v>0</v>
      </c>
      <c r="O761" s="98"/>
      <c r="P761" s="98"/>
      <c r="Q761" s="98"/>
    </row>
    <row r="762">
      <c r="A762" s="96" t="s">
        <v>248</v>
      </c>
      <c r="B762" s="97" t="s">
        <v>2608</v>
      </c>
      <c r="C762" s="97" t="s">
        <v>2609</v>
      </c>
      <c r="D762" s="97" t="s">
        <v>904</v>
      </c>
      <c r="E762" s="97" t="s">
        <v>659</v>
      </c>
      <c r="F762" s="97" t="b">
        <v>1</v>
      </c>
      <c r="G762" s="97" t="b">
        <v>1</v>
      </c>
      <c r="H762" s="98">
        <f>IF(A762:A2055="", "", COUNTIF(Check!H:H, A761:A2055))</f>
        <v>1</v>
      </c>
      <c r="I762" s="98"/>
      <c r="J762" s="98"/>
      <c r="K762" s="99"/>
      <c r="L762" s="99"/>
      <c r="M762" s="100"/>
      <c r="N762" s="101"/>
      <c r="O762" s="98"/>
      <c r="P762" s="98"/>
      <c r="Q762" s="98"/>
    </row>
    <row r="763">
      <c r="A763" s="96" t="s">
        <v>2610</v>
      </c>
      <c r="B763" s="97" t="s">
        <v>2611</v>
      </c>
      <c r="C763" s="97" t="s">
        <v>2612</v>
      </c>
      <c r="D763" s="97" t="s">
        <v>726</v>
      </c>
      <c r="E763" s="97" t="s">
        <v>630</v>
      </c>
      <c r="F763" s="97" t="b">
        <v>0</v>
      </c>
      <c r="G763" s="97" t="b">
        <v>0</v>
      </c>
      <c r="H763" s="98"/>
      <c r="I763" s="98"/>
      <c r="J763" s="98"/>
      <c r="K763" s="108"/>
      <c r="L763" s="109"/>
      <c r="M763" s="102"/>
      <c r="N763" s="102"/>
      <c r="O763" s="98"/>
      <c r="P763" s="98"/>
      <c r="Q763" s="98"/>
    </row>
    <row r="764">
      <c r="A764" s="96" t="s">
        <v>2613</v>
      </c>
      <c r="B764" s="97" t="s">
        <v>2614</v>
      </c>
      <c r="C764" s="97" t="s">
        <v>2615</v>
      </c>
      <c r="D764" s="97" t="s">
        <v>904</v>
      </c>
      <c r="E764" s="97" t="s">
        <v>830</v>
      </c>
      <c r="F764" s="97" t="b">
        <v>0</v>
      </c>
      <c r="G764" s="97" t="b">
        <v>0</v>
      </c>
      <c r="H764" s="98"/>
      <c r="I764" s="98"/>
      <c r="J764" s="98"/>
      <c r="K764" s="100"/>
      <c r="L764" s="107"/>
      <c r="M764" s="102"/>
      <c r="N764" s="102"/>
      <c r="O764" s="98"/>
      <c r="P764" s="98"/>
      <c r="Q764" s="98"/>
    </row>
    <row r="765">
      <c r="A765" s="96" t="s">
        <v>2616</v>
      </c>
      <c r="B765" s="97" t="s">
        <v>2617</v>
      </c>
      <c r="C765" s="97" t="s">
        <v>2618</v>
      </c>
      <c r="D765" s="97" t="s">
        <v>1089</v>
      </c>
      <c r="E765" s="97" t="s">
        <v>620</v>
      </c>
      <c r="F765" s="97" t="b">
        <v>0</v>
      </c>
      <c r="G765" s="97" t="b">
        <v>0</v>
      </c>
      <c r="H765" s="98"/>
      <c r="I765" s="98"/>
      <c r="J765" s="98"/>
      <c r="K765" s="102"/>
      <c r="L765" s="102"/>
      <c r="M765" s="102"/>
      <c r="N765" s="102"/>
      <c r="O765" s="98"/>
      <c r="P765" s="98"/>
      <c r="Q765" s="98"/>
    </row>
    <row r="766">
      <c r="A766" s="96" t="s">
        <v>260</v>
      </c>
      <c r="B766" s="97" t="s">
        <v>2619</v>
      </c>
      <c r="C766" s="97" t="s">
        <v>2620</v>
      </c>
      <c r="D766" s="97" t="s">
        <v>655</v>
      </c>
      <c r="E766" s="97" t="s">
        <v>616</v>
      </c>
      <c r="F766" s="97" t="b">
        <v>1</v>
      </c>
      <c r="G766" s="97" t="b">
        <v>1</v>
      </c>
      <c r="H766" s="98">
        <f>IF(A766:A2055="", "", COUNTIF(Check!H:H, A765:A2055))</f>
        <v>1</v>
      </c>
      <c r="I766" s="98"/>
      <c r="J766" s="98"/>
      <c r="K766" s="99"/>
      <c r="L766" s="99"/>
      <c r="M766" s="102"/>
      <c r="N766" s="102"/>
      <c r="O766" s="98"/>
      <c r="P766" s="98"/>
      <c r="Q766" s="98"/>
    </row>
    <row r="767">
      <c r="A767" s="96" t="s">
        <v>2621</v>
      </c>
      <c r="B767" s="97" t="s">
        <v>2622</v>
      </c>
      <c r="C767" s="97" t="s">
        <v>2623</v>
      </c>
      <c r="D767" s="97" t="s">
        <v>854</v>
      </c>
      <c r="E767" s="97" t="s">
        <v>620</v>
      </c>
      <c r="F767" s="97" t="b">
        <v>0</v>
      </c>
      <c r="G767" s="97" t="b">
        <v>0</v>
      </c>
      <c r="H767" s="98"/>
      <c r="I767" s="98"/>
      <c r="J767" s="98"/>
      <c r="K767" s="102"/>
      <c r="L767" s="102"/>
      <c r="M767" s="102"/>
      <c r="N767" s="102"/>
      <c r="O767" s="98"/>
      <c r="P767" s="98"/>
      <c r="Q767" s="98"/>
    </row>
    <row r="768">
      <c r="A768" s="96" t="s">
        <v>2624</v>
      </c>
      <c r="B768" s="97" t="s">
        <v>2625</v>
      </c>
      <c r="C768" s="97" t="s">
        <v>2626</v>
      </c>
      <c r="D768" s="97" t="s">
        <v>781</v>
      </c>
      <c r="E768" s="97" t="s">
        <v>1234</v>
      </c>
      <c r="F768" s="97" t="b">
        <v>0</v>
      </c>
      <c r="G768" s="97" t="b">
        <v>0</v>
      </c>
      <c r="H768" s="98"/>
      <c r="I768" s="98"/>
      <c r="J768" s="98"/>
      <c r="K768" s="99"/>
      <c r="L768" s="99"/>
      <c r="M768" s="102"/>
      <c r="N768" s="102"/>
      <c r="O768" s="98"/>
      <c r="P768" s="98"/>
      <c r="Q768" s="105"/>
    </row>
    <row r="769">
      <c r="A769" s="96" t="s">
        <v>98</v>
      </c>
      <c r="B769" s="97" t="s">
        <v>2627</v>
      </c>
      <c r="C769" s="97" t="s">
        <v>2628</v>
      </c>
      <c r="D769" s="97" t="s">
        <v>1114</v>
      </c>
      <c r="E769" s="97" t="s">
        <v>611</v>
      </c>
      <c r="F769" s="97" t="b">
        <v>1</v>
      </c>
      <c r="G769" s="97" t="b">
        <v>1</v>
      </c>
      <c r="H769" s="98">
        <f>IF(A769:A2055="", "", COUNTIF(Check!H:H, A768:A2055))</f>
        <v>1</v>
      </c>
      <c r="I769" s="98"/>
      <c r="J769" s="98"/>
      <c r="K769" s="99"/>
      <c r="L769" s="99"/>
      <c r="M769" s="102"/>
      <c r="N769" s="102"/>
      <c r="O769" s="98"/>
      <c r="P769" s="98"/>
      <c r="Q769" s="98"/>
    </row>
    <row r="770">
      <c r="A770" s="96" t="s">
        <v>2629</v>
      </c>
      <c r="B770" s="97" t="s">
        <v>2627</v>
      </c>
      <c r="C770" s="97" t="s">
        <v>2630</v>
      </c>
      <c r="D770" s="97" t="s">
        <v>1089</v>
      </c>
      <c r="E770" s="97" t="s">
        <v>1548</v>
      </c>
      <c r="F770" s="97" t="b">
        <v>0</v>
      </c>
      <c r="G770" s="97" t="b">
        <v>0</v>
      </c>
      <c r="H770" s="98"/>
      <c r="I770" s="98"/>
      <c r="J770" s="98"/>
      <c r="K770" s="99"/>
      <c r="L770" s="99"/>
      <c r="M770" s="102"/>
      <c r="N770" s="102"/>
      <c r="O770" s="98"/>
      <c r="P770" s="98"/>
      <c r="Q770" s="98"/>
    </row>
    <row r="771">
      <c r="A771" s="96" t="s">
        <v>2631</v>
      </c>
      <c r="B771" s="97" t="s">
        <v>2632</v>
      </c>
      <c r="C771" s="97" t="s">
        <v>2633</v>
      </c>
      <c r="D771" s="97" t="s">
        <v>648</v>
      </c>
      <c r="E771" s="97" t="s">
        <v>649</v>
      </c>
      <c r="F771" s="97" t="b">
        <v>0</v>
      </c>
      <c r="G771" s="97" t="b">
        <v>0</v>
      </c>
      <c r="H771" s="98"/>
      <c r="I771" s="98"/>
      <c r="J771" s="98"/>
      <c r="K771" s="100" t="s">
        <v>692</v>
      </c>
      <c r="L771" s="101">
        <f t="shared" ref="L771:L773" si="11">COUNTIFS($D$2:$D$1039, K771, $F$2:$F$1039, TRUE)</f>
        <v>3</v>
      </c>
      <c r="M771" s="100" t="s">
        <v>1567</v>
      </c>
      <c r="N771" s="101">
        <f t="shared" ref="N771:N773" si="12">COUNTIFS($E$2:$E$1039, M771, $F$2:$F$1039, TRUE)</f>
        <v>0</v>
      </c>
      <c r="O771" s="98"/>
      <c r="P771" s="98"/>
      <c r="Q771" s="98"/>
    </row>
    <row r="772">
      <c r="A772" s="96" t="s">
        <v>440</v>
      </c>
      <c r="B772" s="97" t="s">
        <v>2634</v>
      </c>
      <c r="C772" s="97" t="s">
        <v>2635</v>
      </c>
      <c r="D772" s="97" t="s">
        <v>1451</v>
      </c>
      <c r="E772" s="97" t="s">
        <v>649</v>
      </c>
      <c r="F772" s="97" t="b">
        <v>1</v>
      </c>
      <c r="G772" s="97" t="b">
        <v>1</v>
      </c>
      <c r="H772" s="98">
        <f>IF(A772:A2055="", "", COUNTIF(Check!H:H, A771:A2055))</f>
        <v>1</v>
      </c>
      <c r="I772" s="98"/>
      <c r="J772" s="98"/>
      <c r="K772" s="100" t="s">
        <v>629</v>
      </c>
      <c r="L772" s="107">
        <f t="shared" si="11"/>
        <v>5</v>
      </c>
      <c r="M772" s="100" t="s">
        <v>1258</v>
      </c>
      <c r="N772" s="101">
        <f t="shared" si="12"/>
        <v>0</v>
      </c>
      <c r="O772" s="98"/>
      <c r="P772" s="98"/>
      <c r="Q772" s="98"/>
    </row>
    <row r="773">
      <c r="A773" s="96" t="s">
        <v>379</v>
      </c>
      <c r="B773" s="97" t="s">
        <v>2636</v>
      </c>
      <c r="C773" s="97" t="s">
        <v>2637</v>
      </c>
      <c r="D773" s="97" t="s">
        <v>1012</v>
      </c>
      <c r="E773" s="97" t="s">
        <v>1050</v>
      </c>
      <c r="F773" s="97" t="b">
        <v>1</v>
      </c>
      <c r="G773" s="97" t="b">
        <v>1</v>
      </c>
      <c r="H773" s="98">
        <f>IF(A773:A2055="", "", COUNTIF(Check!H:H, A772:A2055))</f>
        <v>1</v>
      </c>
      <c r="I773" s="98"/>
      <c r="J773" s="98"/>
      <c r="K773" s="108" t="s">
        <v>619</v>
      </c>
      <c r="L773" s="110">
        <f t="shared" si="11"/>
        <v>9</v>
      </c>
      <c r="M773" s="100" t="s">
        <v>789</v>
      </c>
      <c r="N773" s="101">
        <f t="shared" si="12"/>
        <v>10</v>
      </c>
      <c r="O773" s="98"/>
      <c r="P773" s="98"/>
      <c r="Q773" s="98"/>
    </row>
    <row r="774">
      <c r="A774" s="96" t="s">
        <v>401</v>
      </c>
      <c r="B774" s="97" t="s">
        <v>2638</v>
      </c>
      <c r="C774" s="97" t="s">
        <v>2639</v>
      </c>
      <c r="D774" s="97" t="s">
        <v>674</v>
      </c>
      <c r="E774" s="97" t="s">
        <v>761</v>
      </c>
      <c r="F774" s="97" t="b">
        <v>1</v>
      </c>
      <c r="G774" s="97" t="b">
        <v>1</v>
      </c>
      <c r="H774" s="98">
        <f>IF(A774:A2055="", "", COUNTIF(Check!H:H, A773:A2055))</f>
        <v>1</v>
      </c>
      <c r="I774" s="98"/>
      <c r="J774" s="98"/>
      <c r="K774" s="100"/>
      <c r="L774" s="101"/>
      <c r="M774" s="100"/>
      <c r="N774" s="101"/>
      <c r="O774" s="98"/>
      <c r="P774" s="98"/>
      <c r="Q774" s="98"/>
    </row>
    <row r="775">
      <c r="A775" s="96" t="s">
        <v>463</v>
      </c>
      <c r="B775" s="97" t="s">
        <v>2640</v>
      </c>
      <c r="C775" s="97" t="s">
        <v>2641</v>
      </c>
      <c r="D775" s="97" t="s">
        <v>942</v>
      </c>
      <c r="E775" s="97" t="s">
        <v>590</v>
      </c>
      <c r="F775" s="97" t="b">
        <v>1</v>
      </c>
      <c r="G775" s="97" t="b">
        <v>1</v>
      </c>
      <c r="H775" s="98">
        <f>IF(A775:A2055="", "", COUNTIF(Check!H:H, A774:A2055))</f>
        <v>1</v>
      </c>
      <c r="I775" s="98"/>
      <c r="J775" s="98"/>
      <c r="K775" s="99"/>
      <c r="L775" s="99"/>
      <c r="M775" s="102"/>
      <c r="N775" s="102"/>
      <c r="O775" s="98"/>
      <c r="P775" s="98"/>
      <c r="Q775" s="98"/>
    </row>
    <row r="776">
      <c r="A776" s="96" t="s">
        <v>2642</v>
      </c>
      <c r="B776" s="97" t="s">
        <v>2643</v>
      </c>
      <c r="C776" s="97" t="s">
        <v>2644</v>
      </c>
      <c r="D776" s="97" t="s">
        <v>904</v>
      </c>
      <c r="E776" s="97" t="s">
        <v>586</v>
      </c>
      <c r="F776" s="97" t="b">
        <v>0</v>
      </c>
      <c r="G776" s="97" t="b">
        <v>0</v>
      </c>
      <c r="H776" s="98"/>
      <c r="I776" s="98"/>
      <c r="J776" s="98"/>
      <c r="K776" s="99"/>
      <c r="L776" s="99"/>
      <c r="M776" s="102"/>
      <c r="N776" s="102"/>
      <c r="O776" s="98"/>
      <c r="P776" s="98"/>
      <c r="Q776" s="98"/>
    </row>
    <row r="777">
      <c r="A777" s="96" t="s">
        <v>2645</v>
      </c>
      <c r="B777" s="97" t="s">
        <v>2646</v>
      </c>
      <c r="C777" s="97" t="s">
        <v>2647</v>
      </c>
      <c r="D777" s="97" t="s">
        <v>788</v>
      </c>
      <c r="E777" s="97" t="s">
        <v>663</v>
      </c>
      <c r="F777" s="97" t="b">
        <v>0</v>
      </c>
      <c r="G777" s="97" t="b">
        <v>0</v>
      </c>
      <c r="H777" s="98"/>
      <c r="I777" s="98"/>
      <c r="J777" s="98"/>
      <c r="K777" s="100"/>
      <c r="L777" s="101"/>
      <c r="M777" s="102"/>
      <c r="N777" s="102"/>
      <c r="O777" s="98"/>
      <c r="P777" s="98"/>
      <c r="Q777" s="98"/>
    </row>
    <row r="778">
      <c r="A778" s="96" t="s">
        <v>553</v>
      </c>
      <c r="B778" s="97" t="s">
        <v>2648</v>
      </c>
      <c r="C778" s="97" t="s">
        <v>2649</v>
      </c>
      <c r="D778" s="97" t="s">
        <v>801</v>
      </c>
      <c r="E778" s="97" t="s">
        <v>697</v>
      </c>
      <c r="F778" s="97" t="b">
        <v>1</v>
      </c>
      <c r="G778" s="97" t="b">
        <v>1</v>
      </c>
      <c r="H778" s="98">
        <f>IF(A778:A2055="", "", COUNTIF(Check!H:H, A777:A2055))</f>
        <v>1</v>
      </c>
      <c r="I778" s="98"/>
      <c r="J778" s="98"/>
      <c r="K778" s="100" t="s">
        <v>964</v>
      </c>
      <c r="L778" s="107">
        <f>COUNTIFS($D$2:$D$1039, K778, $F$2:$F$1039, TRUE)</f>
        <v>11</v>
      </c>
      <c r="M778" s="100" t="s">
        <v>697</v>
      </c>
      <c r="N778" s="101">
        <f>COUNTIFS($E$2:$E$1039, M778, $F$2:$F$1039, TRUE)</f>
        <v>23</v>
      </c>
      <c r="O778" s="98"/>
      <c r="P778" s="98"/>
      <c r="Q778" s="98"/>
    </row>
    <row r="779">
      <c r="A779" s="96" t="s">
        <v>240</v>
      </c>
      <c r="B779" s="97" t="s">
        <v>2650</v>
      </c>
      <c r="C779" s="97" t="s">
        <v>2651</v>
      </c>
      <c r="D779" s="97" t="s">
        <v>1012</v>
      </c>
      <c r="E779" s="97" t="s">
        <v>761</v>
      </c>
      <c r="F779" s="97" t="b">
        <v>1</v>
      </c>
      <c r="G779" s="97" t="b">
        <v>1</v>
      </c>
      <c r="H779" s="98">
        <f>IF(A779:A2055="", "", COUNTIF(Check!H:H, A778:A2055))</f>
        <v>1</v>
      </c>
      <c r="I779" s="98"/>
      <c r="J779" s="98"/>
      <c r="K779" s="99"/>
      <c r="L779" s="99"/>
      <c r="M779" s="102"/>
      <c r="N779" s="102"/>
      <c r="O779" s="98"/>
      <c r="P779" s="98"/>
      <c r="Q779" s="98"/>
    </row>
    <row r="780">
      <c r="A780" s="96" t="s">
        <v>56</v>
      </c>
      <c r="B780" s="97" t="s">
        <v>2652</v>
      </c>
      <c r="C780" s="97" t="s">
        <v>2653</v>
      </c>
      <c r="D780" s="97" t="s">
        <v>684</v>
      </c>
      <c r="E780" s="97" t="s">
        <v>733</v>
      </c>
      <c r="F780" s="97" t="b">
        <v>1</v>
      </c>
      <c r="G780" s="97" t="b">
        <v>1</v>
      </c>
      <c r="H780" s="98">
        <f>IF(A780:A2055="", "", COUNTIF(Check!H:H, A779:A2055))</f>
        <v>1</v>
      </c>
      <c r="I780" s="98"/>
      <c r="J780" s="98"/>
      <c r="K780" s="102"/>
      <c r="L780" s="102"/>
      <c r="M780" s="102"/>
      <c r="N780" s="102"/>
      <c r="O780" s="98"/>
      <c r="P780" s="98"/>
      <c r="Q780" s="98"/>
    </row>
    <row r="781">
      <c r="A781" s="96" t="s">
        <v>506</v>
      </c>
      <c r="B781" s="97" t="s">
        <v>2654</v>
      </c>
      <c r="C781" s="97" t="s">
        <v>2655</v>
      </c>
      <c r="D781" s="97" t="s">
        <v>826</v>
      </c>
      <c r="E781" s="97" t="s">
        <v>644</v>
      </c>
      <c r="F781" s="97" t="b">
        <v>1</v>
      </c>
      <c r="G781" s="97" t="b">
        <v>1</v>
      </c>
      <c r="H781" s="98">
        <f>IF(A781:A2055="", "", COUNTIF(Check!H:H, A780:A2055))</f>
        <v>1</v>
      </c>
      <c r="I781" s="98"/>
      <c r="J781" s="98"/>
      <c r="K781" s="99"/>
      <c r="L781" s="99"/>
      <c r="M781" s="102"/>
      <c r="N781" s="102"/>
      <c r="O781" s="98"/>
      <c r="P781" s="98"/>
      <c r="Q781" s="98"/>
    </row>
    <row r="782">
      <c r="A782" s="96" t="s">
        <v>213</v>
      </c>
      <c r="B782" s="97" t="s">
        <v>2656</v>
      </c>
      <c r="C782" s="97" t="s">
        <v>2657</v>
      </c>
      <c r="D782" s="97" t="s">
        <v>629</v>
      </c>
      <c r="E782" s="97" t="s">
        <v>727</v>
      </c>
      <c r="F782" s="97" t="b">
        <v>1</v>
      </c>
      <c r="G782" s="97" t="b">
        <v>1</v>
      </c>
      <c r="H782" s="98">
        <f>IF(A782:A2055="", "", COUNTIF(Check!H:H, A781:A2055))</f>
        <v>1</v>
      </c>
      <c r="I782" s="98"/>
      <c r="J782" s="98"/>
      <c r="K782" s="99"/>
      <c r="L782" s="99"/>
      <c r="M782" s="102"/>
      <c r="N782" s="102"/>
      <c r="O782" s="98"/>
      <c r="P782" s="98"/>
      <c r="Q782" s="98"/>
    </row>
    <row r="783">
      <c r="A783" s="96" t="s">
        <v>380</v>
      </c>
      <c r="B783" s="97" t="s">
        <v>2658</v>
      </c>
      <c r="C783" s="97" t="s">
        <v>2659</v>
      </c>
      <c r="D783" s="97" t="s">
        <v>615</v>
      </c>
      <c r="E783" s="97" t="s">
        <v>1050</v>
      </c>
      <c r="F783" s="97" t="b">
        <v>1</v>
      </c>
      <c r="G783" s="97" t="b">
        <v>1</v>
      </c>
      <c r="H783" s="98">
        <f>IF(A783:A2055="", "", COUNTIF(Check!H:H, A782:A2055))</f>
        <v>1</v>
      </c>
      <c r="I783" s="98"/>
      <c r="J783" s="98"/>
      <c r="K783" s="108" t="s">
        <v>1541</v>
      </c>
      <c r="L783" s="110">
        <f>COUNTIFS($D$2:$D$1039, K783, $F$2:$F$1039, TRUE)</f>
        <v>6</v>
      </c>
      <c r="M783" s="100" t="s">
        <v>2247</v>
      </c>
      <c r="N783" s="101">
        <f>COUNTIFS($E$2:$E$1039, M783, $F$2:$F$1039, TRUE)</f>
        <v>0</v>
      </c>
      <c r="O783" s="106"/>
      <c r="P783" s="106"/>
      <c r="Q783" s="98"/>
    </row>
    <row r="784">
      <c r="A784" s="96" t="s">
        <v>2660</v>
      </c>
      <c r="B784" s="97" t="s">
        <v>2661</v>
      </c>
      <c r="C784" s="97" t="s">
        <v>2662</v>
      </c>
      <c r="D784" s="97" t="s">
        <v>684</v>
      </c>
      <c r="E784" s="97" t="s">
        <v>659</v>
      </c>
      <c r="F784" s="97" t="b">
        <v>0</v>
      </c>
      <c r="G784" s="97" t="b">
        <v>0</v>
      </c>
      <c r="H784" s="98"/>
      <c r="I784" s="98"/>
      <c r="J784" s="98"/>
      <c r="K784" s="99"/>
      <c r="L784" s="99"/>
      <c r="M784" s="102"/>
      <c r="N784" s="102"/>
      <c r="O784" s="98"/>
      <c r="P784" s="98"/>
      <c r="Q784" s="98"/>
    </row>
    <row r="785">
      <c r="A785" s="96" t="s">
        <v>2663</v>
      </c>
      <c r="B785" s="97" t="s">
        <v>2664</v>
      </c>
      <c r="C785" s="97" t="s">
        <v>2665</v>
      </c>
      <c r="D785" s="97" t="s">
        <v>948</v>
      </c>
      <c r="E785" s="97" t="s">
        <v>590</v>
      </c>
      <c r="F785" s="97" t="b">
        <v>0</v>
      </c>
      <c r="G785" s="97" t="b">
        <v>0</v>
      </c>
      <c r="H785" s="98"/>
      <c r="I785" s="98"/>
      <c r="J785" s="98"/>
      <c r="K785" s="99"/>
      <c r="L785" s="99"/>
      <c r="M785" s="102"/>
      <c r="N785" s="102"/>
      <c r="O785" s="98"/>
      <c r="P785" s="98"/>
      <c r="Q785" s="98"/>
    </row>
    <row r="786">
      <c r="A786" s="96" t="s">
        <v>2666</v>
      </c>
      <c r="B786" s="97" t="s">
        <v>2667</v>
      </c>
      <c r="C786" s="97" t="s">
        <v>2668</v>
      </c>
      <c r="D786" s="97" t="s">
        <v>708</v>
      </c>
      <c r="E786" s="97" t="s">
        <v>932</v>
      </c>
      <c r="F786" s="97" t="b">
        <v>0</v>
      </c>
      <c r="G786" s="97" t="b">
        <v>0</v>
      </c>
      <c r="H786" s="98"/>
      <c r="I786" s="98"/>
      <c r="J786" s="98"/>
      <c r="K786" s="99"/>
      <c r="L786" s="99"/>
      <c r="M786" s="102"/>
      <c r="N786" s="102"/>
      <c r="O786" s="98"/>
      <c r="P786" s="98"/>
      <c r="Q786" s="98"/>
    </row>
    <row r="787">
      <c r="A787" s="96" t="s">
        <v>376</v>
      </c>
      <c r="B787" s="97" t="s">
        <v>2669</v>
      </c>
      <c r="C787" s="97" t="s">
        <v>2670</v>
      </c>
      <c r="D787" s="97" t="s">
        <v>792</v>
      </c>
      <c r="E787" s="97" t="s">
        <v>1050</v>
      </c>
      <c r="F787" s="97" t="b">
        <v>1</v>
      </c>
      <c r="G787" s="97" t="b">
        <v>1</v>
      </c>
      <c r="H787" s="98">
        <f>IF(A787:A2055="", "", COUNTIF(Check!H:H, A786:A2055))</f>
        <v>1</v>
      </c>
      <c r="I787" s="98"/>
      <c r="J787" s="98"/>
      <c r="K787" s="108" t="s">
        <v>1699</v>
      </c>
      <c r="L787" s="110">
        <f>COUNTIFS($D$2:$D$1039, K787, $F$2:$F$1039, TRUE)</f>
        <v>2</v>
      </c>
      <c r="M787" s="100" t="s">
        <v>659</v>
      </c>
      <c r="N787" s="101">
        <f>COUNTIFS($E$2:$E$1039, M787, $F$2:$F$1039, TRUE)</f>
        <v>11</v>
      </c>
      <c r="O787" s="98"/>
      <c r="P787" s="98"/>
      <c r="Q787" s="98"/>
    </row>
    <row r="788">
      <c r="A788" s="96" t="s">
        <v>2671</v>
      </c>
      <c r="B788" s="97" t="s">
        <v>2672</v>
      </c>
      <c r="C788" s="97" t="s">
        <v>2673</v>
      </c>
      <c r="D788" s="97" t="s">
        <v>792</v>
      </c>
      <c r="E788" s="97" t="s">
        <v>616</v>
      </c>
      <c r="F788" s="97" t="b">
        <v>0</v>
      </c>
      <c r="G788" s="97" t="b">
        <v>0</v>
      </c>
      <c r="H788" s="98"/>
      <c r="I788" s="98"/>
      <c r="J788" s="98"/>
      <c r="K788" s="99"/>
      <c r="L788" s="99"/>
      <c r="M788" s="108"/>
      <c r="N788" s="109"/>
      <c r="O788" s="98"/>
      <c r="P788" s="98"/>
      <c r="Q788" s="98"/>
    </row>
    <row r="789">
      <c r="A789" s="96" t="s">
        <v>2674</v>
      </c>
      <c r="B789" s="97" t="s">
        <v>2675</v>
      </c>
      <c r="C789" s="97" t="s">
        <v>2676</v>
      </c>
      <c r="D789" s="97" t="s">
        <v>955</v>
      </c>
      <c r="E789" s="97" t="s">
        <v>1473</v>
      </c>
      <c r="F789" s="97" t="b">
        <v>0</v>
      </c>
      <c r="G789" s="97" t="b">
        <v>0</v>
      </c>
      <c r="H789" s="98"/>
      <c r="I789" s="98"/>
      <c r="J789" s="98"/>
      <c r="K789" s="99"/>
      <c r="L789" s="99"/>
      <c r="M789" s="102"/>
      <c r="N789" s="102"/>
      <c r="O789" s="98"/>
      <c r="P789" s="98"/>
      <c r="Q789" s="98"/>
    </row>
    <row r="790">
      <c r="A790" s="96" t="s">
        <v>530</v>
      </c>
      <c r="B790" s="97" t="s">
        <v>2677</v>
      </c>
      <c r="C790" s="97" t="s">
        <v>2678</v>
      </c>
      <c r="D790" s="97" t="s">
        <v>633</v>
      </c>
      <c r="E790" s="97" t="s">
        <v>582</v>
      </c>
      <c r="F790" s="97" t="b">
        <v>1</v>
      </c>
      <c r="G790" s="97" t="b">
        <v>1</v>
      </c>
      <c r="H790" s="98">
        <f>IF(A790:A2055="", "", COUNTIF(Check!H:H, A789:A2055))</f>
        <v>1</v>
      </c>
      <c r="I790" s="98"/>
      <c r="J790" s="98"/>
      <c r="K790" s="99"/>
      <c r="L790" s="99"/>
      <c r="M790" s="102"/>
      <c r="N790" s="102"/>
      <c r="O790" s="98"/>
      <c r="P790" s="98"/>
      <c r="Q790" s="98"/>
    </row>
    <row r="791">
      <c r="A791" s="96" t="s">
        <v>2679</v>
      </c>
      <c r="B791" s="97" t="s">
        <v>2680</v>
      </c>
      <c r="C791" s="97" t="s">
        <v>2681</v>
      </c>
      <c r="D791" s="97" t="s">
        <v>942</v>
      </c>
      <c r="E791" s="97" t="s">
        <v>590</v>
      </c>
      <c r="F791" s="97" t="b">
        <v>0</v>
      </c>
      <c r="G791" s="97" t="b">
        <v>0</v>
      </c>
      <c r="H791" s="98"/>
      <c r="I791" s="98"/>
      <c r="J791" s="98"/>
      <c r="K791" s="99"/>
      <c r="L791" s="99"/>
      <c r="M791" s="102"/>
      <c r="N791" s="102"/>
      <c r="O791" s="98"/>
      <c r="P791" s="98"/>
      <c r="Q791" s="98"/>
    </row>
    <row r="792">
      <c r="A792" s="96" t="s">
        <v>426</v>
      </c>
      <c r="B792" s="97" t="s">
        <v>2682</v>
      </c>
      <c r="C792" s="97" t="s">
        <v>2683</v>
      </c>
      <c r="D792" s="97" t="s">
        <v>1301</v>
      </c>
      <c r="E792" s="97" t="s">
        <v>649</v>
      </c>
      <c r="F792" s="97" t="b">
        <v>1</v>
      </c>
      <c r="G792" s="97" t="b">
        <v>1</v>
      </c>
      <c r="H792" s="98">
        <f>IF(A792:A2055="", "", COUNTIF(Check!H:H, A791:A2055))</f>
        <v>1</v>
      </c>
      <c r="I792" s="98"/>
      <c r="J792" s="98"/>
      <c r="K792" s="100" t="s">
        <v>788</v>
      </c>
      <c r="L792" s="107">
        <f>COUNTIFS($D$2:$D$1039, K792, $F$2:$F$1039, TRUE)</f>
        <v>2</v>
      </c>
      <c r="M792" s="100" t="s">
        <v>1496</v>
      </c>
      <c r="N792" s="101">
        <f>COUNTIFS($E$2:$E$1039, M792, $F$2:$F$1039, TRUE)</f>
        <v>0</v>
      </c>
      <c r="O792" s="98"/>
      <c r="P792" s="98"/>
      <c r="Q792" s="98"/>
    </row>
    <row r="793">
      <c r="A793" s="96" t="s">
        <v>2684</v>
      </c>
      <c r="B793" s="97" t="s">
        <v>2685</v>
      </c>
      <c r="C793" s="97" t="s">
        <v>2686</v>
      </c>
      <c r="D793" s="97" t="s">
        <v>776</v>
      </c>
      <c r="E793" s="97" t="s">
        <v>733</v>
      </c>
      <c r="F793" s="97" t="b">
        <v>0</v>
      </c>
      <c r="G793" s="97" t="b">
        <v>0</v>
      </c>
      <c r="H793" s="98"/>
      <c r="I793" s="98"/>
      <c r="J793" s="98"/>
      <c r="K793" s="100"/>
      <c r="L793" s="101"/>
      <c r="M793" s="100"/>
      <c r="N793" s="101"/>
      <c r="O793" s="98"/>
      <c r="P793" s="98"/>
      <c r="Q793" s="98"/>
    </row>
    <row r="794">
      <c r="A794" s="96" t="s">
        <v>2687</v>
      </c>
      <c r="B794" s="97" t="s">
        <v>2688</v>
      </c>
      <c r="C794" s="97" t="s">
        <v>2689</v>
      </c>
      <c r="D794" s="97" t="s">
        <v>629</v>
      </c>
      <c r="E794" s="97" t="s">
        <v>727</v>
      </c>
      <c r="F794" s="97" t="b">
        <v>1</v>
      </c>
      <c r="G794" s="97" t="b">
        <v>1</v>
      </c>
      <c r="H794" s="98">
        <f>IF(A794:A2055="", "", COUNTIF(Check!H:H, A793:A2055))</f>
        <v>1</v>
      </c>
      <c r="I794" s="98"/>
      <c r="J794" s="98"/>
      <c r="K794" s="99"/>
      <c r="L794" s="99"/>
      <c r="M794" s="102"/>
      <c r="N794" s="102"/>
      <c r="O794" s="98"/>
      <c r="P794" s="98"/>
      <c r="Q794" s="98"/>
    </row>
    <row r="795">
      <c r="A795" s="96" t="s">
        <v>209</v>
      </c>
      <c r="B795" s="97" t="s">
        <v>2690</v>
      </c>
      <c r="C795" s="97" t="s">
        <v>2691</v>
      </c>
      <c r="D795" s="97" t="s">
        <v>1089</v>
      </c>
      <c r="E795" s="97" t="s">
        <v>620</v>
      </c>
      <c r="F795" s="97" t="b">
        <v>1</v>
      </c>
      <c r="G795" s="97" t="b">
        <v>1</v>
      </c>
      <c r="H795" s="98">
        <f>IF(A795:A2055="", "", COUNTIF(Check!H:H, A794:A2055))</f>
        <v>1</v>
      </c>
      <c r="I795" s="98"/>
      <c r="J795" s="98"/>
      <c r="K795" s="102"/>
      <c r="L795" s="102"/>
      <c r="M795" s="102"/>
      <c r="N795" s="102"/>
      <c r="O795" s="98"/>
      <c r="P795" s="98"/>
      <c r="Q795" s="105"/>
    </row>
    <row r="796">
      <c r="A796" s="96" t="s">
        <v>2692</v>
      </c>
      <c r="B796" s="97" t="s">
        <v>2693</v>
      </c>
      <c r="C796" s="97" t="s">
        <v>2694</v>
      </c>
      <c r="D796" s="97" t="s">
        <v>788</v>
      </c>
      <c r="E796" s="97" t="s">
        <v>644</v>
      </c>
      <c r="F796" s="97" t="b">
        <v>0</v>
      </c>
      <c r="G796" s="97" t="b">
        <v>0</v>
      </c>
      <c r="H796" s="98"/>
      <c r="I796" s="98"/>
      <c r="J796" s="98"/>
      <c r="K796" s="99"/>
      <c r="L796" s="99"/>
      <c r="M796" s="102"/>
      <c r="N796" s="102"/>
      <c r="O796" s="98"/>
      <c r="P796" s="98"/>
      <c r="Q796" s="98"/>
    </row>
    <row r="797">
      <c r="A797" s="96" t="s">
        <v>222</v>
      </c>
      <c r="B797" s="97" t="s">
        <v>2695</v>
      </c>
      <c r="C797" s="97" t="s">
        <v>2696</v>
      </c>
      <c r="D797" s="97" t="s">
        <v>878</v>
      </c>
      <c r="E797" s="97" t="s">
        <v>685</v>
      </c>
      <c r="F797" s="97" t="b">
        <v>1</v>
      </c>
      <c r="G797" s="97" t="b">
        <v>1</v>
      </c>
      <c r="H797" s="98">
        <f>IF(A797:A2055="", "", COUNTIF(Check!H:H, A796:A2055))</f>
        <v>1</v>
      </c>
      <c r="I797" s="98"/>
      <c r="J797" s="98"/>
      <c r="K797" s="99"/>
      <c r="L797" s="99"/>
      <c r="M797" s="100"/>
      <c r="N797" s="101"/>
      <c r="O797" s="98"/>
      <c r="P797" s="98"/>
      <c r="Q797" s="98"/>
    </row>
    <row r="798">
      <c r="A798" s="96" t="s">
        <v>2697</v>
      </c>
      <c r="B798" s="97" t="s">
        <v>2698</v>
      </c>
      <c r="C798" s="97" t="s">
        <v>2699</v>
      </c>
      <c r="D798" s="97" t="s">
        <v>1495</v>
      </c>
      <c r="E798" s="97" t="s">
        <v>1496</v>
      </c>
      <c r="F798" s="97" t="b">
        <v>0</v>
      </c>
      <c r="G798" s="97" t="b">
        <v>0</v>
      </c>
      <c r="H798" s="98"/>
      <c r="I798" s="98"/>
      <c r="J798" s="98"/>
      <c r="K798" s="99"/>
      <c r="L798" s="99"/>
      <c r="M798" s="102"/>
      <c r="N798" s="102"/>
      <c r="O798" s="98"/>
      <c r="P798" s="98"/>
      <c r="Q798" s="98"/>
    </row>
    <row r="799">
      <c r="A799" s="96" t="s">
        <v>406</v>
      </c>
      <c r="B799" s="97" t="s">
        <v>2700</v>
      </c>
      <c r="C799" s="97" t="s">
        <v>2701</v>
      </c>
      <c r="D799" s="97" t="s">
        <v>1127</v>
      </c>
      <c r="E799" s="97" t="s">
        <v>727</v>
      </c>
      <c r="F799" s="97" t="b">
        <v>1</v>
      </c>
      <c r="G799" s="97" t="b">
        <v>1</v>
      </c>
      <c r="H799" s="98">
        <f>IF(A799:A2055="", "", COUNTIF(Check!H:H, A798:A2055))</f>
        <v>1</v>
      </c>
      <c r="I799" s="98"/>
      <c r="J799" s="98"/>
      <c r="K799" s="108"/>
      <c r="L799" s="109"/>
      <c r="M799" s="102"/>
      <c r="N799" s="102"/>
      <c r="O799" s="98"/>
      <c r="P799" s="98"/>
      <c r="Q799" s="98"/>
    </row>
    <row r="800">
      <c r="A800" s="96" t="s">
        <v>2702</v>
      </c>
      <c r="B800" s="97" t="s">
        <v>2703</v>
      </c>
      <c r="C800" s="97" t="s">
        <v>2704</v>
      </c>
      <c r="D800" s="97" t="s">
        <v>964</v>
      </c>
      <c r="E800" s="97" t="s">
        <v>699</v>
      </c>
      <c r="F800" s="97" t="b">
        <v>0</v>
      </c>
      <c r="G800" s="97" t="b">
        <v>0</v>
      </c>
      <c r="H800" s="98"/>
      <c r="I800" s="98"/>
      <c r="J800" s="98"/>
      <c r="K800" s="99"/>
      <c r="L800" s="99"/>
      <c r="M800" s="103"/>
      <c r="N800" s="104"/>
      <c r="O800" s="105"/>
      <c r="P800" s="105"/>
      <c r="Q800" s="98"/>
    </row>
    <row r="801">
      <c r="A801" s="96" t="s">
        <v>520</v>
      </c>
      <c r="B801" s="97" t="s">
        <v>2705</v>
      </c>
      <c r="C801" s="97" t="s">
        <v>2706</v>
      </c>
      <c r="D801" s="97" t="s">
        <v>920</v>
      </c>
      <c r="E801" s="97" t="s">
        <v>644</v>
      </c>
      <c r="F801" s="97" t="b">
        <v>1</v>
      </c>
      <c r="G801" s="97" t="b">
        <v>1</v>
      </c>
      <c r="H801" s="98">
        <f>IF(A801:A2055="", "", COUNTIF(Check!H:H, A800:A2055))</f>
        <v>1</v>
      </c>
      <c r="I801" s="98"/>
      <c r="J801" s="98"/>
      <c r="K801" s="100"/>
      <c r="L801" s="107"/>
      <c r="M801" s="102"/>
      <c r="N801" s="102"/>
      <c r="O801" s="98"/>
      <c r="P801" s="98"/>
      <c r="Q801" s="98"/>
    </row>
    <row r="802">
      <c r="A802" s="96" t="s">
        <v>564</v>
      </c>
      <c r="B802" s="97" t="s">
        <v>2707</v>
      </c>
      <c r="C802" s="97" t="s">
        <v>2708</v>
      </c>
      <c r="D802" s="97" t="s">
        <v>847</v>
      </c>
      <c r="E802" s="97" t="s">
        <v>659</v>
      </c>
      <c r="F802" s="97" t="b">
        <v>0</v>
      </c>
      <c r="G802" s="97" t="b">
        <v>0</v>
      </c>
      <c r="H802" s="98"/>
      <c r="I802" s="98"/>
      <c r="J802" s="98"/>
      <c r="K802" s="99"/>
      <c r="L802" s="99"/>
      <c r="M802" s="100"/>
      <c r="N802" s="101"/>
      <c r="O802" s="98"/>
      <c r="P802" s="98"/>
      <c r="Q802" s="98"/>
    </row>
    <row r="803">
      <c r="A803" s="96" t="s">
        <v>2709</v>
      </c>
      <c r="B803" s="97" t="s">
        <v>2710</v>
      </c>
      <c r="C803" s="97" t="s">
        <v>2711</v>
      </c>
      <c r="D803" s="97" t="s">
        <v>1099</v>
      </c>
      <c r="E803" s="97" t="s">
        <v>688</v>
      </c>
      <c r="F803" s="97" t="b">
        <v>0</v>
      </c>
      <c r="G803" s="97" t="b">
        <v>0</v>
      </c>
      <c r="H803" s="98"/>
      <c r="I803" s="98"/>
      <c r="J803" s="98"/>
      <c r="K803" s="99"/>
      <c r="L803" s="99"/>
      <c r="M803" s="102"/>
      <c r="N803" s="102"/>
      <c r="O803" s="98"/>
      <c r="P803" s="98"/>
      <c r="Q803" s="98"/>
    </row>
    <row r="804">
      <c r="A804" s="96" t="s">
        <v>2712</v>
      </c>
      <c r="B804" s="97" t="s">
        <v>2713</v>
      </c>
      <c r="C804" s="97" t="s">
        <v>2714</v>
      </c>
      <c r="D804" s="97" t="s">
        <v>815</v>
      </c>
      <c r="E804" s="97" t="s">
        <v>659</v>
      </c>
      <c r="F804" s="97" t="b">
        <v>0</v>
      </c>
      <c r="G804" s="97" t="b">
        <v>0</v>
      </c>
      <c r="H804" s="98"/>
      <c r="I804" s="98"/>
      <c r="J804" s="98"/>
      <c r="K804" s="99"/>
      <c r="L804" s="99"/>
      <c r="M804" s="100"/>
      <c r="N804" s="101"/>
      <c r="O804" s="98"/>
      <c r="P804" s="98"/>
      <c r="Q804" s="105"/>
    </row>
    <row r="805">
      <c r="A805" s="96" t="s">
        <v>2715</v>
      </c>
      <c r="B805" s="97" t="s">
        <v>2716</v>
      </c>
      <c r="C805" s="97" t="s">
        <v>2717</v>
      </c>
      <c r="D805" s="97" t="s">
        <v>721</v>
      </c>
      <c r="E805" s="97" t="s">
        <v>630</v>
      </c>
      <c r="F805" s="97" t="b">
        <v>0</v>
      </c>
      <c r="G805" s="97" t="b">
        <v>0</v>
      </c>
      <c r="H805" s="98"/>
      <c r="I805" s="98"/>
      <c r="J805" s="98"/>
      <c r="K805" s="99"/>
      <c r="L805" s="99"/>
      <c r="M805" s="102"/>
      <c r="N805" s="102"/>
      <c r="O805" s="98"/>
      <c r="P805" s="98"/>
      <c r="Q805" s="105"/>
    </row>
    <row r="806">
      <c r="A806" s="96" t="s">
        <v>2718</v>
      </c>
      <c r="B806" s="97" t="s">
        <v>2719</v>
      </c>
      <c r="C806" s="97" t="s">
        <v>2720</v>
      </c>
      <c r="D806" s="97" t="s">
        <v>834</v>
      </c>
      <c r="E806" s="97" t="s">
        <v>748</v>
      </c>
      <c r="F806" s="97" t="b">
        <v>0</v>
      </c>
      <c r="G806" s="97" t="b">
        <v>0</v>
      </c>
      <c r="H806" s="98"/>
      <c r="I806" s="98"/>
      <c r="J806" s="98"/>
      <c r="K806" s="99"/>
      <c r="L806" s="99"/>
      <c r="M806" s="102"/>
      <c r="N806" s="102"/>
      <c r="O806" s="98"/>
      <c r="P806" s="98"/>
      <c r="Q806" s="106"/>
    </row>
    <row r="807">
      <c r="A807" s="96" t="s">
        <v>96</v>
      </c>
      <c r="B807" s="97" t="s">
        <v>2721</v>
      </c>
      <c r="C807" s="97" t="s">
        <v>2722</v>
      </c>
      <c r="D807" s="97" t="s">
        <v>708</v>
      </c>
      <c r="E807" s="97" t="s">
        <v>586</v>
      </c>
      <c r="F807" s="97" t="b">
        <v>1</v>
      </c>
      <c r="G807" s="97" t="b">
        <v>1</v>
      </c>
      <c r="H807" s="98">
        <f>IF(A807:A2055="", "", COUNTIF(Check!H:H, A806:A2055))</f>
        <v>1</v>
      </c>
      <c r="I807" s="98"/>
      <c r="J807" s="98"/>
      <c r="K807" s="99"/>
      <c r="L807" s="99"/>
      <c r="M807" s="102"/>
      <c r="N807" s="102"/>
      <c r="O807" s="98"/>
      <c r="P807" s="98"/>
      <c r="Q807" s="105"/>
    </row>
    <row r="808">
      <c r="A808" s="96" t="s">
        <v>2723</v>
      </c>
      <c r="B808" s="97" t="s">
        <v>2724</v>
      </c>
      <c r="C808" s="97" t="s">
        <v>2725</v>
      </c>
      <c r="D808" s="97" t="s">
        <v>721</v>
      </c>
      <c r="E808" s="97" t="s">
        <v>767</v>
      </c>
      <c r="F808" s="97" t="b">
        <v>1</v>
      </c>
      <c r="G808" s="97" t="b">
        <v>1</v>
      </c>
      <c r="H808" s="98">
        <f>IF(A808:A2055="", "", COUNTIF(Check!H:H, A807:A2055))</f>
        <v>1</v>
      </c>
      <c r="I808" s="98"/>
      <c r="J808" s="98"/>
      <c r="K808" s="99"/>
      <c r="L808" s="99"/>
      <c r="M808" s="102"/>
      <c r="N808" s="102"/>
      <c r="O808" s="98"/>
      <c r="P808" s="98"/>
      <c r="Q808" s="98"/>
    </row>
    <row r="809">
      <c r="A809" s="96" t="s">
        <v>211</v>
      </c>
      <c r="B809" s="97" t="s">
        <v>2726</v>
      </c>
      <c r="C809" s="97" t="s">
        <v>2727</v>
      </c>
      <c r="D809" s="97" t="s">
        <v>920</v>
      </c>
      <c r="E809" s="97" t="s">
        <v>727</v>
      </c>
      <c r="F809" s="97" t="b">
        <v>1</v>
      </c>
      <c r="G809" s="97" t="b">
        <v>1</v>
      </c>
      <c r="H809" s="98">
        <f>IF(A809:A2055="", "", COUNTIF(Check!H:H, A808:A2055))</f>
        <v>1</v>
      </c>
      <c r="I809" s="98"/>
      <c r="J809" s="98"/>
      <c r="K809" s="99"/>
      <c r="L809" s="99"/>
      <c r="M809" s="100"/>
      <c r="N809" s="101"/>
      <c r="O809" s="98"/>
      <c r="P809" s="98"/>
      <c r="Q809" s="98"/>
    </row>
    <row r="810">
      <c r="A810" s="96" t="s">
        <v>2728</v>
      </c>
      <c r="B810" s="97" t="s">
        <v>2729</v>
      </c>
      <c r="C810" s="97" t="s">
        <v>2730</v>
      </c>
      <c r="D810" s="97" t="s">
        <v>615</v>
      </c>
      <c r="E810" s="97" t="s">
        <v>789</v>
      </c>
      <c r="F810" s="97" t="b">
        <v>0</v>
      </c>
      <c r="G810" s="97" t="b">
        <v>0</v>
      </c>
      <c r="H810" s="98"/>
      <c r="I810" s="98"/>
      <c r="J810" s="98"/>
      <c r="K810" s="103"/>
      <c r="L810" s="104"/>
      <c r="M810" s="103"/>
      <c r="N810" s="104"/>
      <c r="O810" s="105"/>
      <c r="P810" s="105"/>
      <c r="Q810" s="98"/>
    </row>
    <row r="811">
      <c r="A811" s="96" t="s">
        <v>359</v>
      </c>
      <c r="B811" s="97" t="s">
        <v>2731</v>
      </c>
      <c r="C811" s="97" t="s">
        <v>2732</v>
      </c>
      <c r="D811" s="97" t="s">
        <v>1055</v>
      </c>
      <c r="E811" s="97" t="s">
        <v>590</v>
      </c>
      <c r="F811" s="97" t="b">
        <v>0</v>
      </c>
      <c r="G811" s="97" t="b">
        <v>0</v>
      </c>
      <c r="H811" s="98"/>
      <c r="I811" s="98"/>
      <c r="J811" s="98"/>
      <c r="K811" s="99"/>
      <c r="L811" s="99"/>
      <c r="M811" s="103"/>
      <c r="N811" s="104"/>
      <c r="O811" s="106"/>
      <c r="P811" s="106"/>
      <c r="Q811" s="98"/>
    </row>
    <row r="812">
      <c r="A812" s="96" t="s">
        <v>516</v>
      </c>
      <c r="B812" s="97" t="s">
        <v>2733</v>
      </c>
      <c r="C812" s="97" t="s">
        <v>2734</v>
      </c>
      <c r="D812" s="97" t="s">
        <v>1230</v>
      </c>
      <c r="E812" s="97" t="s">
        <v>932</v>
      </c>
      <c r="F812" s="97" t="b">
        <v>1</v>
      </c>
      <c r="G812" s="97" t="b">
        <v>1</v>
      </c>
      <c r="H812" s="98">
        <f>IF(A812:A2055="", "", COUNTIF(Check!H:H, A811:A2055))</f>
        <v>1</v>
      </c>
      <c r="I812" s="98"/>
      <c r="J812" s="98"/>
      <c r="K812" s="99"/>
      <c r="L812" s="99"/>
      <c r="M812" s="102"/>
      <c r="N812" s="102"/>
      <c r="O812" s="98"/>
      <c r="P812" s="98"/>
      <c r="Q812" s="98"/>
    </row>
    <row r="813">
      <c r="A813" s="96" t="s">
        <v>300</v>
      </c>
      <c r="B813" s="97" t="s">
        <v>2735</v>
      </c>
      <c r="C813" s="97" t="s">
        <v>2736</v>
      </c>
      <c r="D813" s="97" t="s">
        <v>606</v>
      </c>
      <c r="E813" s="97" t="s">
        <v>830</v>
      </c>
      <c r="F813" s="97" t="b">
        <v>1</v>
      </c>
      <c r="G813" s="97" t="b">
        <v>1</v>
      </c>
      <c r="H813" s="98">
        <f>IF(A813:A2055="", "", COUNTIF(Check!H:H, A812:A2055))</f>
        <v>1</v>
      </c>
      <c r="I813" s="98"/>
      <c r="J813" s="98"/>
      <c r="K813" s="100"/>
      <c r="L813" s="101"/>
      <c r="M813" s="100"/>
      <c r="N813" s="101"/>
      <c r="O813" s="98"/>
      <c r="P813" s="98"/>
      <c r="Q813" s="98"/>
    </row>
    <row r="814">
      <c r="A814" s="96" t="s">
        <v>404</v>
      </c>
      <c r="B814" s="97" t="s">
        <v>2737</v>
      </c>
      <c r="C814" s="97" t="s">
        <v>2738</v>
      </c>
      <c r="D814" s="97" t="s">
        <v>955</v>
      </c>
      <c r="E814" s="97" t="s">
        <v>789</v>
      </c>
      <c r="F814" s="97" t="b">
        <v>1</v>
      </c>
      <c r="G814" s="97" t="b">
        <v>1</v>
      </c>
      <c r="H814" s="98">
        <f>IF(A814:A2055="", "", COUNTIF(Check!H:H, A813:A2055))</f>
        <v>1</v>
      </c>
      <c r="I814" s="98"/>
      <c r="J814" s="98"/>
      <c r="K814" s="102"/>
      <c r="L814" s="102"/>
      <c r="M814" s="102"/>
      <c r="N814" s="102"/>
      <c r="O814" s="98"/>
      <c r="P814" s="98"/>
      <c r="Q814" s="98"/>
    </row>
    <row r="815">
      <c r="A815" s="96" t="s">
        <v>2739</v>
      </c>
      <c r="B815" s="97" t="s">
        <v>2740</v>
      </c>
      <c r="C815" s="97" t="s">
        <v>2741</v>
      </c>
      <c r="D815" s="97" t="s">
        <v>643</v>
      </c>
      <c r="E815" s="97" t="s">
        <v>1134</v>
      </c>
      <c r="F815" s="97" t="b">
        <v>0</v>
      </c>
      <c r="G815" s="97" t="b">
        <v>0</v>
      </c>
      <c r="H815" s="98"/>
      <c r="I815" s="98"/>
      <c r="J815" s="98"/>
      <c r="K815" s="99"/>
      <c r="L815" s="99"/>
      <c r="M815" s="102"/>
      <c r="N815" s="102"/>
      <c r="O815" s="98"/>
      <c r="P815" s="98"/>
      <c r="Q815" s="98"/>
    </row>
    <row r="816">
      <c r="A816" s="96" t="s">
        <v>2742</v>
      </c>
      <c r="B816" s="97" t="s">
        <v>2743</v>
      </c>
      <c r="C816" s="97" t="s">
        <v>2744</v>
      </c>
      <c r="D816" s="97" t="s">
        <v>939</v>
      </c>
      <c r="E816" s="97" t="s">
        <v>711</v>
      </c>
      <c r="F816" s="97" t="b">
        <v>0</v>
      </c>
      <c r="G816" s="97" t="b">
        <v>0</v>
      </c>
      <c r="H816" s="98"/>
      <c r="I816" s="98"/>
      <c r="J816" s="98"/>
      <c r="K816" s="99"/>
      <c r="L816" s="99"/>
      <c r="M816" s="102"/>
      <c r="N816" s="102"/>
      <c r="O816" s="98"/>
      <c r="P816" s="98"/>
      <c r="Q816" s="98"/>
    </row>
    <row r="817">
      <c r="A817" s="96" t="s">
        <v>2745</v>
      </c>
      <c r="B817" s="97" t="s">
        <v>2746</v>
      </c>
      <c r="C817" s="97" t="s">
        <v>2747</v>
      </c>
      <c r="D817" s="97" t="s">
        <v>942</v>
      </c>
      <c r="E817" s="97" t="s">
        <v>1134</v>
      </c>
      <c r="F817" s="97" t="b">
        <v>0</v>
      </c>
      <c r="G817" s="97" t="b">
        <v>0</v>
      </c>
      <c r="H817" s="98"/>
      <c r="I817" s="98"/>
      <c r="J817" s="98"/>
      <c r="K817" s="100"/>
      <c r="L817" s="101"/>
      <c r="M817" s="102"/>
      <c r="N817" s="102"/>
      <c r="O817" s="98"/>
      <c r="P817" s="98"/>
      <c r="Q817" s="98"/>
    </row>
    <row r="818">
      <c r="A818" s="96" t="s">
        <v>2748</v>
      </c>
      <c r="B818" s="97" t="s">
        <v>2749</v>
      </c>
      <c r="C818" s="97" t="s">
        <v>2750</v>
      </c>
      <c r="D818" s="97" t="s">
        <v>1500</v>
      </c>
      <c r="E818" s="97" t="s">
        <v>644</v>
      </c>
      <c r="F818" s="97" t="b">
        <v>0</v>
      </c>
      <c r="G818" s="97" t="b">
        <v>0</v>
      </c>
      <c r="H818" s="98"/>
      <c r="I818" s="98"/>
      <c r="J818" s="98"/>
      <c r="K818" s="100"/>
      <c r="L818" s="107"/>
      <c r="M818" s="102"/>
      <c r="N818" s="102"/>
      <c r="O818" s="98"/>
      <c r="P818" s="98"/>
      <c r="Q818" s="98"/>
    </row>
    <row r="819">
      <c r="A819" s="96" t="s">
        <v>2751</v>
      </c>
      <c r="B819" s="97" t="s">
        <v>2752</v>
      </c>
      <c r="C819" s="97" t="s">
        <v>2753</v>
      </c>
      <c r="D819" s="97" t="s">
        <v>1699</v>
      </c>
      <c r="E819" s="97" t="s">
        <v>777</v>
      </c>
      <c r="F819" s="97" t="b">
        <v>1</v>
      </c>
      <c r="G819" s="97" t="b">
        <v>1</v>
      </c>
      <c r="H819" s="98">
        <f>IF(A819:A2055="", "", COUNTIF(Check!H:H, A818:A2055))</f>
        <v>1</v>
      </c>
      <c r="I819" s="98"/>
      <c r="J819" s="98"/>
      <c r="K819" s="99"/>
      <c r="L819" s="99"/>
      <c r="M819" s="102"/>
      <c r="N819" s="102"/>
      <c r="O819" s="98"/>
      <c r="P819" s="98"/>
      <c r="Q819" s="98"/>
    </row>
    <row r="820">
      <c r="A820" s="96" t="s">
        <v>2754</v>
      </c>
      <c r="B820" s="97" t="s">
        <v>2755</v>
      </c>
      <c r="C820" s="97" t="s">
        <v>2756</v>
      </c>
      <c r="D820" s="97" t="s">
        <v>1099</v>
      </c>
      <c r="E820" s="97" t="s">
        <v>1512</v>
      </c>
      <c r="F820" s="97" t="b">
        <v>0</v>
      </c>
      <c r="G820" s="97" t="b">
        <v>0</v>
      </c>
      <c r="H820" s="98"/>
      <c r="I820" s="98"/>
      <c r="J820" s="98"/>
      <c r="K820" s="99"/>
      <c r="L820" s="99"/>
      <c r="M820" s="108"/>
      <c r="N820" s="109"/>
      <c r="O820" s="98"/>
      <c r="P820" s="98"/>
      <c r="Q820" s="98"/>
    </row>
    <row r="821">
      <c r="A821" s="96" t="s">
        <v>2757</v>
      </c>
      <c r="B821" s="97" t="s">
        <v>2758</v>
      </c>
      <c r="C821" s="97" t="s">
        <v>2759</v>
      </c>
      <c r="D821" s="97" t="s">
        <v>894</v>
      </c>
      <c r="E821" s="97" t="s">
        <v>733</v>
      </c>
      <c r="F821" s="97" t="b">
        <v>0</v>
      </c>
      <c r="G821" s="97" t="b">
        <v>0</v>
      </c>
      <c r="H821" s="98"/>
      <c r="I821" s="98"/>
      <c r="J821" s="98"/>
      <c r="K821" s="102"/>
      <c r="L821" s="102"/>
      <c r="M821" s="102"/>
      <c r="N821" s="102"/>
      <c r="O821" s="98"/>
      <c r="P821" s="98"/>
      <c r="Q821" s="98"/>
    </row>
    <row r="822">
      <c r="A822" s="96" t="s">
        <v>2760</v>
      </c>
      <c r="B822" s="97" t="s">
        <v>2761</v>
      </c>
      <c r="C822" s="97" t="s">
        <v>2762</v>
      </c>
      <c r="D822" s="97" t="s">
        <v>877</v>
      </c>
      <c r="E822" s="97" t="s">
        <v>1352</v>
      </c>
      <c r="F822" s="97" t="b">
        <v>0</v>
      </c>
      <c r="G822" s="97" t="b">
        <v>0</v>
      </c>
      <c r="H822" s="98"/>
      <c r="I822" s="98"/>
      <c r="J822" s="98"/>
      <c r="K822" s="99"/>
      <c r="L822" s="99"/>
      <c r="M822" s="102"/>
      <c r="N822" s="102"/>
      <c r="O822" s="98"/>
      <c r="P822" s="98"/>
      <c r="Q822" s="98"/>
    </row>
    <row r="823">
      <c r="A823" s="96" t="s">
        <v>2763</v>
      </c>
      <c r="B823" s="97" t="s">
        <v>2764</v>
      </c>
      <c r="C823" s="97" t="s">
        <v>2765</v>
      </c>
      <c r="D823" s="97" t="s">
        <v>639</v>
      </c>
      <c r="E823" s="97" t="s">
        <v>685</v>
      </c>
      <c r="F823" s="97" t="b">
        <v>0</v>
      </c>
      <c r="G823" s="97" t="b">
        <v>0</v>
      </c>
      <c r="H823" s="98"/>
      <c r="I823" s="98"/>
      <c r="J823" s="98"/>
      <c r="K823" s="99"/>
      <c r="L823" s="99"/>
      <c r="M823" s="103"/>
      <c r="N823" s="104"/>
      <c r="O823" s="106"/>
      <c r="P823" s="106"/>
      <c r="Q823" s="98"/>
    </row>
    <row r="824">
      <c r="A824" s="96" t="s">
        <v>2766</v>
      </c>
      <c r="B824" s="97" t="s">
        <v>2767</v>
      </c>
      <c r="C824" s="97" t="s">
        <v>2768</v>
      </c>
      <c r="D824" s="97" t="s">
        <v>784</v>
      </c>
      <c r="E824" s="97" t="s">
        <v>727</v>
      </c>
      <c r="F824" s="97" t="b">
        <v>0</v>
      </c>
      <c r="G824" s="97" t="b">
        <v>0</v>
      </c>
      <c r="H824" s="98"/>
      <c r="I824" s="98"/>
      <c r="J824" s="98"/>
      <c r="K824" s="99"/>
      <c r="L824" s="99"/>
      <c r="M824" s="108"/>
      <c r="N824" s="109"/>
      <c r="O824" s="98"/>
      <c r="P824" s="98"/>
      <c r="Q824" s="98"/>
    </row>
    <row r="825">
      <c r="A825" s="96" t="s">
        <v>519</v>
      </c>
      <c r="B825" s="97" t="s">
        <v>2769</v>
      </c>
      <c r="C825" s="97" t="s">
        <v>2770</v>
      </c>
      <c r="D825" s="97" t="s">
        <v>784</v>
      </c>
      <c r="E825" s="97" t="s">
        <v>777</v>
      </c>
      <c r="F825" s="97" t="b">
        <v>1</v>
      </c>
      <c r="G825" s="97" t="b">
        <v>1</v>
      </c>
      <c r="H825" s="98">
        <f>IF(A825:A2055="", "", COUNTIF(Check!H:H, A824:A2055))</f>
        <v>1</v>
      </c>
      <c r="I825" s="98"/>
      <c r="J825" s="98"/>
      <c r="K825" s="99"/>
      <c r="L825" s="99"/>
      <c r="M825" s="108"/>
      <c r="N825" s="109"/>
      <c r="O825" s="98"/>
      <c r="P825" s="98"/>
      <c r="Q825" s="98"/>
    </row>
    <row r="826">
      <c r="A826" s="96" t="s">
        <v>438</v>
      </c>
      <c r="B826" s="97" t="s">
        <v>2771</v>
      </c>
      <c r="C826" s="97" t="s">
        <v>2772</v>
      </c>
      <c r="D826" s="97" t="s">
        <v>737</v>
      </c>
      <c r="E826" s="97" t="s">
        <v>649</v>
      </c>
      <c r="F826" s="97" t="b">
        <v>1</v>
      </c>
      <c r="G826" s="97" t="b">
        <v>1</v>
      </c>
      <c r="H826" s="98">
        <f>IF(A826:A2055="", "", COUNTIF(Check!H:H, A825:A2055))</f>
        <v>1</v>
      </c>
      <c r="I826" s="98"/>
      <c r="J826" s="98"/>
      <c r="K826" s="100" t="s">
        <v>667</v>
      </c>
      <c r="L826" s="101">
        <f>COUNTIFS($D$2:$D$1039, K826, $F$2:$F$1039, TRUE)</f>
        <v>3</v>
      </c>
      <c r="M826" s="100" t="s">
        <v>1552</v>
      </c>
      <c r="N826" s="101">
        <f>COUNTIFS($E$2:$E$1039, M826, $F$2:$F$1039, TRUE)</f>
        <v>0</v>
      </c>
      <c r="O826" s="98"/>
      <c r="P826" s="98"/>
      <c r="Q826" s="98"/>
    </row>
    <row r="827">
      <c r="A827" s="96" t="s">
        <v>340</v>
      </c>
      <c r="B827" s="97" t="s">
        <v>2773</v>
      </c>
      <c r="C827" s="97" t="s">
        <v>2774</v>
      </c>
      <c r="D827" s="97" t="s">
        <v>792</v>
      </c>
      <c r="E827" s="97" t="s">
        <v>611</v>
      </c>
      <c r="F827" s="97" t="b">
        <v>1</v>
      </c>
      <c r="G827" s="97" t="b">
        <v>1</v>
      </c>
      <c r="H827" s="98">
        <f>IF(A827:A2055="", "", COUNTIF(Check!H:H, A826:A2055))</f>
        <v>1</v>
      </c>
      <c r="I827" s="98"/>
      <c r="J827" s="98"/>
      <c r="K827" s="99"/>
      <c r="L827" s="99"/>
      <c r="M827" s="102"/>
      <c r="N827" s="102"/>
      <c r="O827" s="98"/>
      <c r="P827" s="98"/>
      <c r="Q827" s="98"/>
    </row>
    <row r="828">
      <c r="A828" s="96" t="s">
        <v>175</v>
      </c>
      <c r="B828" s="97" t="s">
        <v>2775</v>
      </c>
      <c r="C828" s="97" t="s">
        <v>2776</v>
      </c>
      <c r="D828" s="97" t="s">
        <v>740</v>
      </c>
      <c r="E828" s="97" t="s">
        <v>663</v>
      </c>
      <c r="F828" s="97" t="b">
        <v>1</v>
      </c>
      <c r="G828" s="97" t="b">
        <v>1</v>
      </c>
      <c r="H828" s="98">
        <f>IF(A828:A2055="", "", COUNTIF(Check!H:H, A827:A2055))</f>
        <v>1</v>
      </c>
      <c r="I828" s="98"/>
      <c r="J828" s="98"/>
      <c r="K828" s="108"/>
      <c r="L828" s="109"/>
      <c r="M828" s="100"/>
      <c r="N828" s="101"/>
      <c r="O828" s="98"/>
      <c r="P828" s="98"/>
      <c r="Q828" s="98"/>
    </row>
    <row r="829">
      <c r="A829" s="96" t="s">
        <v>427</v>
      </c>
      <c r="B829" s="97" t="s">
        <v>2777</v>
      </c>
      <c r="C829" s="97" t="s">
        <v>2778</v>
      </c>
      <c r="D829" s="97" t="s">
        <v>814</v>
      </c>
      <c r="E829" s="97" t="s">
        <v>649</v>
      </c>
      <c r="F829" s="97" t="b">
        <v>1</v>
      </c>
      <c r="G829" s="97" t="b">
        <v>1</v>
      </c>
      <c r="H829" s="98">
        <f>IF(A829:A2055="", "", COUNTIF(Check!H:H, A828:A2055))</f>
        <v>1</v>
      </c>
      <c r="I829" s="98"/>
      <c r="J829" s="98"/>
      <c r="K829" s="100" t="s">
        <v>760</v>
      </c>
      <c r="L829" s="101">
        <f>COUNTIFS($D$2:$D$1039, K829, $F$2:$F$1039, TRUE)</f>
        <v>11</v>
      </c>
      <c r="M829" s="100" t="s">
        <v>1076</v>
      </c>
      <c r="N829" s="101">
        <f>COUNTIFS($E$2:$E$1039, M829, $F$2:$F$1039, TRUE)</f>
        <v>0</v>
      </c>
      <c r="O829" s="106"/>
      <c r="P829" s="106"/>
      <c r="Q829" s="98"/>
    </row>
    <row r="830">
      <c r="A830" s="96" t="s">
        <v>286</v>
      </c>
      <c r="B830" s="97" t="s">
        <v>2779</v>
      </c>
      <c r="C830" s="97" t="s">
        <v>2780</v>
      </c>
      <c r="D830" s="97" t="s">
        <v>747</v>
      </c>
      <c r="E830" s="97" t="s">
        <v>1134</v>
      </c>
      <c r="F830" s="97" t="b">
        <v>1</v>
      </c>
      <c r="G830" s="97" t="b">
        <v>1</v>
      </c>
      <c r="H830" s="98">
        <f>IF(A830:A2055="", "", COUNTIF(Check!H:H, A829:A2055))</f>
        <v>1</v>
      </c>
      <c r="I830" s="98"/>
      <c r="J830" s="98"/>
      <c r="K830" s="99"/>
      <c r="L830" s="99"/>
      <c r="M830" s="102"/>
      <c r="N830" s="102"/>
      <c r="O830" s="98"/>
      <c r="P830" s="98"/>
      <c r="Q830" s="98"/>
    </row>
    <row r="831">
      <c r="A831" s="96" t="s">
        <v>546</v>
      </c>
      <c r="B831" s="97" t="s">
        <v>2781</v>
      </c>
      <c r="C831" s="97" t="s">
        <v>2782</v>
      </c>
      <c r="D831" s="97" t="s">
        <v>1541</v>
      </c>
      <c r="E831" s="97" t="s">
        <v>697</v>
      </c>
      <c r="F831" s="97" t="b">
        <v>1</v>
      </c>
      <c r="G831" s="97" t="b">
        <v>1</v>
      </c>
      <c r="H831" s="98">
        <f>IF(A831:A2055="", "", COUNTIF(Check!H:H, A830:A2055))</f>
        <v>1</v>
      </c>
      <c r="I831" s="98"/>
      <c r="J831" s="98"/>
      <c r="K831" s="100" t="s">
        <v>1582</v>
      </c>
      <c r="L831" s="101">
        <f>COUNTIFS($D$2:$D$1039, K831, $F$2:$F$1039, TRUE)</f>
        <v>3</v>
      </c>
      <c r="M831" s="108" t="s">
        <v>663</v>
      </c>
      <c r="N831" s="109">
        <f>COUNTIFS($E$2:$E$1039, M831, $F$2:$F$1039, TRUE)</f>
        <v>14</v>
      </c>
      <c r="O831" s="106"/>
      <c r="P831" s="106"/>
      <c r="Q831" s="98"/>
    </row>
    <row r="832">
      <c r="A832" s="96" t="s">
        <v>2783</v>
      </c>
      <c r="B832" s="97" t="s">
        <v>2784</v>
      </c>
      <c r="C832" s="97" t="s">
        <v>2785</v>
      </c>
      <c r="D832" s="97" t="s">
        <v>1012</v>
      </c>
      <c r="E832" s="97" t="s">
        <v>733</v>
      </c>
      <c r="F832" s="97" t="b">
        <v>0</v>
      </c>
      <c r="G832" s="97" t="b">
        <v>0</v>
      </c>
      <c r="H832" s="98"/>
      <c r="I832" s="98"/>
      <c r="J832" s="98"/>
      <c r="K832" s="102"/>
      <c r="L832" s="102"/>
      <c r="M832" s="102"/>
      <c r="N832" s="102"/>
      <c r="O832" s="98"/>
      <c r="P832" s="98"/>
      <c r="Q832" s="98"/>
    </row>
    <row r="833">
      <c r="A833" s="96" t="s">
        <v>134</v>
      </c>
      <c r="B833" s="97" t="s">
        <v>2786</v>
      </c>
      <c r="C833" s="97" t="s">
        <v>2787</v>
      </c>
      <c r="D833" s="97" t="s">
        <v>662</v>
      </c>
      <c r="E833" s="97" t="s">
        <v>586</v>
      </c>
      <c r="F833" s="97" t="b">
        <v>1</v>
      </c>
      <c r="G833" s="97" t="b">
        <v>1</v>
      </c>
      <c r="H833" s="98">
        <f>IF(A833:A2055="", "", COUNTIF(Check!H:H, A832:A2055))</f>
        <v>1</v>
      </c>
      <c r="I833" s="98"/>
      <c r="J833" s="98"/>
      <c r="K833" s="99"/>
      <c r="L833" s="99"/>
      <c r="M833" s="102"/>
      <c r="N833" s="102"/>
      <c r="O833" s="98"/>
      <c r="P833" s="98"/>
      <c r="Q833" s="98"/>
    </row>
    <row r="834">
      <c r="A834" s="96" t="s">
        <v>355</v>
      </c>
      <c r="B834" s="97" t="s">
        <v>2788</v>
      </c>
      <c r="C834" s="97" t="s">
        <v>2789</v>
      </c>
      <c r="D834" s="97" t="s">
        <v>760</v>
      </c>
      <c r="E834" s="97" t="s">
        <v>586</v>
      </c>
      <c r="F834" s="97" t="b">
        <v>1</v>
      </c>
      <c r="G834" s="97" t="b">
        <v>1</v>
      </c>
      <c r="H834" s="98">
        <f>IF(A834:A2055="", "", COUNTIF(Check!H:H, A833:A2055))</f>
        <v>1</v>
      </c>
      <c r="I834" s="98"/>
      <c r="J834" s="98"/>
      <c r="K834" s="99"/>
      <c r="L834" s="99"/>
      <c r="M834" s="102"/>
      <c r="N834" s="102"/>
      <c r="O834" s="98"/>
      <c r="P834" s="98"/>
      <c r="Q834" s="98"/>
    </row>
    <row r="835">
      <c r="A835" s="96" t="s">
        <v>2790</v>
      </c>
      <c r="B835" s="97" t="s">
        <v>2791</v>
      </c>
      <c r="C835" s="97" t="s">
        <v>2792</v>
      </c>
      <c r="D835" s="97" t="s">
        <v>1114</v>
      </c>
      <c r="E835" s="97" t="s">
        <v>659</v>
      </c>
      <c r="F835" s="97" t="b">
        <v>0</v>
      </c>
      <c r="G835" s="97" t="b">
        <v>0</v>
      </c>
      <c r="H835" s="98"/>
      <c r="I835" s="98"/>
      <c r="J835" s="98"/>
      <c r="K835" s="99"/>
      <c r="L835" s="99"/>
      <c r="M835" s="102"/>
      <c r="N835" s="102"/>
      <c r="O835" s="98"/>
      <c r="P835" s="98"/>
      <c r="Q835" s="98"/>
    </row>
    <row r="836">
      <c r="A836" s="96" t="s">
        <v>2793</v>
      </c>
      <c r="B836" s="97" t="s">
        <v>2794</v>
      </c>
      <c r="C836" s="97" t="s">
        <v>2795</v>
      </c>
      <c r="D836" s="97" t="s">
        <v>776</v>
      </c>
      <c r="E836" s="97" t="s">
        <v>1146</v>
      </c>
      <c r="F836" s="97" t="b">
        <v>0</v>
      </c>
      <c r="G836" s="97" t="b">
        <v>0</v>
      </c>
      <c r="H836" s="98"/>
      <c r="I836" s="98"/>
      <c r="J836" s="98"/>
      <c r="K836" s="99"/>
      <c r="L836" s="99"/>
      <c r="M836" s="102"/>
      <c r="N836" s="102"/>
      <c r="O836" s="98"/>
      <c r="P836" s="98"/>
      <c r="Q836" s="98"/>
    </row>
    <row r="837">
      <c r="A837" s="96" t="s">
        <v>2796</v>
      </c>
      <c r="B837" s="97" t="s">
        <v>2797</v>
      </c>
      <c r="C837" s="97" t="s">
        <v>2798</v>
      </c>
      <c r="D837" s="97" t="s">
        <v>955</v>
      </c>
      <c r="E837" s="97" t="s">
        <v>620</v>
      </c>
      <c r="F837" s="97" t="b">
        <v>0</v>
      </c>
      <c r="G837" s="97" t="b">
        <v>0</v>
      </c>
      <c r="H837" s="98"/>
      <c r="I837" s="98"/>
      <c r="J837" s="98"/>
      <c r="K837" s="102"/>
      <c r="L837" s="102"/>
      <c r="M837" s="102"/>
      <c r="N837" s="102"/>
      <c r="O837" s="98"/>
      <c r="P837" s="98"/>
      <c r="Q837" s="98"/>
    </row>
    <row r="838">
      <c r="A838" s="96" t="s">
        <v>265</v>
      </c>
      <c r="B838" s="97" t="s">
        <v>2799</v>
      </c>
      <c r="C838" s="97" t="s">
        <v>2800</v>
      </c>
      <c r="D838" s="97" t="s">
        <v>681</v>
      </c>
      <c r="E838" s="97" t="s">
        <v>611</v>
      </c>
      <c r="F838" s="97" t="b">
        <v>1</v>
      </c>
      <c r="G838" s="97" t="b">
        <v>1</v>
      </c>
      <c r="H838" s="98">
        <f>IF(A838:A2055="", "", COUNTIF(Check!H:H, A837:A2055))</f>
        <v>1</v>
      </c>
      <c r="I838" s="98"/>
      <c r="J838" s="98"/>
      <c r="K838" s="99"/>
      <c r="L838" s="99"/>
      <c r="M838" s="102"/>
      <c r="N838" s="102"/>
      <c r="O838" s="98"/>
      <c r="P838" s="98"/>
      <c r="Q838" s="98"/>
    </row>
    <row r="839">
      <c r="A839" s="96" t="s">
        <v>62</v>
      </c>
      <c r="B839" s="97" t="s">
        <v>2801</v>
      </c>
      <c r="C839" s="97" t="s">
        <v>2802</v>
      </c>
      <c r="D839" s="97" t="s">
        <v>662</v>
      </c>
      <c r="E839" s="97" t="s">
        <v>727</v>
      </c>
      <c r="F839" s="97" t="b">
        <v>1</v>
      </c>
      <c r="G839" s="97" t="b">
        <v>1</v>
      </c>
      <c r="H839" s="98">
        <f>IF(A839:A2055="", "", COUNTIF(Check!H:H, A838:A2055))</f>
        <v>1</v>
      </c>
      <c r="I839" s="98"/>
      <c r="J839" s="98"/>
      <c r="K839" s="99"/>
      <c r="L839" s="99"/>
      <c r="M839" s="100"/>
      <c r="N839" s="101"/>
      <c r="O839" s="98"/>
      <c r="P839" s="98"/>
      <c r="Q839" s="105"/>
    </row>
    <row r="840">
      <c r="A840" s="96" t="s">
        <v>2803</v>
      </c>
      <c r="B840" s="97" t="s">
        <v>2804</v>
      </c>
      <c r="C840" s="97" t="s">
        <v>2805</v>
      </c>
      <c r="D840" s="97" t="s">
        <v>1417</v>
      </c>
      <c r="E840" s="97" t="s">
        <v>777</v>
      </c>
      <c r="F840" s="97" t="b">
        <v>0</v>
      </c>
      <c r="G840" s="97" t="b">
        <v>0</v>
      </c>
      <c r="H840" s="98"/>
      <c r="I840" s="98"/>
      <c r="J840" s="98"/>
      <c r="K840" s="99"/>
      <c r="L840" s="99"/>
      <c r="M840" s="102"/>
      <c r="N840" s="102"/>
      <c r="O840" s="98"/>
      <c r="P840" s="98"/>
      <c r="Q840" s="106"/>
    </row>
    <row r="841">
      <c r="A841" s="96" t="s">
        <v>526</v>
      </c>
      <c r="B841" s="97" t="s">
        <v>2806</v>
      </c>
      <c r="C841" s="97" t="s">
        <v>2807</v>
      </c>
      <c r="D841" s="97" t="s">
        <v>633</v>
      </c>
      <c r="E841" s="97" t="s">
        <v>582</v>
      </c>
      <c r="F841" s="97" t="b">
        <v>1</v>
      </c>
      <c r="G841" s="97" t="b">
        <v>1</v>
      </c>
      <c r="H841" s="98">
        <f>IF(A841:A2055="", "", COUNTIF(Check!H:H, A840:A2055))</f>
        <v>1</v>
      </c>
      <c r="I841" s="98"/>
      <c r="J841" s="98"/>
      <c r="K841" s="99"/>
      <c r="L841" s="99"/>
      <c r="M841" s="102"/>
      <c r="N841" s="102"/>
      <c r="O841" s="98"/>
      <c r="P841" s="98"/>
      <c r="Q841" s="98"/>
    </row>
    <row r="842">
      <c r="A842" s="96" t="s">
        <v>2808</v>
      </c>
      <c r="B842" s="97" t="s">
        <v>2809</v>
      </c>
      <c r="C842" s="97" t="s">
        <v>2810</v>
      </c>
      <c r="D842" s="97" t="s">
        <v>764</v>
      </c>
      <c r="E842" s="97" t="s">
        <v>1234</v>
      </c>
      <c r="F842" s="97" t="b">
        <v>0</v>
      </c>
      <c r="G842" s="97" t="b">
        <v>0</v>
      </c>
      <c r="H842" s="98"/>
      <c r="I842" s="98"/>
      <c r="J842" s="98"/>
      <c r="K842" s="99"/>
      <c r="L842" s="99"/>
      <c r="M842" s="102"/>
      <c r="N842" s="102"/>
      <c r="O842" s="98"/>
      <c r="P842" s="98"/>
      <c r="Q842" s="98"/>
    </row>
    <row r="843">
      <c r="A843" s="96" t="s">
        <v>2811</v>
      </c>
      <c r="B843" s="97" t="s">
        <v>2812</v>
      </c>
      <c r="C843" s="97" t="s">
        <v>2813</v>
      </c>
      <c r="D843" s="97" t="s">
        <v>784</v>
      </c>
      <c r="E843" s="97" t="s">
        <v>607</v>
      </c>
      <c r="F843" s="97" t="b">
        <v>0</v>
      </c>
      <c r="G843" s="97" t="b">
        <v>0</v>
      </c>
      <c r="H843" s="98"/>
      <c r="I843" s="98"/>
      <c r="J843" s="98"/>
      <c r="K843" s="99"/>
      <c r="L843" s="99"/>
      <c r="M843" s="108"/>
      <c r="N843" s="109"/>
      <c r="O843" s="98"/>
      <c r="P843" s="98"/>
      <c r="Q843" s="98"/>
    </row>
    <row r="844">
      <c r="A844" s="96" t="s">
        <v>2814</v>
      </c>
      <c r="B844" s="97" t="s">
        <v>2815</v>
      </c>
      <c r="C844" s="97" t="s">
        <v>2816</v>
      </c>
      <c r="D844" s="97" t="s">
        <v>985</v>
      </c>
      <c r="E844" s="97" t="s">
        <v>607</v>
      </c>
      <c r="F844" s="97" t="b">
        <v>0</v>
      </c>
      <c r="G844" s="97" t="b">
        <v>0</v>
      </c>
      <c r="H844" s="98"/>
      <c r="I844" s="98"/>
      <c r="J844" s="98"/>
      <c r="K844" s="99"/>
      <c r="L844" s="99"/>
      <c r="M844" s="102"/>
      <c r="N844" s="102"/>
      <c r="O844" s="98"/>
      <c r="P844" s="98"/>
      <c r="Q844" s="98"/>
    </row>
    <row r="845">
      <c r="A845" s="96" t="s">
        <v>2817</v>
      </c>
      <c r="B845" s="97" t="s">
        <v>2818</v>
      </c>
      <c r="C845" s="97" t="s">
        <v>2819</v>
      </c>
      <c r="D845" s="97" t="s">
        <v>894</v>
      </c>
      <c r="E845" s="97" t="s">
        <v>1101</v>
      </c>
      <c r="F845" s="97" t="b">
        <v>0</v>
      </c>
      <c r="G845" s="97" t="b">
        <v>0</v>
      </c>
      <c r="H845" s="98"/>
      <c r="I845" s="98"/>
      <c r="J845" s="98"/>
      <c r="K845" s="99"/>
      <c r="L845" s="99"/>
      <c r="M845" s="102"/>
      <c r="N845" s="102"/>
      <c r="O845" s="98"/>
      <c r="P845" s="98"/>
      <c r="Q845" s="98"/>
    </row>
    <row r="846">
      <c r="A846" s="96" t="s">
        <v>2820</v>
      </c>
      <c r="B846" s="97" t="s">
        <v>2821</v>
      </c>
      <c r="C846" s="97" t="s">
        <v>2822</v>
      </c>
      <c r="D846" s="97" t="s">
        <v>1055</v>
      </c>
      <c r="E846" s="97" t="s">
        <v>727</v>
      </c>
      <c r="F846" s="97" t="b">
        <v>0</v>
      </c>
      <c r="G846" s="97" t="b">
        <v>0</v>
      </c>
      <c r="H846" s="98"/>
      <c r="I846" s="98"/>
      <c r="J846" s="98"/>
      <c r="K846" s="99"/>
      <c r="L846" s="99"/>
      <c r="M846" s="103"/>
      <c r="N846" s="104"/>
      <c r="O846" s="105"/>
      <c r="P846" s="105"/>
      <c r="Q846" s="98"/>
    </row>
    <row r="847">
      <c r="A847" s="96" t="s">
        <v>2823</v>
      </c>
      <c r="B847" s="97" t="s">
        <v>2824</v>
      </c>
      <c r="C847" s="97" t="s">
        <v>2825</v>
      </c>
      <c r="D847" s="97" t="s">
        <v>1177</v>
      </c>
      <c r="E847" s="97" t="s">
        <v>685</v>
      </c>
      <c r="F847" s="97" t="b">
        <v>0</v>
      </c>
      <c r="G847" s="97" t="b">
        <v>0</v>
      </c>
      <c r="H847" s="98"/>
      <c r="I847" s="98"/>
      <c r="J847" s="98"/>
      <c r="K847" s="99"/>
      <c r="L847" s="99"/>
      <c r="M847" s="108"/>
      <c r="N847" s="109"/>
      <c r="O847" s="98"/>
      <c r="P847" s="98"/>
      <c r="Q847" s="98"/>
    </row>
    <row r="848">
      <c r="A848" s="96" t="s">
        <v>190</v>
      </c>
      <c r="B848" s="97" t="s">
        <v>2826</v>
      </c>
      <c r="C848" s="97" t="s">
        <v>2827</v>
      </c>
      <c r="D848" s="97" t="s">
        <v>721</v>
      </c>
      <c r="E848" s="97" t="s">
        <v>722</v>
      </c>
      <c r="F848" s="97" t="b">
        <v>1</v>
      </c>
      <c r="G848" s="97" t="b">
        <v>1</v>
      </c>
      <c r="H848" s="98">
        <f>IF(A848:A2055="", "", COUNTIF(Check!H:H, A847:A2055))</f>
        <v>1</v>
      </c>
      <c r="I848" s="98"/>
      <c r="J848" s="98"/>
      <c r="K848" s="102"/>
      <c r="L848" s="102"/>
      <c r="M848" s="100"/>
      <c r="N848" s="101"/>
      <c r="O848" s="98"/>
      <c r="P848" s="98"/>
      <c r="Q848" s="98"/>
    </row>
    <row r="849">
      <c r="A849" s="96" t="s">
        <v>2828</v>
      </c>
      <c r="B849" s="97" t="s">
        <v>2829</v>
      </c>
      <c r="C849" s="97" t="s">
        <v>2830</v>
      </c>
      <c r="D849" s="97" t="s">
        <v>610</v>
      </c>
      <c r="E849" s="97" t="s">
        <v>582</v>
      </c>
      <c r="F849" s="97" t="b">
        <v>0</v>
      </c>
      <c r="G849" s="97" t="b">
        <v>0</v>
      </c>
      <c r="H849" s="98"/>
      <c r="I849" s="98"/>
      <c r="J849" s="98"/>
      <c r="K849" s="99"/>
      <c r="L849" s="99"/>
      <c r="M849" s="108"/>
      <c r="N849" s="109"/>
      <c r="O849" s="98"/>
      <c r="P849" s="98"/>
      <c r="Q849" s="98"/>
    </row>
    <row r="850">
      <c r="A850" s="96" t="s">
        <v>139</v>
      </c>
      <c r="B850" s="97" t="s">
        <v>2831</v>
      </c>
      <c r="C850" s="97" t="s">
        <v>2832</v>
      </c>
      <c r="D850" s="97" t="s">
        <v>606</v>
      </c>
      <c r="E850" s="97" t="s">
        <v>711</v>
      </c>
      <c r="F850" s="97" t="b">
        <v>1</v>
      </c>
      <c r="G850" s="97" t="b">
        <v>1</v>
      </c>
      <c r="H850" s="98">
        <f>IF(A850:A2055="", "", COUNTIF(Check!H:H, A849:A2055))</f>
        <v>1</v>
      </c>
      <c r="I850" s="98"/>
      <c r="J850" s="98"/>
      <c r="K850" s="99"/>
      <c r="L850" s="99"/>
      <c r="M850" s="100"/>
      <c r="N850" s="101"/>
      <c r="O850" s="98"/>
      <c r="P850" s="98"/>
      <c r="Q850" s="98"/>
    </row>
    <row r="851">
      <c r="A851" s="96" t="s">
        <v>2833</v>
      </c>
      <c r="B851" s="97" t="s">
        <v>2834</v>
      </c>
      <c r="C851" s="97" t="s">
        <v>2835</v>
      </c>
      <c r="D851" s="97" t="s">
        <v>939</v>
      </c>
      <c r="E851" s="97" t="s">
        <v>630</v>
      </c>
      <c r="F851" s="97" t="b">
        <v>0</v>
      </c>
      <c r="G851" s="97" t="b">
        <v>0</v>
      </c>
      <c r="H851" s="98"/>
      <c r="I851" s="98"/>
      <c r="J851" s="98"/>
      <c r="K851" s="99"/>
      <c r="L851" s="99"/>
      <c r="M851" s="102"/>
      <c r="N851" s="102"/>
      <c r="O851" s="98"/>
      <c r="P851" s="98"/>
      <c r="Q851" s="98"/>
    </row>
    <row r="852">
      <c r="A852" s="96" t="s">
        <v>2836</v>
      </c>
      <c r="B852" s="97" t="s">
        <v>2837</v>
      </c>
      <c r="C852" s="97" t="s">
        <v>2838</v>
      </c>
      <c r="D852" s="97" t="s">
        <v>619</v>
      </c>
      <c r="E852" s="97" t="s">
        <v>711</v>
      </c>
      <c r="F852" s="97" t="b">
        <v>0</v>
      </c>
      <c r="G852" s="97" t="b">
        <v>0</v>
      </c>
      <c r="H852" s="98"/>
      <c r="I852" s="98"/>
      <c r="J852" s="98"/>
      <c r="K852" s="108"/>
      <c r="L852" s="110"/>
      <c r="M852" s="100"/>
      <c r="N852" s="101"/>
      <c r="O852" s="98"/>
      <c r="P852" s="98"/>
      <c r="Q852" s="98"/>
    </row>
    <row r="853">
      <c r="A853" s="96" t="s">
        <v>2839</v>
      </c>
      <c r="B853" s="97" t="s">
        <v>2840</v>
      </c>
      <c r="C853" s="97" t="s">
        <v>2841</v>
      </c>
      <c r="D853" s="97" t="s">
        <v>854</v>
      </c>
      <c r="E853" s="97" t="s">
        <v>921</v>
      </c>
      <c r="F853" s="97" t="b">
        <v>0</v>
      </c>
      <c r="G853" s="97" t="b">
        <v>0</v>
      </c>
      <c r="H853" s="98"/>
      <c r="I853" s="98"/>
      <c r="J853" s="98"/>
      <c r="K853" s="99"/>
      <c r="L853" s="99"/>
      <c r="M853" s="102"/>
      <c r="N853" s="102"/>
      <c r="O853" s="98"/>
      <c r="P853" s="98"/>
      <c r="Q853" s="98"/>
    </row>
    <row r="854">
      <c r="A854" s="96" t="s">
        <v>2842</v>
      </c>
      <c r="B854" s="97" t="s">
        <v>2843</v>
      </c>
      <c r="C854" s="97" t="s">
        <v>2844</v>
      </c>
      <c r="D854" s="97" t="s">
        <v>1230</v>
      </c>
      <c r="E854" s="97" t="s">
        <v>620</v>
      </c>
      <c r="F854" s="97" t="b">
        <v>0</v>
      </c>
      <c r="G854" s="97" t="b">
        <v>0</v>
      </c>
      <c r="H854" s="98"/>
      <c r="I854" s="98"/>
      <c r="J854" s="98"/>
      <c r="K854" s="102"/>
      <c r="L854" s="102"/>
      <c r="M854" s="102"/>
      <c r="N854" s="102"/>
      <c r="O854" s="98"/>
      <c r="P854" s="98"/>
      <c r="Q854" s="98"/>
    </row>
    <row r="855">
      <c r="A855" s="96" t="s">
        <v>2845</v>
      </c>
      <c r="B855" s="97" t="s">
        <v>2846</v>
      </c>
      <c r="C855" s="97" t="s">
        <v>2847</v>
      </c>
      <c r="D855" s="97" t="s">
        <v>747</v>
      </c>
      <c r="E855" s="97" t="s">
        <v>1552</v>
      </c>
      <c r="F855" s="97" t="b">
        <v>0</v>
      </c>
      <c r="G855" s="97" t="b">
        <v>0</v>
      </c>
      <c r="H855" s="98"/>
      <c r="I855" s="98"/>
      <c r="J855" s="98"/>
      <c r="K855" s="99"/>
      <c r="L855" s="99"/>
      <c r="M855" s="102"/>
      <c r="N855" s="102"/>
      <c r="O855" s="98"/>
      <c r="P855" s="98"/>
      <c r="Q855" s="98"/>
    </row>
    <row r="856">
      <c r="A856" s="96" t="s">
        <v>2848</v>
      </c>
      <c r="B856" s="97" t="s">
        <v>2849</v>
      </c>
      <c r="C856" s="97" t="s">
        <v>2850</v>
      </c>
      <c r="D856" s="97" t="s">
        <v>1127</v>
      </c>
      <c r="E856" s="97" t="s">
        <v>921</v>
      </c>
      <c r="F856" s="97" t="b">
        <v>0</v>
      </c>
      <c r="G856" s="97" t="b">
        <v>0</v>
      </c>
      <c r="H856" s="98"/>
      <c r="I856" s="98"/>
      <c r="J856" s="98"/>
      <c r="K856" s="99"/>
      <c r="L856" s="99"/>
      <c r="M856" s="102"/>
      <c r="N856" s="102"/>
      <c r="O856" s="98"/>
      <c r="P856" s="98"/>
      <c r="Q856" s="98"/>
    </row>
    <row r="857">
      <c r="A857" s="96" t="s">
        <v>471</v>
      </c>
      <c r="B857" s="97" t="s">
        <v>2851</v>
      </c>
      <c r="C857" s="97" t="s">
        <v>2852</v>
      </c>
      <c r="D857" s="97" t="s">
        <v>1191</v>
      </c>
      <c r="E857" s="97" t="s">
        <v>620</v>
      </c>
      <c r="F857" s="97" t="b">
        <v>1</v>
      </c>
      <c r="G857" s="97" t="b">
        <v>1</v>
      </c>
      <c r="H857" s="98">
        <f>IF(A857:A2055="", "", COUNTIF(Check!H:H, A856:A2055))</f>
        <v>1</v>
      </c>
      <c r="I857" s="98"/>
      <c r="J857" s="98"/>
      <c r="K857" s="102"/>
      <c r="L857" s="102"/>
      <c r="M857" s="102"/>
      <c r="N857" s="102"/>
      <c r="O857" s="98"/>
      <c r="P857" s="98"/>
      <c r="Q857" s="98"/>
    </row>
    <row r="858">
      <c r="A858" s="96" t="s">
        <v>110</v>
      </c>
      <c r="B858" s="97" t="s">
        <v>2853</v>
      </c>
      <c r="C858" s="97" t="s">
        <v>2854</v>
      </c>
      <c r="D858" s="97" t="s">
        <v>792</v>
      </c>
      <c r="E858" s="97" t="s">
        <v>711</v>
      </c>
      <c r="F858" s="97" t="b">
        <v>1</v>
      </c>
      <c r="G858" s="97" t="b">
        <v>1</v>
      </c>
      <c r="H858" s="98">
        <f>IF(A858:A2055="", "", COUNTIF(Check!H:H, A857:A2055))</f>
        <v>1</v>
      </c>
      <c r="I858" s="98"/>
      <c r="J858" s="98"/>
      <c r="K858" s="108"/>
      <c r="L858" s="109"/>
      <c r="M858" s="100"/>
      <c r="N858" s="101"/>
      <c r="O858" s="98"/>
      <c r="P858" s="98"/>
      <c r="Q858" s="98"/>
    </row>
    <row r="859">
      <c r="A859" s="96" t="s">
        <v>2855</v>
      </c>
      <c r="B859" s="97" t="s">
        <v>2856</v>
      </c>
      <c r="C859" s="97" t="s">
        <v>2857</v>
      </c>
      <c r="D859" s="97" t="s">
        <v>615</v>
      </c>
      <c r="E859" s="97" t="s">
        <v>921</v>
      </c>
      <c r="F859" s="97" t="b">
        <v>0</v>
      </c>
      <c r="G859" s="97" t="b">
        <v>0</v>
      </c>
      <c r="H859" s="98"/>
      <c r="I859" s="98"/>
      <c r="J859" s="98"/>
      <c r="K859" s="108"/>
      <c r="L859" s="109"/>
      <c r="M859" s="103"/>
      <c r="N859" s="104"/>
      <c r="O859" s="105"/>
      <c r="P859" s="105"/>
      <c r="Q859" s="98"/>
    </row>
    <row r="860">
      <c r="A860" s="96" t="s">
        <v>537</v>
      </c>
      <c r="B860" s="97" t="s">
        <v>2858</v>
      </c>
      <c r="C860" s="97" t="s">
        <v>2859</v>
      </c>
      <c r="D860" s="97" t="s">
        <v>1089</v>
      </c>
      <c r="E860" s="97" t="s">
        <v>607</v>
      </c>
      <c r="F860" s="97" t="b">
        <v>1</v>
      </c>
      <c r="G860" s="97" t="b">
        <v>1</v>
      </c>
      <c r="H860" s="98">
        <f>IF(A860:A2055="", "", COUNTIF(Check!H:H, A859:A2055))</f>
        <v>1</v>
      </c>
      <c r="I860" s="98"/>
      <c r="J860" s="98"/>
      <c r="K860" s="99"/>
      <c r="L860" s="99"/>
      <c r="M860" s="100"/>
      <c r="N860" s="101"/>
      <c r="O860" s="98"/>
      <c r="P860" s="98"/>
      <c r="Q860" s="98"/>
    </row>
    <row r="861">
      <c r="A861" s="96" t="s">
        <v>294</v>
      </c>
      <c r="B861" s="97" t="s">
        <v>2860</v>
      </c>
      <c r="C861" s="97" t="s">
        <v>2861</v>
      </c>
      <c r="D861" s="97" t="s">
        <v>972</v>
      </c>
      <c r="E861" s="97" t="s">
        <v>586</v>
      </c>
      <c r="F861" s="97" t="b">
        <v>1</v>
      </c>
      <c r="G861" s="97" t="b">
        <v>1</v>
      </c>
      <c r="H861" s="98">
        <f>IF(A861:A2055="", "", COUNTIF(Check!H:H, A860:A2055))</f>
        <v>1</v>
      </c>
      <c r="I861" s="98"/>
      <c r="J861" s="98"/>
      <c r="K861" s="99"/>
      <c r="L861" s="99"/>
      <c r="M861" s="102"/>
      <c r="N861" s="102"/>
      <c r="O861" s="98"/>
      <c r="P861" s="98"/>
      <c r="Q861" s="98"/>
    </row>
    <row r="862">
      <c r="A862" s="96" t="s">
        <v>2862</v>
      </c>
      <c r="B862" s="97" t="s">
        <v>2863</v>
      </c>
      <c r="C862" s="97" t="s">
        <v>2864</v>
      </c>
      <c r="D862" s="97" t="s">
        <v>760</v>
      </c>
      <c r="E862" s="97" t="s">
        <v>685</v>
      </c>
      <c r="F862" s="97" t="b">
        <v>0</v>
      </c>
      <c r="G862" s="97" t="b">
        <v>0</v>
      </c>
      <c r="H862" s="98"/>
      <c r="I862" s="98"/>
      <c r="J862" s="98"/>
      <c r="K862" s="99"/>
      <c r="L862" s="99"/>
      <c r="M862" s="102"/>
      <c r="N862" s="102"/>
      <c r="O862" s="98"/>
      <c r="P862" s="98"/>
      <c r="Q862" s="98"/>
    </row>
    <row r="863">
      <c r="A863" s="96" t="s">
        <v>2865</v>
      </c>
      <c r="B863" s="97" t="s">
        <v>2866</v>
      </c>
      <c r="C863" s="97" t="s">
        <v>2867</v>
      </c>
      <c r="D863" s="97" t="s">
        <v>732</v>
      </c>
      <c r="E863" s="97" t="s">
        <v>761</v>
      </c>
      <c r="F863" s="97" t="b">
        <v>0</v>
      </c>
      <c r="G863" s="97" t="b">
        <v>0</v>
      </c>
      <c r="H863" s="98"/>
      <c r="I863" s="98"/>
      <c r="J863" s="98"/>
      <c r="K863" s="100"/>
      <c r="L863" s="101"/>
      <c r="M863" s="102"/>
      <c r="N863" s="102"/>
      <c r="O863" s="98"/>
      <c r="P863" s="98"/>
      <c r="Q863" s="98"/>
    </row>
    <row r="864">
      <c r="A864" s="96" t="s">
        <v>444</v>
      </c>
      <c r="B864" s="97" t="s">
        <v>2868</v>
      </c>
      <c r="C864" s="97" t="s">
        <v>2869</v>
      </c>
      <c r="D864" s="97" t="s">
        <v>1582</v>
      </c>
      <c r="E864" s="97" t="s">
        <v>649</v>
      </c>
      <c r="F864" s="97" t="b">
        <v>1</v>
      </c>
      <c r="G864" s="97" t="b">
        <v>1</v>
      </c>
      <c r="H864" s="98">
        <f>IF(A864:A2055="", "", COUNTIF(Check!H:H, A863:A2055))</f>
        <v>1</v>
      </c>
      <c r="I864" s="98"/>
      <c r="J864" s="98"/>
      <c r="K864" s="100" t="s">
        <v>1503</v>
      </c>
      <c r="L864" s="101">
        <f>COUNTIFS($D$2:$D$1039, K864, $F$2:$F$1039, TRUE)</f>
        <v>2</v>
      </c>
      <c r="M864" s="100" t="s">
        <v>752</v>
      </c>
      <c r="N864" s="101">
        <f>COUNTIFS($E$2:$E$1039, M864, $F$2:$F$1039, TRUE)</f>
        <v>0</v>
      </c>
      <c r="O864" s="98"/>
      <c r="P864" s="98"/>
      <c r="Q864" s="98"/>
    </row>
    <row r="865">
      <c r="A865" s="96" t="s">
        <v>2870</v>
      </c>
      <c r="B865" s="97" t="s">
        <v>2871</v>
      </c>
      <c r="C865" s="97" t="s">
        <v>2872</v>
      </c>
      <c r="D865" s="97" t="s">
        <v>1479</v>
      </c>
      <c r="E865" s="97" t="s">
        <v>733</v>
      </c>
      <c r="F865" s="97" t="b">
        <v>0</v>
      </c>
      <c r="G865" s="97" t="b">
        <v>0</v>
      </c>
      <c r="H865" s="98"/>
      <c r="I865" s="98"/>
      <c r="J865" s="98"/>
      <c r="K865" s="100"/>
      <c r="L865" s="107"/>
      <c r="M865" s="100"/>
      <c r="N865" s="101"/>
      <c r="O865" s="98"/>
      <c r="P865" s="98"/>
      <c r="Q865" s="98"/>
    </row>
    <row r="866">
      <c r="A866" s="96" t="s">
        <v>34</v>
      </c>
      <c r="B866" s="97" t="s">
        <v>2873</v>
      </c>
      <c r="C866" s="97" t="s">
        <v>2874</v>
      </c>
      <c r="D866" s="97" t="s">
        <v>1500</v>
      </c>
      <c r="E866" s="97" t="s">
        <v>1134</v>
      </c>
      <c r="F866" s="97" t="b">
        <v>1</v>
      </c>
      <c r="G866" s="97" t="b">
        <v>1</v>
      </c>
      <c r="H866" s="98">
        <f>IF(A866:A2055="", "", COUNTIF(Check!H:H, A865:A2055))</f>
        <v>1</v>
      </c>
      <c r="I866" s="98"/>
      <c r="J866" s="98"/>
      <c r="K866" s="99"/>
      <c r="L866" s="99"/>
      <c r="M866" s="102"/>
      <c r="N866" s="102"/>
      <c r="O866" s="98"/>
      <c r="P866" s="98"/>
      <c r="Q866" s="98"/>
    </row>
    <row r="867">
      <c r="A867" s="96" t="s">
        <v>2875</v>
      </c>
      <c r="B867" s="97" t="s">
        <v>2876</v>
      </c>
      <c r="C867" s="97" t="s">
        <v>2877</v>
      </c>
      <c r="D867" s="97" t="s">
        <v>1169</v>
      </c>
      <c r="E867" s="97" t="s">
        <v>767</v>
      </c>
      <c r="F867" s="97" t="b">
        <v>0</v>
      </c>
      <c r="G867" s="97" t="b">
        <v>0</v>
      </c>
      <c r="H867" s="98"/>
      <c r="I867" s="98"/>
      <c r="J867" s="98"/>
      <c r="K867" s="99"/>
      <c r="L867" s="99"/>
      <c r="M867" s="102"/>
      <c r="N867" s="102"/>
      <c r="O867" s="98"/>
      <c r="P867" s="98"/>
      <c r="Q867" s="98"/>
    </row>
    <row r="868">
      <c r="A868" s="96" t="s">
        <v>397</v>
      </c>
      <c r="B868" s="97" t="s">
        <v>2878</v>
      </c>
      <c r="C868" s="97" t="s">
        <v>2879</v>
      </c>
      <c r="D868" s="97" t="s">
        <v>815</v>
      </c>
      <c r="E868" s="97" t="s">
        <v>1050</v>
      </c>
      <c r="F868" s="97" t="b">
        <v>1</v>
      </c>
      <c r="G868" s="97" t="b">
        <v>1</v>
      </c>
      <c r="H868" s="98">
        <f>IF(A868:A2055="", "", COUNTIF(Check!H:H, A867:A2055))</f>
        <v>1</v>
      </c>
      <c r="I868" s="98"/>
      <c r="J868" s="98"/>
      <c r="K868" s="108" t="s">
        <v>606</v>
      </c>
      <c r="L868" s="109">
        <f t="shared" ref="L868:L869" si="13">COUNTIFS($D$2:$D$1039, K868, $F$2:$F$1039, TRUE)</f>
        <v>3</v>
      </c>
      <c r="M868" s="100" t="s">
        <v>1009</v>
      </c>
      <c r="N868" s="101">
        <f t="shared" ref="N868:N869" si="14">COUNTIFS($E$2:$E$1039, M868, $F$2:$F$1039, TRUE)</f>
        <v>0</v>
      </c>
      <c r="O868" s="98"/>
      <c r="P868" s="98"/>
      <c r="Q868" s="105"/>
    </row>
    <row r="869">
      <c r="A869" s="96" t="s">
        <v>431</v>
      </c>
      <c r="B869" s="97" t="s">
        <v>2880</v>
      </c>
      <c r="C869" s="97" t="s">
        <v>2881</v>
      </c>
      <c r="D869" s="97" t="s">
        <v>814</v>
      </c>
      <c r="E869" s="97" t="s">
        <v>649</v>
      </c>
      <c r="F869" s="97" t="b">
        <v>1</v>
      </c>
      <c r="G869" s="97" t="b">
        <v>1</v>
      </c>
      <c r="H869" s="98">
        <f>IF(A869:A2055="", "", COUNTIF(Check!H:H, A868:A2055))</f>
        <v>1</v>
      </c>
      <c r="I869" s="98"/>
      <c r="J869" s="98"/>
      <c r="K869" s="100" t="s">
        <v>704</v>
      </c>
      <c r="L869" s="101">
        <f t="shared" si="13"/>
        <v>5</v>
      </c>
      <c r="M869" s="100" t="s">
        <v>1244</v>
      </c>
      <c r="N869" s="101">
        <f t="shared" si="14"/>
        <v>1</v>
      </c>
      <c r="O869" s="105"/>
      <c r="P869" s="105"/>
      <c r="Q869" s="98"/>
    </row>
    <row r="870">
      <c r="A870" s="96" t="s">
        <v>2882</v>
      </c>
      <c r="B870" s="97" t="s">
        <v>2883</v>
      </c>
      <c r="C870" s="97" t="s">
        <v>2884</v>
      </c>
      <c r="D870" s="97" t="s">
        <v>1500</v>
      </c>
      <c r="E870" s="97" t="s">
        <v>767</v>
      </c>
      <c r="F870" s="97" t="b">
        <v>0</v>
      </c>
      <c r="G870" s="97" t="b">
        <v>0</v>
      </c>
      <c r="H870" s="98"/>
      <c r="I870" s="98"/>
      <c r="J870" s="98"/>
      <c r="K870" s="99"/>
      <c r="L870" s="99"/>
      <c r="M870" s="100"/>
      <c r="N870" s="101"/>
      <c r="O870" s="98"/>
      <c r="P870" s="98"/>
      <c r="Q870" s="98"/>
    </row>
    <row r="871">
      <c r="A871" s="96" t="s">
        <v>2885</v>
      </c>
      <c r="B871" s="97" t="s">
        <v>2886</v>
      </c>
      <c r="C871" s="97" t="s">
        <v>2887</v>
      </c>
      <c r="D871" s="97" t="s">
        <v>854</v>
      </c>
      <c r="E871" s="97" t="s">
        <v>761</v>
      </c>
      <c r="F871" s="97" t="b">
        <v>0</v>
      </c>
      <c r="G871" s="97" t="b">
        <v>0</v>
      </c>
      <c r="H871" s="98"/>
      <c r="I871" s="98"/>
      <c r="J871" s="98"/>
      <c r="K871" s="100"/>
      <c r="L871" s="107"/>
      <c r="M871" s="100"/>
      <c r="N871" s="101"/>
      <c r="O871" s="98"/>
      <c r="P871" s="98"/>
      <c r="Q871" s="98"/>
    </row>
    <row r="872">
      <c r="A872" s="96" t="s">
        <v>521</v>
      </c>
      <c r="B872" s="97" t="s">
        <v>2888</v>
      </c>
      <c r="C872" s="97" t="s">
        <v>2889</v>
      </c>
      <c r="D872" s="97" t="s">
        <v>658</v>
      </c>
      <c r="E872" s="97" t="s">
        <v>921</v>
      </c>
      <c r="F872" s="97" t="b">
        <v>1</v>
      </c>
      <c r="G872" s="97" t="b">
        <v>1</v>
      </c>
      <c r="H872" s="98">
        <f>IF(A872:A2055="", "", COUNTIF(Check!H:H, A871:A2055))</f>
        <v>1</v>
      </c>
      <c r="I872" s="98"/>
      <c r="J872" s="98"/>
      <c r="K872" s="99"/>
      <c r="L872" s="99"/>
      <c r="M872" s="102"/>
      <c r="N872" s="102"/>
      <c r="O872" s="98"/>
      <c r="P872" s="98"/>
      <c r="Q872" s="105"/>
    </row>
    <row r="873">
      <c r="A873" s="96" t="s">
        <v>244</v>
      </c>
      <c r="B873" s="97" t="s">
        <v>2890</v>
      </c>
      <c r="C873" s="97" t="s">
        <v>2891</v>
      </c>
      <c r="D873" s="97" t="s">
        <v>1089</v>
      </c>
      <c r="E873" s="97" t="s">
        <v>607</v>
      </c>
      <c r="F873" s="97" t="b">
        <v>1</v>
      </c>
      <c r="G873" s="97" t="b">
        <v>1</v>
      </c>
      <c r="H873" s="98">
        <f>IF(A873:A2055="", "", COUNTIF(Check!H:H, A872:A2055))</f>
        <v>1</v>
      </c>
      <c r="I873" s="98"/>
      <c r="J873" s="98"/>
      <c r="K873" s="99"/>
      <c r="L873" s="99"/>
      <c r="M873" s="100"/>
      <c r="N873" s="101"/>
      <c r="O873" s="98"/>
      <c r="P873" s="98"/>
      <c r="Q873" s="106"/>
    </row>
    <row r="874">
      <c r="A874" s="96" t="s">
        <v>285</v>
      </c>
      <c r="B874" s="97" t="s">
        <v>2892</v>
      </c>
      <c r="C874" s="97" t="s">
        <v>2893</v>
      </c>
      <c r="D874" s="97" t="s">
        <v>1237</v>
      </c>
      <c r="E874" s="97" t="s">
        <v>697</v>
      </c>
      <c r="F874" s="97" t="b">
        <v>1</v>
      </c>
      <c r="G874" s="97" t="b">
        <v>1</v>
      </c>
      <c r="H874" s="98">
        <f>IF(A874:A2055="", "", COUNTIF(Check!H:H, A873:A2055))</f>
        <v>1</v>
      </c>
      <c r="I874" s="115"/>
      <c r="J874" s="115"/>
      <c r="K874" s="100" t="s">
        <v>920</v>
      </c>
      <c r="L874" s="107">
        <f>COUNTIFS($D$2:$D$1039, K874, $F$2:$F$1039, TRUE)</f>
        <v>6</v>
      </c>
      <c r="M874" s="108" t="s">
        <v>748</v>
      </c>
      <c r="N874" s="109">
        <f>COUNTIFS($E$2:$E$1039, M874, $F$2:$F$1039, TRUE)</f>
        <v>0</v>
      </c>
      <c r="O874" s="106" t="s">
        <v>2894</v>
      </c>
      <c r="P874" s="106" t="str">
        <f>COUNTIF($E$2:$E$1091, "*"&amp;N2)</f>
        <v>#ERROR!</v>
      </c>
      <c r="Q874" s="105"/>
    </row>
    <row r="875">
      <c r="A875" s="96" t="s">
        <v>94</v>
      </c>
      <c r="B875" s="97" t="s">
        <v>2895</v>
      </c>
      <c r="C875" s="97" t="s">
        <v>2896</v>
      </c>
      <c r="D875" s="97" t="s">
        <v>696</v>
      </c>
      <c r="E875" s="97" t="s">
        <v>586</v>
      </c>
      <c r="F875" s="97" t="b">
        <v>1</v>
      </c>
      <c r="G875" s="97" t="b">
        <v>1</v>
      </c>
      <c r="H875" s="98">
        <f>IF(A875:A2055="", "", COUNTIF(Check!H:H, A874:A2055))</f>
        <v>1</v>
      </c>
      <c r="I875" s="98"/>
      <c r="J875" s="98"/>
      <c r="K875" s="108"/>
      <c r="L875" s="109"/>
      <c r="M875" s="108"/>
      <c r="N875" s="109"/>
      <c r="O875" s="105"/>
      <c r="P875" s="105"/>
      <c r="Q875" s="98"/>
    </row>
    <row r="876">
      <c r="A876" s="96" t="s">
        <v>2897</v>
      </c>
      <c r="B876" s="97" t="s">
        <v>2898</v>
      </c>
      <c r="C876" s="97" t="s">
        <v>2899</v>
      </c>
      <c r="D876" s="97" t="s">
        <v>788</v>
      </c>
      <c r="E876" s="97" t="s">
        <v>727</v>
      </c>
      <c r="F876" s="97" t="b">
        <v>0</v>
      </c>
      <c r="G876" s="97" t="b">
        <v>0</v>
      </c>
      <c r="H876" s="98"/>
      <c r="I876" s="98"/>
      <c r="J876" s="98"/>
      <c r="K876" s="99"/>
      <c r="L876" s="99"/>
      <c r="M876" s="102"/>
      <c r="N876" s="102"/>
      <c r="O876" s="98"/>
      <c r="P876" s="98"/>
      <c r="Q876" s="98"/>
    </row>
    <row r="877">
      <c r="A877" s="96" t="s">
        <v>571</v>
      </c>
      <c r="B877" s="97" t="s">
        <v>2900</v>
      </c>
      <c r="C877" s="97" t="s">
        <v>2901</v>
      </c>
      <c r="D877" s="97" t="s">
        <v>939</v>
      </c>
      <c r="E877" s="97" t="s">
        <v>777</v>
      </c>
      <c r="F877" s="97" t="b">
        <v>0</v>
      </c>
      <c r="G877" s="97" t="b">
        <v>0</v>
      </c>
      <c r="H877" s="98"/>
      <c r="I877" s="98"/>
      <c r="J877" s="98"/>
      <c r="K877" s="100"/>
      <c r="L877" s="101"/>
      <c r="M877" s="102"/>
      <c r="N877" s="102"/>
      <c r="O877" s="98"/>
      <c r="P877" s="98"/>
      <c r="Q877" s="98"/>
    </row>
    <row r="878">
      <c r="A878" s="96" t="s">
        <v>2902</v>
      </c>
      <c r="B878" s="97" t="s">
        <v>2903</v>
      </c>
      <c r="C878" s="97" t="s">
        <v>2904</v>
      </c>
      <c r="D878" s="97" t="s">
        <v>610</v>
      </c>
      <c r="E878" s="97" t="s">
        <v>711</v>
      </c>
      <c r="F878" s="97" t="b">
        <v>0</v>
      </c>
      <c r="G878" s="97" t="b">
        <v>0</v>
      </c>
      <c r="H878" s="98"/>
      <c r="I878" s="98"/>
      <c r="J878" s="98"/>
      <c r="K878" s="99"/>
      <c r="L878" s="99"/>
      <c r="M878" s="100"/>
      <c r="N878" s="101"/>
      <c r="O878" s="98"/>
      <c r="P878" s="98"/>
      <c r="Q878" s="98"/>
    </row>
    <row r="879">
      <c r="A879" s="96" t="s">
        <v>217</v>
      </c>
      <c r="B879" s="97" t="s">
        <v>2905</v>
      </c>
      <c r="C879" s="97" t="s">
        <v>2906</v>
      </c>
      <c r="D879" s="97" t="s">
        <v>1022</v>
      </c>
      <c r="E879" s="97" t="s">
        <v>2907</v>
      </c>
      <c r="F879" s="97" t="b">
        <v>1</v>
      </c>
      <c r="G879" s="97" t="b">
        <v>1</v>
      </c>
      <c r="H879" s="98">
        <f>IF(A879:A2055="", "", COUNTIF(Check!H:H, A878:A2055))</f>
        <v>1</v>
      </c>
      <c r="I879" s="98"/>
      <c r="J879" s="98"/>
      <c r="K879" s="99"/>
      <c r="L879" s="99"/>
      <c r="M879" s="108"/>
      <c r="N879" s="109"/>
      <c r="O879" s="98"/>
      <c r="P879" s="98"/>
      <c r="Q879" s="98"/>
    </row>
    <row r="880">
      <c r="A880" s="96" t="s">
        <v>362</v>
      </c>
      <c r="B880" s="97" t="s">
        <v>2908</v>
      </c>
      <c r="C880" s="97" t="s">
        <v>2909</v>
      </c>
      <c r="D880" s="97" t="s">
        <v>1022</v>
      </c>
      <c r="E880" s="97" t="s">
        <v>586</v>
      </c>
      <c r="F880" s="97" t="b">
        <v>0</v>
      </c>
      <c r="G880" s="97" t="b">
        <v>0</v>
      </c>
      <c r="H880" s="98"/>
      <c r="I880" s="98"/>
      <c r="J880" s="98"/>
      <c r="K880" s="99"/>
      <c r="L880" s="99"/>
      <c r="M880" s="102"/>
      <c r="N880" s="102"/>
      <c r="O880" s="98"/>
      <c r="P880" s="98"/>
      <c r="Q880" s="98"/>
    </row>
    <row r="881">
      <c r="A881" s="96" t="s">
        <v>2910</v>
      </c>
      <c r="B881" s="97" t="s">
        <v>2911</v>
      </c>
      <c r="C881" s="97" t="s">
        <v>2912</v>
      </c>
      <c r="D881" s="97" t="s">
        <v>643</v>
      </c>
      <c r="E881" s="97" t="s">
        <v>1644</v>
      </c>
      <c r="F881" s="97" t="b">
        <v>0</v>
      </c>
      <c r="G881" s="97" t="b">
        <v>0</v>
      </c>
      <c r="H881" s="98"/>
      <c r="I881" s="98"/>
      <c r="J881" s="98"/>
      <c r="K881" s="108" t="s">
        <v>939</v>
      </c>
      <c r="L881" s="109">
        <f>COUNTIFS($D$2:$D$1039, K881, $F$2:$F$1039, TRUE)</f>
        <v>3</v>
      </c>
      <c r="M881" s="100" t="s">
        <v>2344</v>
      </c>
      <c r="N881" s="101">
        <f>COUNTIFS($E$2:$E$1039, M881, $F$2:$F$1039, TRUE)</f>
        <v>0</v>
      </c>
      <c r="O881" s="98"/>
      <c r="P881" s="98"/>
      <c r="Q881" s="98"/>
    </row>
    <row r="882">
      <c r="A882" s="96" t="s">
        <v>202</v>
      </c>
      <c r="B882" s="97" t="s">
        <v>2913</v>
      </c>
      <c r="C882" s="97" t="s">
        <v>2914</v>
      </c>
      <c r="D882" s="97" t="s">
        <v>1615</v>
      </c>
      <c r="E882" s="97" t="s">
        <v>1134</v>
      </c>
      <c r="F882" s="97" t="b">
        <v>1</v>
      </c>
      <c r="G882" s="97" t="b">
        <v>1</v>
      </c>
      <c r="H882" s="98">
        <f>IF(A882:A2055="", "", COUNTIF(Check!H:H, A881:A2055))</f>
        <v>1</v>
      </c>
      <c r="I882" s="98"/>
      <c r="J882" s="98"/>
      <c r="K882" s="108"/>
      <c r="L882" s="109"/>
      <c r="M882" s="102"/>
      <c r="N882" s="102"/>
      <c r="O882" s="98"/>
      <c r="P882" s="98"/>
      <c r="Q882" s="98"/>
    </row>
    <row r="883">
      <c r="A883" s="96" t="s">
        <v>2915</v>
      </c>
      <c r="B883" s="97" t="s">
        <v>2916</v>
      </c>
      <c r="C883" s="97" t="s">
        <v>2917</v>
      </c>
      <c r="D883" s="97" t="s">
        <v>781</v>
      </c>
      <c r="E883" s="97" t="s">
        <v>1251</v>
      </c>
      <c r="F883" s="97" t="b">
        <v>0</v>
      </c>
      <c r="G883" s="97" t="b">
        <v>0</v>
      </c>
      <c r="H883" s="98"/>
      <c r="I883" s="98"/>
      <c r="J883" s="98"/>
      <c r="K883" s="100" t="s">
        <v>942</v>
      </c>
      <c r="L883" s="107">
        <f>COUNTIFS($D$2:$D$1039, K883, $F$2:$F$1039, TRUE)</f>
        <v>4</v>
      </c>
      <c r="M883" s="100" t="s">
        <v>1477</v>
      </c>
      <c r="N883" s="101">
        <f>COUNTIFS($E$2:$E$1039, M883, $F$2:$F$1039, TRUE)</f>
        <v>0</v>
      </c>
      <c r="O883" s="98"/>
      <c r="P883" s="98"/>
      <c r="Q883" s="98"/>
    </row>
    <row r="884">
      <c r="A884" s="96" t="s">
        <v>498</v>
      </c>
      <c r="B884" s="97" t="s">
        <v>2918</v>
      </c>
      <c r="C884" s="97" t="s">
        <v>2919</v>
      </c>
      <c r="D884" s="97" t="s">
        <v>658</v>
      </c>
      <c r="E884" s="97" t="s">
        <v>789</v>
      </c>
      <c r="F884" s="97" t="b">
        <v>1</v>
      </c>
      <c r="G884" s="97" t="b">
        <v>1</v>
      </c>
      <c r="H884" s="98">
        <f>IF(A884:A2055="", "", COUNTIF(Check!H:H, A883:A2055))</f>
        <v>1</v>
      </c>
      <c r="I884" s="98"/>
      <c r="J884" s="98"/>
      <c r="K884" s="102"/>
      <c r="L884" s="102"/>
      <c r="M884" s="100"/>
      <c r="N884" s="101"/>
      <c r="O884" s="98"/>
      <c r="P884" s="98"/>
      <c r="Q884" s="98"/>
    </row>
    <row r="885">
      <c r="A885" s="96" t="s">
        <v>2920</v>
      </c>
      <c r="B885" s="97" t="s">
        <v>2921</v>
      </c>
      <c r="C885" s="97" t="s">
        <v>2922</v>
      </c>
      <c r="D885" s="97" t="s">
        <v>942</v>
      </c>
      <c r="E885" s="97" t="s">
        <v>789</v>
      </c>
      <c r="F885" s="97" t="b">
        <v>0</v>
      </c>
      <c r="G885" s="97" t="b">
        <v>0</v>
      </c>
      <c r="H885" s="98"/>
      <c r="I885" s="98"/>
      <c r="J885" s="98"/>
      <c r="K885" s="102"/>
      <c r="L885" s="102"/>
      <c r="M885" s="100"/>
      <c r="N885" s="101"/>
      <c r="O885" s="98"/>
      <c r="P885" s="98"/>
      <c r="Q885" s="98"/>
    </row>
    <row r="886">
      <c r="A886" s="96" t="s">
        <v>343</v>
      </c>
      <c r="B886" s="97" t="s">
        <v>2923</v>
      </c>
      <c r="C886" s="97" t="s">
        <v>2924</v>
      </c>
      <c r="D886" s="97" t="s">
        <v>1169</v>
      </c>
      <c r="E886" s="97" t="s">
        <v>767</v>
      </c>
      <c r="F886" s="97" t="b">
        <v>1</v>
      </c>
      <c r="G886" s="97" t="b">
        <v>1</v>
      </c>
      <c r="H886" s="98">
        <f>IF(A886:A2055="", "", COUNTIF(Check!H:H, A885:A2055))</f>
        <v>1</v>
      </c>
      <c r="I886" s="98"/>
      <c r="J886" s="98"/>
      <c r="K886" s="99"/>
      <c r="L886" s="99"/>
      <c r="M886" s="102"/>
      <c r="N886" s="102"/>
      <c r="O886" s="98"/>
      <c r="P886" s="98"/>
      <c r="Q886" s="98"/>
    </row>
    <row r="887">
      <c r="A887" s="96" t="s">
        <v>2925</v>
      </c>
      <c r="B887" s="97" t="s">
        <v>2926</v>
      </c>
      <c r="C887" s="97" t="s">
        <v>2927</v>
      </c>
      <c r="D887" s="97" t="s">
        <v>704</v>
      </c>
      <c r="E887" s="97" t="s">
        <v>1050</v>
      </c>
      <c r="F887" s="97" t="b">
        <v>0</v>
      </c>
      <c r="G887" s="97" t="b">
        <v>0</v>
      </c>
      <c r="H887" s="98"/>
      <c r="I887" s="98"/>
      <c r="J887" s="98"/>
      <c r="K887" s="108" t="s">
        <v>2043</v>
      </c>
      <c r="L887" s="110">
        <f>COUNTIFS($D$2:$D$1039, K887, $F$2:$F$1039, TRUE)</f>
        <v>0</v>
      </c>
      <c r="M887" s="100" t="s">
        <v>620</v>
      </c>
      <c r="N887" s="101">
        <f>COUNTIFS($E$2:$E$1039, M887, $F$2:$F$1039, TRUE)</f>
        <v>13</v>
      </c>
      <c r="O887" s="98"/>
      <c r="P887" s="98"/>
      <c r="Q887" s="98"/>
    </row>
    <row r="888">
      <c r="A888" s="96" t="s">
        <v>25</v>
      </c>
      <c r="B888" s="97" t="s">
        <v>2928</v>
      </c>
      <c r="C888" s="97" t="s">
        <v>2929</v>
      </c>
      <c r="D888" s="97" t="s">
        <v>1114</v>
      </c>
      <c r="E888" s="97" t="s">
        <v>711</v>
      </c>
      <c r="F888" s="97" t="b">
        <v>1</v>
      </c>
      <c r="G888" s="97" t="b">
        <v>1</v>
      </c>
      <c r="H888" s="98">
        <f>IF(A888:A2055="", "", COUNTIF(Check!H:H, A887:A2055))</f>
        <v>2</v>
      </c>
      <c r="I888" s="98"/>
      <c r="J888" s="98"/>
      <c r="K888" s="99"/>
      <c r="L888" s="99"/>
      <c r="M888" s="102"/>
      <c r="N888" s="102"/>
      <c r="O888" s="98"/>
      <c r="P888" s="98"/>
      <c r="Q888" s="98"/>
    </row>
    <row r="889">
      <c r="A889" s="96" t="s">
        <v>2930</v>
      </c>
      <c r="B889" s="97" t="s">
        <v>2931</v>
      </c>
      <c r="C889" s="97" t="s">
        <v>2932</v>
      </c>
      <c r="D889" s="97" t="s">
        <v>814</v>
      </c>
      <c r="E889" s="97" t="s">
        <v>663</v>
      </c>
      <c r="F889" s="97" t="b">
        <v>0</v>
      </c>
      <c r="G889" s="97" t="b">
        <v>0</v>
      </c>
      <c r="H889" s="98"/>
      <c r="I889" s="98"/>
      <c r="J889" s="98"/>
      <c r="K889" s="100"/>
      <c r="L889" s="101"/>
      <c r="M889" s="103"/>
      <c r="N889" s="104"/>
      <c r="O889" s="105"/>
      <c r="P889" s="105"/>
      <c r="Q889" s="98"/>
    </row>
    <row r="890">
      <c r="A890" s="96" t="s">
        <v>2933</v>
      </c>
      <c r="B890" s="97" t="s">
        <v>2934</v>
      </c>
      <c r="C890" s="97" t="s">
        <v>2935</v>
      </c>
      <c r="D890" s="97" t="s">
        <v>717</v>
      </c>
      <c r="E890" s="97" t="s">
        <v>1552</v>
      </c>
      <c r="F890" s="97" t="b">
        <v>0</v>
      </c>
      <c r="G890" s="97" t="b">
        <v>0</v>
      </c>
      <c r="H890" s="98"/>
      <c r="I890" s="98"/>
      <c r="J890" s="98"/>
      <c r="K890" s="99"/>
      <c r="L890" s="99"/>
      <c r="M890" s="102"/>
      <c r="N890" s="102"/>
      <c r="O890" s="98"/>
      <c r="P890" s="98"/>
      <c r="Q890" s="98"/>
    </row>
    <row r="891">
      <c r="A891" s="96" t="s">
        <v>180</v>
      </c>
      <c r="B891" s="97" t="s">
        <v>2936</v>
      </c>
      <c r="C891" s="97" t="s">
        <v>2937</v>
      </c>
      <c r="D891" s="97" t="s">
        <v>964</v>
      </c>
      <c r="E891" s="97" t="s">
        <v>761</v>
      </c>
      <c r="F891" s="97" t="b">
        <v>1</v>
      </c>
      <c r="G891" s="97" t="b">
        <v>1</v>
      </c>
      <c r="H891" s="98">
        <f>IF(A891:A2055="", "", COUNTIF(Check!H:H, A890:A2055))</f>
        <v>1</v>
      </c>
      <c r="I891" s="98"/>
      <c r="J891" s="98"/>
      <c r="K891" s="99"/>
      <c r="L891" s="99"/>
      <c r="M891" s="103"/>
      <c r="N891" s="104"/>
      <c r="O891" s="105"/>
      <c r="P891" s="105"/>
      <c r="Q891" s="98"/>
    </row>
    <row r="892">
      <c r="A892" s="96" t="s">
        <v>370</v>
      </c>
      <c r="B892" s="97" t="s">
        <v>2938</v>
      </c>
      <c r="C892" s="97" t="s">
        <v>2939</v>
      </c>
      <c r="D892" s="97" t="s">
        <v>1451</v>
      </c>
      <c r="E892" s="97" t="s">
        <v>659</v>
      </c>
      <c r="F892" s="97" t="b">
        <v>1</v>
      </c>
      <c r="G892" s="97" t="b">
        <v>1</v>
      </c>
      <c r="H892" s="98">
        <f>IF(A892:A2055="", "", COUNTIF(Check!H:H, A891:A2055))</f>
        <v>1</v>
      </c>
      <c r="I892" s="98"/>
      <c r="J892" s="98"/>
      <c r="K892" s="99"/>
      <c r="L892" s="99"/>
      <c r="M892" s="102"/>
      <c r="N892" s="102"/>
      <c r="O892" s="98"/>
      <c r="P892" s="98"/>
      <c r="Q892" s="98"/>
    </row>
    <row r="893">
      <c r="A893" s="96" t="s">
        <v>365</v>
      </c>
      <c r="B893" s="97" t="s">
        <v>2940</v>
      </c>
      <c r="C893" s="97" t="s">
        <v>2941</v>
      </c>
      <c r="D893" s="97" t="s">
        <v>732</v>
      </c>
      <c r="E893" s="97" t="s">
        <v>611</v>
      </c>
      <c r="F893" s="97" t="b">
        <v>0</v>
      </c>
      <c r="G893" s="97" t="b">
        <v>0</v>
      </c>
      <c r="H893" s="98"/>
      <c r="I893" s="98"/>
      <c r="J893" s="98"/>
      <c r="K893" s="99"/>
      <c r="L893" s="99"/>
      <c r="M893" s="102"/>
      <c r="N893" s="102"/>
      <c r="O893" s="98"/>
      <c r="P893" s="98"/>
      <c r="Q893" s="98"/>
    </row>
    <row r="894">
      <c r="A894" s="96" t="s">
        <v>326</v>
      </c>
      <c r="B894" s="97" t="s">
        <v>2942</v>
      </c>
      <c r="C894" s="97" t="s">
        <v>2943</v>
      </c>
      <c r="D894" s="97" t="s">
        <v>1022</v>
      </c>
      <c r="E894" s="97" t="s">
        <v>830</v>
      </c>
      <c r="F894" s="97" t="b">
        <v>1</v>
      </c>
      <c r="G894" s="97" t="b">
        <v>1</v>
      </c>
      <c r="H894" s="98">
        <f>IF(A894:A2055="", "", COUNTIF(Check!H:H, A893:A2055))</f>
        <v>1</v>
      </c>
      <c r="I894" s="98"/>
      <c r="J894" s="98"/>
      <c r="K894" s="100"/>
      <c r="L894" s="107"/>
      <c r="M894" s="100"/>
      <c r="N894" s="101"/>
      <c r="O894" s="98"/>
      <c r="P894" s="98"/>
      <c r="Q894" s="98"/>
    </row>
    <row r="895">
      <c r="A895" s="96" t="s">
        <v>227</v>
      </c>
      <c r="B895" s="97" t="s">
        <v>2944</v>
      </c>
      <c r="C895" s="97" t="s">
        <v>2945</v>
      </c>
      <c r="D895" s="97" t="s">
        <v>1541</v>
      </c>
      <c r="E895" s="97" t="s">
        <v>685</v>
      </c>
      <c r="F895" s="97" t="b">
        <v>1</v>
      </c>
      <c r="G895" s="97" t="b">
        <v>1</v>
      </c>
      <c r="H895" s="98">
        <f>IF(A895:A2055="", "", COUNTIF(Check!H:H, A894:A2055))</f>
        <v>1</v>
      </c>
      <c r="I895" s="98"/>
      <c r="J895" s="98"/>
      <c r="K895" s="99"/>
      <c r="L895" s="99"/>
      <c r="M895" s="103"/>
      <c r="N895" s="104"/>
      <c r="O895" s="105"/>
      <c r="P895" s="105"/>
      <c r="Q895" s="98"/>
    </row>
    <row r="896">
      <c r="A896" s="96" t="s">
        <v>2946</v>
      </c>
      <c r="B896" s="97" t="s">
        <v>2947</v>
      </c>
      <c r="C896" s="97" t="s">
        <v>2948</v>
      </c>
      <c r="D896" s="97" t="s">
        <v>1177</v>
      </c>
      <c r="E896" s="97" t="s">
        <v>789</v>
      </c>
      <c r="F896" s="97" t="b">
        <v>0</v>
      </c>
      <c r="G896" s="97" t="b">
        <v>0</v>
      </c>
      <c r="H896" s="98"/>
      <c r="I896" s="98"/>
      <c r="J896" s="98"/>
      <c r="K896" s="102"/>
      <c r="L896" s="102"/>
      <c r="M896" s="100"/>
      <c r="N896" s="101"/>
      <c r="O896" s="98"/>
      <c r="P896" s="98"/>
      <c r="Q896" s="98"/>
    </row>
    <row r="897">
      <c r="A897" s="96" t="s">
        <v>2949</v>
      </c>
      <c r="B897" s="97" t="s">
        <v>2950</v>
      </c>
      <c r="C897" s="97" t="s">
        <v>2951</v>
      </c>
      <c r="D897" s="97" t="s">
        <v>1191</v>
      </c>
      <c r="E897" s="97" t="s">
        <v>685</v>
      </c>
      <c r="F897" s="97" t="b">
        <v>0</v>
      </c>
      <c r="G897" s="97" t="b">
        <v>0</v>
      </c>
      <c r="H897" s="98"/>
      <c r="I897" s="98"/>
      <c r="J897" s="98"/>
      <c r="K897" s="108"/>
      <c r="L897" s="110"/>
      <c r="M897" s="102"/>
      <c r="N897" s="102"/>
      <c r="O897" s="98"/>
      <c r="P897" s="98"/>
      <c r="Q897" s="98"/>
    </row>
    <row r="898">
      <c r="A898" s="96" t="s">
        <v>181</v>
      </c>
      <c r="B898" s="97" t="s">
        <v>2952</v>
      </c>
      <c r="C898" s="97" t="s">
        <v>2953</v>
      </c>
      <c r="D898" s="97" t="s">
        <v>633</v>
      </c>
      <c r="E898" s="97" t="s">
        <v>620</v>
      </c>
      <c r="F898" s="97" t="b">
        <v>1</v>
      </c>
      <c r="G898" s="97" t="b">
        <v>1</v>
      </c>
      <c r="H898" s="98">
        <f>IF(A898:A2055="", "", COUNTIF(Check!H:H, A897:A2055))</f>
        <v>1</v>
      </c>
      <c r="I898" s="98"/>
      <c r="J898" s="98"/>
      <c r="K898" s="102"/>
      <c r="L898" s="102"/>
      <c r="M898" s="102"/>
      <c r="N898" s="102"/>
      <c r="O898" s="98"/>
      <c r="P898" s="98"/>
      <c r="Q898" s="98"/>
    </row>
    <row r="899">
      <c r="A899" s="96" t="s">
        <v>310</v>
      </c>
      <c r="B899" s="97" t="s">
        <v>2954</v>
      </c>
      <c r="C899" s="97" t="s">
        <v>2955</v>
      </c>
      <c r="D899" s="97" t="s">
        <v>681</v>
      </c>
      <c r="E899" s="97" t="s">
        <v>711</v>
      </c>
      <c r="F899" s="97" t="b">
        <v>1</v>
      </c>
      <c r="G899" s="97" t="b">
        <v>1</v>
      </c>
      <c r="H899" s="98">
        <f>IF(A899:A2055="", "", COUNTIF(Check!H:H, A898:A2055))</f>
        <v>1</v>
      </c>
      <c r="I899" s="98"/>
      <c r="J899" s="98"/>
      <c r="K899" s="99"/>
      <c r="L899" s="99"/>
      <c r="M899" s="102"/>
      <c r="N899" s="102"/>
      <c r="O899" s="98"/>
      <c r="P899" s="98"/>
      <c r="Q899" s="98"/>
    </row>
    <row r="900">
      <c r="A900" s="96" t="s">
        <v>2956</v>
      </c>
      <c r="B900" s="97" t="s">
        <v>2957</v>
      </c>
      <c r="C900" s="97" t="s">
        <v>2958</v>
      </c>
      <c r="D900" s="97" t="s">
        <v>643</v>
      </c>
      <c r="E900" s="97" t="s">
        <v>697</v>
      </c>
      <c r="F900" s="97" t="b">
        <v>0</v>
      </c>
      <c r="G900" s="97" t="b">
        <v>0</v>
      </c>
      <c r="H900" s="98"/>
      <c r="I900" s="98"/>
      <c r="J900" s="98"/>
      <c r="K900" s="108" t="s">
        <v>1910</v>
      </c>
      <c r="L900" s="109">
        <f>COUNTIFS($D$2:$D$1039, K900, $F$2:$F$1039, TRUE)</f>
        <v>0</v>
      </c>
      <c r="M900" s="100" t="s">
        <v>1447</v>
      </c>
      <c r="N900" s="101">
        <f>COUNTIFS($E$2:$E$1039, M900, $F$2:$F$1039, TRUE)</f>
        <v>0</v>
      </c>
      <c r="O900" s="98"/>
      <c r="P900" s="98"/>
      <c r="Q900" s="98"/>
    </row>
    <row r="901">
      <c r="A901" s="96" t="s">
        <v>2959</v>
      </c>
      <c r="B901" s="97" t="s">
        <v>2960</v>
      </c>
      <c r="C901" s="97" t="s">
        <v>2961</v>
      </c>
      <c r="D901" s="97" t="s">
        <v>1451</v>
      </c>
      <c r="E901" s="97" t="s">
        <v>1265</v>
      </c>
      <c r="F901" s="97" t="b">
        <v>0</v>
      </c>
      <c r="G901" s="97" t="b">
        <v>0</v>
      </c>
      <c r="H901" s="98"/>
      <c r="I901" s="98"/>
      <c r="J901" s="98"/>
      <c r="K901" s="100"/>
      <c r="L901" s="101"/>
      <c r="M901" s="102"/>
      <c r="N901" s="102"/>
      <c r="O901" s="98"/>
      <c r="P901" s="98"/>
      <c r="Q901" s="98"/>
    </row>
    <row r="902">
      <c r="A902" s="96" t="s">
        <v>2962</v>
      </c>
      <c r="B902" s="97" t="s">
        <v>2963</v>
      </c>
      <c r="C902" s="97" t="s">
        <v>2964</v>
      </c>
      <c r="D902" s="97" t="s">
        <v>681</v>
      </c>
      <c r="E902" s="97" t="s">
        <v>1696</v>
      </c>
      <c r="F902" s="97" t="b">
        <v>0</v>
      </c>
      <c r="G902" s="97" t="b">
        <v>0</v>
      </c>
      <c r="H902" s="98"/>
      <c r="I902" s="98"/>
      <c r="J902" s="98"/>
      <c r="K902" s="99"/>
      <c r="L902" s="99"/>
      <c r="M902" s="102"/>
      <c r="N902" s="102"/>
      <c r="O902" s="98"/>
      <c r="P902" s="98"/>
      <c r="Q902" s="98"/>
    </row>
    <row r="903">
      <c r="A903" s="96" t="s">
        <v>2965</v>
      </c>
      <c r="B903" s="97" t="s">
        <v>2966</v>
      </c>
      <c r="C903" s="97" t="s">
        <v>2967</v>
      </c>
      <c r="D903" s="97" t="s">
        <v>619</v>
      </c>
      <c r="E903" s="97" t="s">
        <v>620</v>
      </c>
      <c r="F903" s="97" t="b">
        <v>0</v>
      </c>
      <c r="G903" s="97" t="b">
        <v>0</v>
      </c>
      <c r="H903" s="98"/>
      <c r="I903" s="98"/>
      <c r="J903" s="98"/>
      <c r="K903" s="102"/>
      <c r="L903" s="102"/>
      <c r="M903" s="102"/>
      <c r="N903" s="102"/>
      <c r="O903" s="98"/>
      <c r="P903" s="98"/>
      <c r="Q903" s="98"/>
    </row>
    <row r="904">
      <c r="A904" s="96" t="s">
        <v>568</v>
      </c>
      <c r="B904" s="97" t="s">
        <v>2968</v>
      </c>
      <c r="C904" s="97" t="s">
        <v>2969</v>
      </c>
      <c r="D904" s="97" t="s">
        <v>1582</v>
      </c>
      <c r="E904" s="97" t="s">
        <v>1363</v>
      </c>
      <c r="F904" s="97" t="b">
        <v>0</v>
      </c>
      <c r="G904" s="97" t="b">
        <v>0</v>
      </c>
      <c r="H904" s="98"/>
      <c r="I904" s="98"/>
      <c r="J904" s="98"/>
      <c r="K904" s="99"/>
      <c r="L904" s="99"/>
      <c r="M904" s="102"/>
      <c r="N904" s="102"/>
      <c r="O904" s="98"/>
      <c r="P904" s="98"/>
      <c r="Q904" s="98"/>
    </row>
    <row r="905">
      <c r="A905" s="96" t="s">
        <v>394</v>
      </c>
      <c r="B905" s="97" t="s">
        <v>2970</v>
      </c>
      <c r="C905" s="97" t="s">
        <v>2971</v>
      </c>
      <c r="D905" s="97" t="s">
        <v>964</v>
      </c>
      <c r="E905" s="97" t="s">
        <v>1050</v>
      </c>
      <c r="F905" s="97" t="b">
        <v>1</v>
      </c>
      <c r="G905" s="97" t="b">
        <v>1</v>
      </c>
      <c r="H905" s="98">
        <f>IF(A905:A2055="", "", COUNTIF(Check!H:H, A904:A2055))</f>
        <v>1</v>
      </c>
      <c r="I905" s="98"/>
      <c r="J905" s="98"/>
      <c r="K905" s="108" t="s">
        <v>1451</v>
      </c>
      <c r="L905" s="110">
        <f>COUNTIFS($D$2:$D$1039, K905, $F$2:$F$1039, TRUE)</f>
        <v>2</v>
      </c>
      <c r="M905" s="100" t="s">
        <v>921</v>
      </c>
      <c r="N905" s="101">
        <f>COUNTIFS($E$2:$E$1039, M905, $F$2:$F$1039, TRUE)</f>
        <v>7</v>
      </c>
      <c r="O905" s="106"/>
      <c r="P905" s="106"/>
      <c r="Q905" s="98"/>
    </row>
    <row r="906">
      <c r="A906" s="96" t="s">
        <v>2972</v>
      </c>
      <c r="B906" s="97" t="s">
        <v>2970</v>
      </c>
      <c r="C906" s="97" t="s">
        <v>2973</v>
      </c>
      <c r="D906" s="97" t="s">
        <v>1451</v>
      </c>
      <c r="E906" s="97" t="s">
        <v>1265</v>
      </c>
      <c r="F906" s="97" t="b">
        <v>0</v>
      </c>
      <c r="G906" s="97" t="b">
        <v>0</v>
      </c>
      <c r="H906" s="98"/>
      <c r="I906" s="98"/>
      <c r="J906" s="98"/>
      <c r="K906" s="100"/>
      <c r="L906" s="101"/>
      <c r="M906" s="108"/>
      <c r="N906" s="109"/>
      <c r="O906" s="98"/>
      <c r="P906" s="98"/>
      <c r="Q906" s="98"/>
    </row>
    <row r="907">
      <c r="A907" s="96" t="s">
        <v>455</v>
      </c>
      <c r="B907" s="97" t="s">
        <v>2970</v>
      </c>
      <c r="C907" s="97" t="s">
        <v>2974</v>
      </c>
      <c r="D907" s="97" t="s">
        <v>726</v>
      </c>
      <c r="E907" s="97" t="s">
        <v>932</v>
      </c>
      <c r="F907" s="97" t="b">
        <v>1</v>
      </c>
      <c r="G907" s="97" t="b">
        <v>1</v>
      </c>
      <c r="H907" s="98">
        <f>IF(A907:A2055="", "", COUNTIF(Check!H:H, A906:A2055))</f>
        <v>1</v>
      </c>
      <c r="I907" s="98"/>
      <c r="J907" s="98"/>
      <c r="K907" s="99"/>
      <c r="L907" s="99"/>
      <c r="M907" s="102"/>
      <c r="N907" s="102"/>
      <c r="O907" s="98"/>
      <c r="P907" s="98"/>
      <c r="Q907" s="98"/>
    </row>
    <row r="908">
      <c r="A908" s="96" t="s">
        <v>2975</v>
      </c>
      <c r="B908" s="97" t="s">
        <v>2970</v>
      </c>
      <c r="C908" s="97" t="s">
        <v>2976</v>
      </c>
      <c r="D908" s="97" t="s">
        <v>1169</v>
      </c>
      <c r="E908" s="97" t="s">
        <v>620</v>
      </c>
      <c r="F908" s="97" t="b">
        <v>0</v>
      </c>
      <c r="G908" s="97" t="b">
        <v>0</v>
      </c>
      <c r="H908" s="98"/>
      <c r="I908" s="98"/>
      <c r="J908" s="98"/>
      <c r="K908" s="102"/>
      <c r="L908" s="102"/>
      <c r="M908" s="102"/>
      <c r="N908" s="102"/>
      <c r="O908" s="98"/>
      <c r="P908" s="98"/>
      <c r="Q908" s="98"/>
    </row>
    <row r="909">
      <c r="A909" s="96" t="s">
        <v>592</v>
      </c>
      <c r="B909" s="97" t="s">
        <v>591</v>
      </c>
      <c r="C909" s="97" t="s">
        <v>593</v>
      </c>
      <c r="D909" s="97" t="s">
        <v>1099</v>
      </c>
      <c r="E909" s="97" t="s">
        <v>586</v>
      </c>
      <c r="F909" s="97" t="b">
        <v>1</v>
      </c>
      <c r="G909" s="97" t="b">
        <v>1</v>
      </c>
      <c r="H909" s="98">
        <f>IF(A909:A2055="", "", COUNTIF(Check!H:H, A908:A2055))</f>
        <v>1</v>
      </c>
      <c r="I909" s="98"/>
      <c r="J909" s="98"/>
      <c r="K909" s="99"/>
      <c r="L909" s="99"/>
      <c r="M909" s="102"/>
      <c r="N909" s="102"/>
      <c r="O909" s="98"/>
      <c r="P909" s="98"/>
      <c r="Q909" s="98"/>
    </row>
    <row r="910">
      <c r="A910" s="96" t="s">
        <v>503</v>
      </c>
      <c r="B910" s="97" t="s">
        <v>591</v>
      </c>
      <c r="C910" s="97" t="s">
        <v>2977</v>
      </c>
      <c r="D910" s="97" t="s">
        <v>633</v>
      </c>
      <c r="E910" s="97" t="s">
        <v>607</v>
      </c>
      <c r="F910" s="97" t="b">
        <v>1</v>
      </c>
      <c r="G910" s="97" t="b">
        <v>1</v>
      </c>
      <c r="H910" s="98">
        <f>IF(A910:A2055="", "", COUNTIF(Check!H:H, A909:A2055))</f>
        <v>1</v>
      </c>
      <c r="I910" s="98"/>
      <c r="J910" s="98"/>
      <c r="K910" s="99"/>
      <c r="L910" s="99"/>
      <c r="M910" s="102"/>
      <c r="N910" s="102"/>
      <c r="O910" s="98"/>
      <c r="P910" s="98"/>
      <c r="Q910" s="98"/>
    </row>
    <row r="911">
      <c r="A911" s="96" t="s">
        <v>385</v>
      </c>
      <c r="B911" s="97" t="s">
        <v>2978</v>
      </c>
      <c r="C911" s="97" t="s">
        <v>2979</v>
      </c>
      <c r="D911" s="97" t="s">
        <v>1479</v>
      </c>
      <c r="E911" s="97" t="s">
        <v>616</v>
      </c>
      <c r="F911" s="97" t="b">
        <v>1</v>
      </c>
      <c r="G911" s="97" t="b">
        <v>1</v>
      </c>
      <c r="H911" s="98">
        <f>IF(A911:A2055="", "", COUNTIF(Check!H:H, A910:A2055))</f>
        <v>1</v>
      </c>
      <c r="I911" s="98"/>
      <c r="J911" s="98"/>
      <c r="K911" s="99"/>
      <c r="L911" s="99"/>
      <c r="M911" s="100"/>
      <c r="N911" s="101"/>
      <c r="O911" s="98"/>
      <c r="P911" s="98"/>
      <c r="Q911" s="106"/>
    </row>
    <row r="912">
      <c r="A912" s="96" t="s">
        <v>354</v>
      </c>
      <c r="B912" s="97" t="s">
        <v>2978</v>
      </c>
      <c r="C912" s="97" t="s">
        <v>2980</v>
      </c>
      <c r="D912" s="97" t="s">
        <v>847</v>
      </c>
      <c r="E912" s="97" t="s">
        <v>582</v>
      </c>
      <c r="F912" s="97" t="b">
        <v>1</v>
      </c>
      <c r="G912" s="97" t="b">
        <v>1</v>
      </c>
      <c r="H912" s="98">
        <f>IF(A912:A2055="", "", COUNTIF(Check!H:H, A911:A2055))</f>
        <v>1</v>
      </c>
      <c r="I912" s="98"/>
      <c r="J912" s="98"/>
      <c r="K912" s="99"/>
      <c r="L912" s="99"/>
      <c r="M912" s="102"/>
      <c r="N912" s="102"/>
      <c r="O912" s="98"/>
      <c r="P912" s="98"/>
      <c r="Q912" s="98"/>
    </row>
    <row r="913">
      <c r="A913" s="96" t="s">
        <v>2981</v>
      </c>
      <c r="B913" s="97" t="s">
        <v>2982</v>
      </c>
      <c r="C913" s="97" t="s">
        <v>2983</v>
      </c>
      <c r="D913" s="97" t="s">
        <v>1089</v>
      </c>
      <c r="E913" s="97" t="s">
        <v>1051</v>
      </c>
      <c r="F913" s="97" t="b">
        <v>0</v>
      </c>
      <c r="G913" s="97" t="b">
        <v>0</v>
      </c>
      <c r="H913" s="98"/>
      <c r="I913" s="98"/>
      <c r="J913" s="98"/>
      <c r="K913" s="99"/>
      <c r="L913" s="99"/>
      <c r="M913" s="102"/>
      <c r="N913" s="102"/>
      <c r="O913" s="98"/>
      <c r="P913" s="98"/>
      <c r="Q913" s="98"/>
    </row>
    <row r="914">
      <c r="A914" s="96" t="s">
        <v>2984</v>
      </c>
      <c r="B914" s="97" t="s">
        <v>2985</v>
      </c>
      <c r="C914" s="97" t="s">
        <v>2986</v>
      </c>
      <c r="D914" s="97" t="s">
        <v>643</v>
      </c>
      <c r="E914" s="97" t="s">
        <v>932</v>
      </c>
      <c r="F914" s="97" t="b">
        <v>0</v>
      </c>
      <c r="G914" s="97" t="b">
        <v>0</v>
      </c>
      <c r="H914" s="98"/>
      <c r="I914" s="98"/>
      <c r="J914" s="98"/>
      <c r="K914" s="99"/>
      <c r="L914" s="99"/>
      <c r="M914" s="102"/>
      <c r="N914" s="102"/>
      <c r="O914" s="98"/>
      <c r="P914" s="98"/>
      <c r="Q914" s="98"/>
    </row>
    <row r="915">
      <c r="A915" s="96" t="s">
        <v>2987</v>
      </c>
      <c r="B915" s="97" t="s">
        <v>2988</v>
      </c>
      <c r="C915" s="97" t="s">
        <v>2989</v>
      </c>
      <c r="D915" s="97" t="s">
        <v>1500</v>
      </c>
      <c r="E915" s="97" t="s">
        <v>1134</v>
      </c>
      <c r="F915" s="97" t="b">
        <v>0</v>
      </c>
      <c r="G915" s="97" t="b">
        <v>0</v>
      </c>
      <c r="H915" s="98"/>
      <c r="I915" s="98"/>
      <c r="J915" s="98"/>
      <c r="K915" s="99"/>
      <c r="L915" s="99"/>
      <c r="M915" s="102"/>
      <c r="N915" s="102"/>
      <c r="O915" s="98"/>
      <c r="P915" s="98"/>
      <c r="Q915" s="98"/>
    </row>
    <row r="916">
      <c r="A916" s="96" t="s">
        <v>445</v>
      </c>
      <c r="B916" s="97" t="s">
        <v>2990</v>
      </c>
      <c r="C916" s="97" t="s">
        <v>2991</v>
      </c>
      <c r="D916" s="97" t="s">
        <v>648</v>
      </c>
      <c r="E916" s="97" t="s">
        <v>649</v>
      </c>
      <c r="F916" s="97" t="b">
        <v>1</v>
      </c>
      <c r="G916" s="97" t="b">
        <v>1</v>
      </c>
      <c r="H916" s="98">
        <f>IF(A916:A2055="", "", COUNTIF(Check!H:H, A915:A2055))</f>
        <v>1</v>
      </c>
      <c r="I916" s="98"/>
      <c r="J916" s="98"/>
      <c r="K916" s="100" t="s">
        <v>773</v>
      </c>
      <c r="L916" s="101">
        <f t="shared" ref="L916:L917" si="15">COUNTIFS($D$2:$D$1039, K916, $F$2:$F$1039, TRUE)</f>
        <v>7</v>
      </c>
      <c r="M916" s="100" t="s">
        <v>1146</v>
      </c>
      <c r="N916" s="101">
        <f t="shared" ref="N916:N917" si="16">COUNTIFS($E$2:$E$1039, M916, $F$2:$F$1039, TRUE)</f>
        <v>0</v>
      </c>
      <c r="O916" s="98"/>
      <c r="P916" s="98"/>
      <c r="Q916" s="98"/>
    </row>
    <row r="917">
      <c r="A917" s="96" t="s">
        <v>549</v>
      </c>
      <c r="B917" s="97" t="s">
        <v>2992</v>
      </c>
      <c r="C917" s="97" t="s">
        <v>2993</v>
      </c>
      <c r="D917" s="97" t="s">
        <v>847</v>
      </c>
      <c r="E917" s="97" t="s">
        <v>697</v>
      </c>
      <c r="F917" s="97" t="b">
        <v>1</v>
      </c>
      <c r="G917" s="97" t="b">
        <v>1</v>
      </c>
      <c r="H917" s="98">
        <f>IF(A917:A2055="", "", COUNTIF(Check!H:H, A916:A2055))</f>
        <v>1</v>
      </c>
      <c r="I917" s="98"/>
      <c r="J917" s="98"/>
      <c r="K917" s="100" t="s">
        <v>894</v>
      </c>
      <c r="L917" s="107">
        <f t="shared" si="15"/>
        <v>3</v>
      </c>
      <c r="M917" s="100" t="s">
        <v>1321</v>
      </c>
      <c r="N917" s="101">
        <f t="shared" si="16"/>
        <v>0</v>
      </c>
      <c r="O917" s="98"/>
      <c r="P917" s="98"/>
      <c r="Q917" s="98"/>
    </row>
    <row r="918">
      <c r="A918" s="96" t="s">
        <v>147</v>
      </c>
      <c r="B918" s="97" t="s">
        <v>2994</v>
      </c>
      <c r="C918" s="97" t="s">
        <v>2995</v>
      </c>
      <c r="D918" s="97" t="s">
        <v>610</v>
      </c>
      <c r="E918" s="97" t="s">
        <v>611</v>
      </c>
      <c r="F918" s="97" t="b">
        <v>1</v>
      </c>
      <c r="G918" s="97" t="b">
        <v>1</v>
      </c>
      <c r="H918" s="98">
        <f>IF(A918:A2055="", "", COUNTIF(Check!H:H, A917:A2055))</f>
        <v>1</v>
      </c>
      <c r="I918" s="98"/>
      <c r="J918" s="98"/>
      <c r="K918" s="99"/>
      <c r="L918" s="99"/>
      <c r="M918" s="102"/>
      <c r="N918" s="102"/>
      <c r="O918" s="98"/>
      <c r="P918" s="98"/>
      <c r="Q918" s="98"/>
    </row>
    <row r="919">
      <c r="A919" s="96" t="s">
        <v>2996</v>
      </c>
      <c r="B919" s="97" t="s">
        <v>2997</v>
      </c>
      <c r="C919" s="97" t="s">
        <v>2998</v>
      </c>
      <c r="D919" s="97" t="s">
        <v>732</v>
      </c>
      <c r="E919" s="97" t="s">
        <v>644</v>
      </c>
      <c r="F919" s="97" t="b">
        <v>0</v>
      </c>
      <c r="G919" s="97" t="b">
        <v>0</v>
      </c>
      <c r="H919" s="98"/>
      <c r="I919" s="98"/>
      <c r="J919" s="98"/>
      <c r="K919" s="99"/>
      <c r="L919" s="99"/>
      <c r="M919" s="102"/>
      <c r="N919" s="102"/>
      <c r="O919" s="98"/>
      <c r="P919" s="98"/>
      <c r="Q919" s="98"/>
    </row>
    <row r="920">
      <c r="A920" s="96" t="s">
        <v>246</v>
      </c>
      <c r="B920" s="97" t="s">
        <v>2999</v>
      </c>
      <c r="C920" s="97" t="s">
        <v>3000</v>
      </c>
      <c r="D920" s="97" t="s">
        <v>658</v>
      </c>
      <c r="E920" s="97" t="s">
        <v>611</v>
      </c>
      <c r="F920" s="97" t="b">
        <v>1</v>
      </c>
      <c r="G920" s="97" t="b">
        <v>1</v>
      </c>
      <c r="H920" s="98">
        <f>IF(A920:A2055="", "", COUNTIF(Check!H:H, A919:A2055))</f>
        <v>1</v>
      </c>
      <c r="I920" s="98"/>
      <c r="J920" s="98"/>
      <c r="K920" s="99"/>
      <c r="L920" s="99"/>
      <c r="M920" s="102"/>
      <c r="N920" s="102"/>
      <c r="O920" s="98"/>
      <c r="P920" s="98"/>
      <c r="Q920" s="98"/>
    </row>
    <row r="921">
      <c r="A921" s="96" t="s">
        <v>528</v>
      </c>
      <c r="B921" s="97" t="s">
        <v>3001</v>
      </c>
      <c r="C921" s="97" t="s">
        <v>3002</v>
      </c>
      <c r="D921" s="97" t="s">
        <v>781</v>
      </c>
      <c r="E921" s="97" t="s">
        <v>582</v>
      </c>
      <c r="F921" s="97" t="b">
        <v>1</v>
      </c>
      <c r="G921" s="97" t="b">
        <v>1</v>
      </c>
      <c r="H921" s="98">
        <f>IF(A921:A2055="", "", COUNTIF(Check!H:H, A920:A2055))</f>
        <v>1</v>
      </c>
      <c r="I921" s="98"/>
      <c r="J921" s="98"/>
      <c r="K921" s="99"/>
      <c r="L921" s="99"/>
      <c r="M921" s="100"/>
      <c r="N921" s="101"/>
      <c r="O921" s="98"/>
      <c r="P921" s="98"/>
      <c r="Q921" s="98"/>
    </row>
    <row r="922">
      <c r="A922" s="96" t="s">
        <v>346</v>
      </c>
      <c r="B922" s="97" t="s">
        <v>3003</v>
      </c>
      <c r="C922" s="97" t="s">
        <v>3004</v>
      </c>
      <c r="D922" s="97" t="s">
        <v>1230</v>
      </c>
      <c r="E922" s="97" t="s">
        <v>663</v>
      </c>
      <c r="F922" s="97" t="b">
        <v>0</v>
      </c>
      <c r="G922" s="97" t="b">
        <v>0</v>
      </c>
      <c r="H922" s="98"/>
      <c r="I922" s="98"/>
      <c r="J922" s="98"/>
      <c r="K922" s="100"/>
      <c r="L922" s="101"/>
      <c r="M922" s="102"/>
      <c r="N922" s="102"/>
      <c r="O922" s="98"/>
      <c r="P922" s="98"/>
      <c r="Q922" s="98"/>
    </row>
    <row r="923">
      <c r="A923" s="96" t="s">
        <v>557</v>
      </c>
      <c r="B923" s="97" t="s">
        <v>3005</v>
      </c>
      <c r="C923" s="97" t="s">
        <v>3006</v>
      </c>
      <c r="D923" s="97" t="s">
        <v>972</v>
      </c>
      <c r="E923" s="97" t="s">
        <v>688</v>
      </c>
      <c r="F923" s="97" t="b">
        <v>0</v>
      </c>
      <c r="G923" s="97" t="b">
        <v>0</v>
      </c>
      <c r="H923" s="98"/>
      <c r="I923" s="98"/>
      <c r="J923" s="98"/>
      <c r="K923" s="99"/>
      <c r="L923" s="99"/>
      <c r="M923" s="102"/>
      <c r="N923" s="102"/>
      <c r="O923" s="98"/>
      <c r="P923" s="98"/>
      <c r="Q923" s="98"/>
    </row>
    <row r="924">
      <c r="A924" s="96" t="s">
        <v>3007</v>
      </c>
      <c r="B924" s="97" t="s">
        <v>3008</v>
      </c>
      <c r="C924" s="97" t="s">
        <v>3009</v>
      </c>
      <c r="D924" s="97" t="s">
        <v>619</v>
      </c>
      <c r="E924" s="97" t="s">
        <v>663</v>
      </c>
      <c r="F924" s="97" t="b">
        <v>0</v>
      </c>
      <c r="G924" s="97" t="b">
        <v>0</v>
      </c>
      <c r="H924" s="98"/>
      <c r="I924" s="98"/>
      <c r="J924" s="98"/>
      <c r="K924" s="100"/>
      <c r="L924" s="101"/>
      <c r="M924" s="100"/>
      <c r="N924" s="101"/>
      <c r="O924" s="98"/>
      <c r="P924" s="98"/>
      <c r="Q924" s="98"/>
    </row>
    <row r="925">
      <c r="A925" s="96" t="s">
        <v>187</v>
      </c>
      <c r="B925" s="97" t="s">
        <v>3010</v>
      </c>
      <c r="C925" s="97" t="s">
        <v>3011</v>
      </c>
      <c r="D925" s="97" t="s">
        <v>1479</v>
      </c>
      <c r="E925" s="97" t="s">
        <v>761</v>
      </c>
      <c r="F925" s="97" t="b">
        <v>1</v>
      </c>
      <c r="G925" s="97" t="b">
        <v>1</v>
      </c>
      <c r="H925" s="98">
        <f>IF(A925:A2055="", "", COUNTIF(Check!H:H, A924:A2055))</f>
        <v>1</v>
      </c>
      <c r="I925" s="98"/>
      <c r="J925" s="98"/>
      <c r="K925" s="100"/>
      <c r="L925" s="107"/>
      <c r="M925" s="102"/>
      <c r="N925" s="102"/>
      <c r="O925" s="98"/>
      <c r="P925" s="98"/>
      <c r="Q925" s="98"/>
    </row>
    <row r="926">
      <c r="A926" s="96" t="s">
        <v>446</v>
      </c>
      <c r="B926" s="97" t="s">
        <v>3012</v>
      </c>
      <c r="C926" s="97" t="s">
        <v>3013</v>
      </c>
      <c r="D926" s="97" t="s">
        <v>1615</v>
      </c>
      <c r="E926" s="97" t="s">
        <v>649</v>
      </c>
      <c r="F926" s="97" t="b">
        <v>1</v>
      </c>
      <c r="G926" s="97" t="b">
        <v>1</v>
      </c>
      <c r="H926" s="98">
        <f>IF(A926:A2055="", "", COUNTIF(Check!H:H, A925:A2055))</f>
        <v>1</v>
      </c>
      <c r="I926" s="98"/>
      <c r="J926" s="98"/>
      <c r="K926" s="100" t="s">
        <v>904</v>
      </c>
      <c r="L926" s="107">
        <f>COUNTIFS($D$2:$D$1039, K926, $F$2:$F$1039, TRUE)</f>
        <v>3</v>
      </c>
      <c r="M926" s="100" t="s">
        <v>891</v>
      </c>
      <c r="N926" s="101">
        <f>COUNTIFS($E$2:$E$1039, M926, $F$2:$F$1039, TRUE)</f>
        <v>0</v>
      </c>
      <c r="O926" s="98"/>
      <c r="P926" s="98"/>
      <c r="Q926" s="98"/>
    </row>
    <row r="927">
      <c r="A927" s="96" t="s">
        <v>157</v>
      </c>
      <c r="B927" s="97" t="s">
        <v>3014</v>
      </c>
      <c r="C927" s="97" t="s">
        <v>3015</v>
      </c>
      <c r="D927" s="97" t="s">
        <v>1177</v>
      </c>
      <c r="E927" s="97" t="s">
        <v>733</v>
      </c>
      <c r="F927" s="97" t="b">
        <v>1</v>
      </c>
      <c r="G927" s="97" t="b">
        <v>1</v>
      </c>
      <c r="H927" s="98">
        <f>IF(A927:A2055="", "", COUNTIF(Check!H:H, A926:A2055))</f>
        <v>1</v>
      </c>
      <c r="I927" s="98"/>
      <c r="J927" s="98"/>
      <c r="K927" s="100"/>
      <c r="L927" s="101"/>
      <c r="M927" s="108"/>
      <c r="N927" s="109"/>
      <c r="O927" s="98"/>
      <c r="P927" s="98"/>
      <c r="Q927" s="98"/>
    </row>
    <row r="928">
      <c r="A928" s="96" t="s">
        <v>425</v>
      </c>
      <c r="B928" s="97" t="s">
        <v>3016</v>
      </c>
      <c r="C928" s="97" t="s">
        <v>3017</v>
      </c>
      <c r="D928" s="97" t="s">
        <v>717</v>
      </c>
      <c r="E928" s="97" t="s">
        <v>1854</v>
      </c>
      <c r="F928" s="97" t="b">
        <v>0</v>
      </c>
      <c r="G928" s="97" t="b">
        <v>0</v>
      </c>
      <c r="H928" s="111"/>
      <c r="I928" s="111"/>
      <c r="J928" s="111"/>
      <c r="K928" s="99"/>
      <c r="L928" s="99"/>
      <c r="M928" s="102"/>
      <c r="N928" s="102"/>
      <c r="O928" s="111"/>
      <c r="P928" s="111"/>
      <c r="Q928" s="98"/>
    </row>
    <row r="929">
      <c r="A929" s="96" t="s">
        <v>3018</v>
      </c>
      <c r="B929" s="97" t="s">
        <v>3019</v>
      </c>
      <c r="C929" s="97" t="s">
        <v>3020</v>
      </c>
      <c r="D929" s="97" t="s">
        <v>948</v>
      </c>
      <c r="E929" s="97" t="s">
        <v>1134</v>
      </c>
      <c r="F929" s="97" t="b">
        <v>0</v>
      </c>
      <c r="G929" s="97" t="b">
        <v>0</v>
      </c>
      <c r="H929" s="98"/>
      <c r="I929" s="98"/>
      <c r="J929" s="98"/>
      <c r="K929" s="99"/>
      <c r="L929" s="99"/>
      <c r="M929" s="102"/>
      <c r="N929" s="102"/>
      <c r="O929" s="98"/>
      <c r="P929" s="98"/>
      <c r="Q929" s="98"/>
    </row>
    <row r="930">
      <c r="A930" s="96" t="s">
        <v>3021</v>
      </c>
      <c r="B930" s="97" t="s">
        <v>3022</v>
      </c>
      <c r="C930" s="97" t="s">
        <v>3023</v>
      </c>
      <c r="D930" s="97" t="s">
        <v>955</v>
      </c>
      <c r="E930" s="97" t="s">
        <v>1244</v>
      </c>
      <c r="F930" s="97" t="b">
        <v>0</v>
      </c>
      <c r="G930" s="97" t="b">
        <v>0</v>
      </c>
      <c r="H930" s="98"/>
      <c r="I930" s="98"/>
      <c r="J930" s="98"/>
      <c r="K930" s="99"/>
      <c r="L930" s="99"/>
      <c r="M930" s="108"/>
      <c r="N930" s="109"/>
      <c r="O930" s="98"/>
      <c r="P930" s="98"/>
      <c r="Q930" s="98"/>
    </row>
    <row r="931">
      <c r="A931" s="96" t="s">
        <v>3024</v>
      </c>
      <c r="B931" s="97" t="s">
        <v>3025</v>
      </c>
      <c r="C931" s="97" t="s">
        <v>3026</v>
      </c>
      <c r="D931" s="97" t="s">
        <v>1012</v>
      </c>
      <c r="E931" s="97" t="s">
        <v>644</v>
      </c>
      <c r="F931" s="97" t="b">
        <v>0</v>
      </c>
      <c r="G931" s="97" t="b">
        <v>0</v>
      </c>
      <c r="H931" s="98"/>
      <c r="I931" s="98"/>
      <c r="J931" s="98"/>
      <c r="K931" s="99"/>
      <c r="L931" s="99"/>
      <c r="M931" s="102"/>
      <c r="N931" s="102"/>
      <c r="O931" s="98"/>
      <c r="P931" s="98"/>
      <c r="Q931" s="98"/>
    </row>
    <row r="932">
      <c r="A932" s="96" t="s">
        <v>250</v>
      </c>
      <c r="B932" s="97" t="s">
        <v>3027</v>
      </c>
      <c r="C932" s="97" t="s">
        <v>3028</v>
      </c>
      <c r="D932" s="97" t="s">
        <v>815</v>
      </c>
      <c r="E932" s="97" t="s">
        <v>659</v>
      </c>
      <c r="F932" s="97" t="b">
        <v>1</v>
      </c>
      <c r="G932" s="97" t="b">
        <v>1</v>
      </c>
      <c r="H932" s="98">
        <f>IF(A932:A2055="", "", COUNTIF(Check!H:H, A931:A2055))</f>
        <v>1</v>
      </c>
      <c r="I932" s="98"/>
      <c r="J932" s="98"/>
      <c r="K932" s="99"/>
      <c r="L932" s="99"/>
      <c r="M932" s="100"/>
      <c r="N932" s="101"/>
      <c r="O932" s="98"/>
      <c r="P932" s="98"/>
      <c r="Q932" s="98"/>
    </row>
    <row r="933">
      <c r="A933" s="96" t="s">
        <v>268</v>
      </c>
      <c r="B933" s="97" t="s">
        <v>3029</v>
      </c>
      <c r="C933" s="97" t="s">
        <v>3030</v>
      </c>
      <c r="D933" s="97" t="s">
        <v>696</v>
      </c>
      <c r="E933" s="97" t="s">
        <v>590</v>
      </c>
      <c r="F933" s="97" t="b">
        <v>1</v>
      </c>
      <c r="G933" s="97" t="b">
        <v>1</v>
      </c>
      <c r="H933" s="98">
        <f>IF(A933:A2055="", "", COUNTIF(Check!H:H, A932:A2055))</f>
        <v>1</v>
      </c>
      <c r="I933" s="98"/>
      <c r="K933" s="99"/>
      <c r="L933" s="99"/>
      <c r="M933" s="102"/>
      <c r="N933" s="102"/>
      <c r="O933" s="98"/>
      <c r="P933" s="98"/>
      <c r="Q933" s="98"/>
    </row>
    <row r="934">
      <c r="A934" s="96" t="s">
        <v>3031</v>
      </c>
      <c r="B934" s="97" t="s">
        <v>3032</v>
      </c>
      <c r="C934" s="97" t="s">
        <v>3033</v>
      </c>
      <c r="D934" s="97" t="s">
        <v>732</v>
      </c>
      <c r="E934" s="97" t="s">
        <v>789</v>
      </c>
      <c r="F934" s="97" t="b">
        <v>0</v>
      </c>
      <c r="G934" s="97" t="b">
        <v>0</v>
      </c>
      <c r="H934" s="98"/>
      <c r="I934" s="98"/>
      <c r="J934" s="98"/>
      <c r="K934" s="102"/>
      <c r="L934" s="102"/>
      <c r="M934" s="100"/>
      <c r="N934" s="101"/>
      <c r="O934" s="98"/>
      <c r="P934" s="98"/>
      <c r="Q934" s="98"/>
    </row>
    <row r="935">
      <c r="A935" s="96" t="s">
        <v>3034</v>
      </c>
      <c r="B935" s="97" t="s">
        <v>3035</v>
      </c>
      <c r="C935" s="97" t="s">
        <v>3036</v>
      </c>
      <c r="D935" s="97" t="s">
        <v>629</v>
      </c>
      <c r="E935" s="97" t="s">
        <v>1134</v>
      </c>
      <c r="F935" s="97" t="b">
        <v>0</v>
      </c>
      <c r="G935" s="97" t="b">
        <v>0</v>
      </c>
      <c r="H935" s="98"/>
      <c r="I935" s="98"/>
      <c r="J935" s="98"/>
      <c r="K935" s="99"/>
      <c r="L935" s="99"/>
      <c r="M935" s="102"/>
      <c r="N935" s="102"/>
      <c r="O935" s="98"/>
      <c r="P935" s="98"/>
      <c r="Q935" s="98"/>
    </row>
    <row r="936">
      <c r="A936" s="96" t="s">
        <v>3037</v>
      </c>
      <c r="B936" s="97" t="s">
        <v>3038</v>
      </c>
      <c r="C936" s="97" t="s">
        <v>3039</v>
      </c>
      <c r="D936" s="97" t="s">
        <v>834</v>
      </c>
      <c r="E936" s="97" t="s">
        <v>718</v>
      </c>
      <c r="F936" s="97" t="b">
        <v>0</v>
      </c>
      <c r="G936" s="97" t="b">
        <v>0</v>
      </c>
      <c r="H936" s="98"/>
      <c r="I936" s="98"/>
      <c r="J936" s="98"/>
      <c r="K936" s="99"/>
      <c r="L936" s="99"/>
      <c r="M936" s="102"/>
      <c r="N936" s="102"/>
      <c r="O936" s="98"/>
      <c r="P936" s="98"/>
      <c r="Q936" s="98"/>
    </row>
    <row r="937">
      <c r="A937" s="96" t="s">
        <v>3040</v>
      </c>
      <c r="B937" s="97" t="s">
        <v>3041</v>
      </c>
      <c r="C937" s="97" t="s">
        <v>3042</v>
      </c>
      <c r="D937" s="97" t="s">
        <v>1089</v>
      </c>
      <c r="E937" s="97" t="s">
        <v>1009</v>
      </c>
      <c r="F937" s="97" t="b">
        <v>0</v>
      </c>
      <c r="G937" s="97" t="b">
        <v>0</v>
      </c>
      <c r="H937" s="98"/>
      <c r="I937" s="98"/>
      <c r="J937" s="98"/>
      <c r="K937" s="99"/>
      <c r="L937" s="99"/>
      <c r="M937" s="102"/>
      <c r="N937" s="102"/>
      <c r="O937" s="98"/>
      <c r="P937" s="98"/>
      <c r="Q937" s="98"/>
    </row>
    <row r="938">
      <c r="A938" s="96" t="s">
        <v>524</v>
      </c>
      <c r="B938" s="97" t="s">
        <v>3043</v>
      </c>
      <c r="C938" s="97" t="s">
        <v>3044</v>
      </c>
      <c r="D938" s="97" t="s">
        <v>815</v>
      </c>
      <c r="E938" s="97" t="s">
        <v>625</v>
      </c>
      <c r="F938" s="97" t="b">
        <v>1</v>
      </c>
      <c r="G938" s="97" t="b">
        <v>1</v>
      </c>
      <c r="H938" s="98">
        <f>IF(A938:A2055="", "", COUNTIF(Check!H:H, A937:A2055))</f>
        <v>1</v>
      </c>
      <c r="I938" s="98"/>
      <c r="J938" s="98"/>
      <c r="K938" s="99"/>
      <c r="L938" s="99"/>
      <c r="M938" s="100"/>
      <c r="N938" s="101"/>
      <c r="O938" s="98"/>
      <c r="P938" s="98"/>
      <c r="Q938" s="98"/>
    </row>
    <row r="939">
      <c r="A939" s="96" t="s">
        <v>3045</v>
      </c>
      <c r="B939" s="97" t="s">
        <v>3046</v>
      </c>
      <c r="C939" s="97" t="s">
        <v>3047</v>
      </c>
      <c r="D939" s="97" t="s">
        <v>904</v>
      </c>
      <c r="E939" s="97" t="s">
        <v>761</v>
      </c>
      <c r="F939" s="97" t="b">
        <v>0</v>
      </c>
      <c r="G939" s="97" t="b">
        <v>0</v>
      </c>
      <c r="H939" s="98"/>
      <c r="I939" s="98"/>
      <c r="J939" s="98"/>
      <c r="K939" s="100"/>
      <c r="L939" s="107"/>
      <c r="M939" s="102"/>
      <c r="N939" s="102"/>
      <c r="O939" s="98"/>
      <c r="P939" s="98"/>
      <c r="Q939" s="98"/>
    </row>
    <row r="940">
      <c r="A940" s="96" t="s">
        <v>273</v>
      </c>
      <c r="B940" s="97" t="s">
        <v>3048</v>
      </c>
      <c r="C940" s="97" t="s">
        <v>3049</v>
      </c>
      <c r="D940" s="97" t="s">
        <v>1417</v>
      </c>
      <c r="E940" s="97" t="s">
        <v>590</v>
      </c>
      <c r="F940" s="97" t="b">
        <v>1</v>
      </c>
      <c r="G940" s="97" t="b">
        <v>1</v>
      </c>
      <c r="H940" s="98">
        <f>IF(A940:A2055="", "", COUNTIF(Check!H:H, A939:A2055))</f>
        <v>1</v>
      </c>
      <c r="I940" s="98"/>
      <c r="J940" s="98"/>
      <c r="K940" s="99"/>
      <c r="L940" s="99"/>
      <c r="M940" s="102"/>
      <c r="N940" s="102"/>
      <c r="O940" s="98"/>
      <c r="P940" s="98"/>
      <c r="Q940" s="98"/>
    </row>
    <row r="941">
      <c r="A941" s="96" t="s">
        <v>3050</v>
      </c>
      <c r="B941" s="97" t="s">
        <v>3051</v>
      </c>
      <c r="C941" s="97" t="s">
        <v>3052</v>
      </c>
      <c r="D941" s="97" t="s">
        <v>624</v>
      </c>
      <c r="E941" s="97" t="s">
        <v>1352</v>
      </c>
      <c r="F941" s="97" t="b">
        <v>0</v>
      </c>
      <c r="G941" s="97" t="b">
        <v>0</v>
      </c>
      <c r="H941" s="98"/>
      <c r="I941" s="98"/>
      <c r="J941" s="98"/>
      <c r="K941" s="99"/>
      <c r="L941" s="99"/>
      <c r="M941" s="102"/>
      <c r="N941" s="102"/>
      <c r="O941" s="98"/>
      <c r="P941" s="98"/>
      <c r="Q941" s="98"/>
    </row>
    <row r="942">
      <c r="A942" s="96" t="s">
        <v>552</v>
      </c>
      <c r="B942" s="97" t="s">
        <v>3053</v>
      </c>
      <c r="C942" s="97" t="s">
        <v>3054</v>
      </c>
      <c r="D942" s="97" t="s">
        <v>792</v>
      </c>
      <c r="E942" s="97" t="s">
        <v>697</v>
      </c>
      <c r="F942" s="97" t="b">
        <v>1</v>
      </c>
      <c r="G942" s="97" t="b">
        <v>1</v>
      </c>
      <c r="H942" s="98">
        <f>IF(A942:A2055="", "", COUNTIF(Check!H:H, A941:A2055))</f>
        <v>1</v>
      </c>
      <c r="I942" s="98"/>
      <c r="J942" s="98"/>
      <c r="K942" s="100" t="s">
        <v>887</v>
      </c>
      <c r="L942" s="107">
        <f>COUNTIFS($D$2:$D$1039, K942, $F$2:$F$1039, TRUE)</f>
        <v>0</v>
      </c>
      <c r="M942" s="100" t="s">
        <v>841</v>
      </c>
      <c r="N942" s="101">
        <f>COUNTIFS($E$2:$E$1039, M942, $F$2:$F$1039, TRUE)</f>
        <v>0</v>
      </c>
      <c r="O942" s="98"/>
      <c r="P942" s="98"/>
      <c r="Q942" s="98"/>
    </row>
    <row r="943">
      <c r="A943" s="96" t="s">
        <v>3055</v>
      </c>
      <c r="B943" s="97" t="s">
        <v>3056</v>
      </c>
      <c r="C943" s="97" t="s">
        <v>3057</v>
      </c>
      <c r="D943" s="97" t="s">
        <v>624</v>
      </c>
      <c r="E943" s="97" t="s">
        <v>711</v>
      </c>
      <c r="F943" s="97" t="b">
        <v>0</v>
      </c>
      <c r="G943" s="97" t="b">
        <v>0</v>
      </c>
      <c r="H943" s="98"/>
      <c r="I943" s="98"/>
      <c r="J943" s="98"/>
      <c r="K943" s="99"/>
      <c r="L943" s="99"/>
      <c r="M943" s="102"/>
      <c r="N943" s="102"/>
      <c r="O943" s="98"/>
      <c r="P943" s="98"/>
      <c r="Q943" s="98"/>
    </row>
    <row r="944">
      <c r="A944" s="96" t="s">
        <v>257</v>
      </c>
      <c r="B944" s="97" t="s">
        <v>3058</v>
      </c>
      <c r="C944" s="97" t="s">
        <v>3059</v>
      </c>
      <c r="D944" s="97" t="s">
        <v>692</v>
      </c>
      <c r="E944" s="97" t="s">
        <v>663</v>
      </c>
      <c r="F944" s="97" t="b">
        <v>1</v>
      </c>
      <c r="G944" s="97" t="b">
        <v>1</v>
      </c>
      <c r="H944" s="98">
        <f>IF(A944:A2055="", "", COUNTIF(Check!H:H, A943:A2055))</f>
        <v>1</v>
      </c>
      <c r="I944" s="98"/>
      <c r="J944" s="98"/>
      <c r="K944" s="99"/>
      <c r="L944" s="99"/>
      <c r="M944" s="102"/>
      <c r="N944" s="102"/>
      <c r="O944" s="98"/>
      <c r="P944" s="98"/>
      <c r="Q944" s="106"/>
    </row>
    <row r="945">
      <c r="A945" s="96" t="s">
        <v>3060</v>
      </c>
      <c r="B945" s="97" t="s">
        <v>3061</v>
      </c>
      <c r="C945" s="97" t="s">
        <v>3062</v>
      </c>
      <c r="D945" s="97" t="s">
        <v>878</v>
      </c>
      <c r="E945" s="97" t="s">
        <v>1146</v>
      </c>
      <c r="F945" s="97" t="b">
        <v>0</v>
      </c>
      <c r="G945" s="97" t="b">
        <v>0</v>
      </c>
      <c r="H945" s="98"/>
      <c r="I945" s="98"/>
      <c r="J945" s="98"/>
      <c r="K945" s="99"/>
      <c r="L945" s="99"/>
      <c r="M945" s="102"/>
      <c r="N945" s="102"/>
      <c r="O945" s="98"/>
      <c r="P945" s="98"/>
      <c r="Q945" s="98"/>
    </row>
    <row r="946">
      <c r="A946" s="96" t="s">
        <v>491</v>
      </c>
      <c r="B946" s="97" t="s">
        <v>3063</v>
      </c>
      <c r="C946" s="97" t="s">
        <v>3064</v>
      </c>
      <c r="D946" s="97" t="s">
        <v>1541</v>
      </c>
      <c r="E946" s="97" t="s">
        <v>722</v>
      </c>
      <c r="F946" s="97" t="b">
        <v>1</v>
      </c>
      <c r="G946" s="97" t="b">
        <v>1</v>
      </c>
      <c r="H946" s="98">
        <f>IF(A946:A2055="", "", COUNTIF(Check!H:H, A945:A2055))</f>
        <v>1</v>
      </c>
      <c r="I946" s="98"/>
      <c r="J946" s="98"/>
      <c r="K946" s="103"/>
      <c r="L946" s="104"/>
      <c r="M946" s="103"/>
      <c r="N946" s="104"/>
      <c r="O946" s="105"/>
      <c r="P946" s="105"/>
      <c r="Q946" s="105"/>
    </row>
    <row r="947">
      <c r="A947" s="96" t="s">
        <v>258</v>
      </c>
      <c r="B947" s="97" t="s">
        <v>3065</v>
      </c>
      <c r="C947" s="97" t="s">
        <v>3066</v>
      </c>
      <c r="D947" s="97" t="s">
        <v>760</v>
      </c>
      <c r="E947" s="97" t="s">
        <v>611</v>
      </c>
      <c r="F947" s="97" t="b">
        <v>1</v>
      </c>
      <c r="G947" s="97" t="b">
        <v>1</v>
      </c>
      <c r="H947" s="98">
        <f>IF(A947:A2055="", "", COUNTIF(Check!H:H, A946:A2055))</f>
        <v>1</v>
      </c>
      <c r="I947" s="98"/>
      <c r="J947" s="98"/>
      <c r="K947" s="99"/>
      <c r="L947" s="99"/>
      <c r="M947" s="102"/>
      <c r="N947" s="102"/>
      <c r="O947" s="98"/>
      <c r="P947" s="98"/>
      <c r="Q947" s="106"/>
    </row>
    <row r="948">
      <c r="A948" s="96" t="s">
        <v>3067</v>
      </c>
      <c r="B948" s="97" t="s">
        <v>3068</v>
      </c>
      <c r="C948" s="97" t="s">
        <v>3069</v>
      </c>
      <c r="D948" s="97" t="s">
        <v>737</v>
      </c>
      <c r="E948" s="97" t="s">
        <v>1013</v>
      </c>
      <c r="F948" s="97" t="b">
        <v>0</v>
      </c>
      <c r="G948" s="97" t="b">
        <v>0</v>
      </c>
      <c r="H948" s="98"/>
      <c r="I948" s="98"/>
      <c r="J948" s="98"/>
      <c r="K948" s="99"/>
      <c r="L948" s="99"/>
      <c r="M948" s="102"/>
      <c r="N948" s="102"/>
      <c r="O948" s="98"/>
      <c r="P948" s="98"/>
      <c r="Q948" s="106"/>
    </row>
    <row r="949">
      <c r="A949" s="96" t="s">
        <v>3070</v>
      </c>
      <c r="B949" s="97" t="s">
        <v>3071</v>
      </c>
      <c r="C949" s="97" t="s">
        <v>3072</v>
      </c>
      <c r="D949" s="97" t="s">
        <v>610</v>
      </c>
      <c r="E949" s="97" t="s">
        <v>711</v>
      </c>
      <c r="F949" s="97" t="b">
        <v>0</v>
      </c>
      <c r="G949" s="97" t="b">
        <v>0</v>
      </c>
      <c r="H949" s="98"/>
      <c r="I949" s="98"/>
      <c r="J949" s="98"/>
      <c r="K949" s="99"/>
      <c r="L949" s="99"/>
      <c r="M949" s="108"/>
      <c r="N949" s="109"/>
      <c r="O949" s="98"/>
      <c r="P949" s="98"/>
      <c r="Q949" s="105"/>
    </row>
    <row r="950">
      <c r="A950" s="96" t="s">
        <v>3073</v>
      </c>
      <c r="B950" s="97" t="s">
        <v>3074</v>
      </c>
      <c r="C950" s="97" t="s">
        <v>3075</v>
      </c>
      <c r="D950" s="97" t="s">
        <v>1114</v>
      </c>
      <c r="E950" s="97" t="s">
        <v>1013</v>
      </c>
      <c r="F950" s="97" t="b">
        <v>0</v>
      </c>
      <c r="G950" s="97" t="b">
        <v>0</v>
      </c>
      <c r="H950" s="98"/>
      <c r="I950" s="98"/>
      <c r="J950" s="98"/>
      <c r="K950" s="99"/>
      <c r="L950" s="99"/>
      <c r="M950" s="102"/>
      <c r="N950" s="102"/>
      <c r="O950" s="98"/>
      <c r="P950" s="98"/>
      <c r="Q950" s="98"/>
    </row>
    <row r="951">
      <c r="A951" s="96" t="s">
        <v>383</v>
      </c>
      <c r="B951" s="97" t="s">
        <v>3076</v>
      </c>
      <c r="C951" s="97" t="s">
        <v>3077</v>
      </c>
      <c r="D951" s="97" t="s">
        <v>681</v>
      </c>
      <c r="E951" s="97" t="s">
        <v>711</v>
      </c>
      <c r="F951" s="97" t="b">
        <v>1</v>
      </c>
      <c r="G951" s="97" t="b">
        <v>1</v>
      </c>
      <c r="H951" s="98">
        <f>IF(A951:A2055="", "", COUNTIF(Check!H:H, A950:A2055))</f>
        <v>1</v>
      </c>
      <c r="I951" s="98"/>
      <c r="J951" s="98"/>
      <c r="K951" s="99"/>
      <c r="L951" s="99"/>
      <c r="M951" s="102"/>
      <c r="N951" s="102"/>
      <c r="O951" s="98"/>
      <c r="P951" s="98"/>
      <c r="Q951" s="98"/>
    </row>
    <row r="952">
      <c r="A952" s="96" t="s">
        <v>3078</v>
      </c>
      <c r="B952" s="97" t="s">
        <v>3079</v>
      </c>
      <c r="C952" s="97" t="s">
        <v>3080</v>
      </c>
      <c r="D952" s="97" t="s">
        <v>760</v>
      </c>
      <c r="E952" s="97" t="s">
        <v>659</v>
      </c>
      <c r="F952" s="97" t="b">
        <v>0</v>
      </c>
      <c r="G952" s="97" t="b">
        <v>0</v>
      </c>
      <c r="H952" s="98"/>
      <c r="I952" s="98"/>
      <c r="J952" s="98"/>
      <c r="K952" s="99"/>
      <c r="L952" s="99"/>
      <c r="M952" s="102"/>
      <c r="N952" s="102"/>
      <c r="O952" s="98"/>
      <c r="P952" s="98"/>
      <c r="Q952" s="98"/>
    </row>
    <row r="953">
      <c r="A953" s="96" t="s">
        <v>3081</v>
      </c>
      <c r="B953" s="97" t="s">
        <v>3082</v>
      </c>
      <c r="C953" s="97" t="s">
        <v>3083</v>
      </c>
      <c r="D953" s="97" t="s">
        <v>815</v>
      </c>
      <c r="E953" s="97" t="s">
        <v>711</v>
      </c>
      <c r="F953" s="97" t="b">
        <v>0</v>
      </c>
      <c r="G953" s="97" t="b">
        <v>0</v>
      </c>
      <c r="H953" s="98"/>
      <c r="I953" s="98"/>
      <c r="J953" s="98"/>
      <c r="K953" s="99"/>
      <c r="L953" s="99"/>
      <c r="M953" s="103"/>
      <c r="N953" s="104"/>
      <c r="O953" s="98"/>
      <c r="P953" s="98"/>
      <c r="Q953" s="98"/>
    </row>
    <row r="954">
      <c r="A954" s="96" t="s">
        <v>199</v>
      </c>
      <c r="B954" s="97" t="s">
        <v>3084</v>
      </c>
      <c r="C954" s="97" t="s">
        <v>3085</v>
      </c>
      <c r="D954" s="97" t="s">
        <v>1089</v>
      </c>
      <c r="E954" s="97" t="s">
        <v>727</v>
      </c>
      <c r="F954" s="97" t="b">
        <v>1</v>
      </c>
      <c r="G954" s="97" t="b">
        <v>1</v>
      </c>
      <c r="H954" s="98">
        <f>IF(A954:A2055="", "", COUNTIF(Check!H:H, A953:A2055))</f>
        <v>1</v>
      </c>
      <c r="I954" s="98"/>
      <c r="J954" s="98"/>
      <c r="K954" s="99"/>
      <c r="L954" s="99"/>
      <c r="M954" s="100"/>
      <c r="N954" s="101"/>
      <c r="O954" s="98"/>
      <c r="P954" s="98"/>
      <c r="Q954" s="98"/>
    </row>
    <row r="955">
      <c r="A955" s="96" t="s">
        <v>543</v>
      </c>
      <c r="B955" s="97" t="s">
        <v>3086</v>
      </c>
      <c r="C955" s="97" t="s">
        <v>3087</v>
      </c>
      <c r="D955" s="97" t="s">
        <v>1541</v>
      </c>
      <c r="E955" s="97" t="s">
        <v>586</v>
      </c>
      <c r="F955" s="97" t="b">
        <v>1</v>
      </c>
      <c r="G955" s="97" t="b">
        <v>1</v>
      </c>
      <c r="H955" s="98">
        <f>IF(A955:A2055="", "", COUNTIF(Check!H:H, A954:A2055))</f>
        <v>1</v>
      </c>
      <c r="I955" s="98"/>
      <c r="J955" s="98"/>
      <c r="K955" s="108"/>
      <c r="L955" s="110"/>
      <c r="M955" s="103"/>
      <c r="N955" s="104"/>
      <c r="O955" s="106"/>
      <c r="P955" s="106"/>
      <c r="Q955" s="98"/>
    </row>
    <row r="956">
      <c r="A956" s="96" t="s">
        <v>3088</v>
      </c>
      <c r="B956" s="97" t="s">
        <v>3089</v>
      </c>
      <c r="C956" s="97" t="s">
        <v>3090</v>
      </c>
      <c r="D956" s="97" t="s">
        <v>674</v>
      </c>
      <c r="E956" s="97" t="s">
        <v>620</v>
      </c>
      <c r="F956" s="97" t="b">
        <v>0</v>
      </c>
      <c r="G956" s="97" t="b">
        <v>0</v>
      </c>
      <c r="H956" s="98"/>
      <c r="I956" s="98"/>
      <c r="J956" s="98"/>
      <c r="K956" s="102"/>
      <c r="L956" s="102"/>
      <c r="M956" s="102"/>
      <c r="N956" s="102"/>
      <c r="O956" s="98"/>
      <c r="P956" s="98"/>
      <c r="Q956" s="98"/>
    </row>
    <row r="957">
      <c r="A957" s="96" t="s">
        <v>3091</v>
      </c>
      <c r="B957" s="97" t="s">
        <v>3092</v>
      </c>
      <c r="C957" s="97" t="s">
        <v>3093</v>
      </c>
      <c r="D957" s="97" t="s">
        <v>643</v>
      </c>
      <c r="E957" s="97" t="s">
        <v>830</v>
      </c>
      <c r="F957" s="97" t="b">
        <v>0</v>
      </c>
      <c r="G957" s="97" t="b">
        <v>0</v>
      </c>
      <c r="H957" s="98"/>
      <c r="I957" s="98"/>
      <c r="J957" s="98"/>
      <c r="K957" s="100"/>
      <c r="L957" s="107"/>
      <c r="M957" s="100"/>
      <c r="N957" s="101"/>
      <c r="O957" s="98"/>
      <c r="P957" s="98"/>
      <c r="Q957" s="98"/>
    </row>
    <row r="958">
      <c r="A958" s="96" t="s">
        <v>393</v>
      </c>
      <c r="B958" s="97" t="s">
        <v>3094</v>
      </c>
      <c r="C958" s="97" t="s">
        <v>3095</v>
      </c>
      <c r="D958" s="97" t="s">
        <v>1191</v>
      </c>
      <c r="E958" s="97" t="s">
        <v>1050</v>
      </c>
      <c r="F958" s="97" t="b">
        <v>1</v>
      </c>
      <c r="G958" s="97" t="b">
        <v>1</v>
      </c>
      <c r="H958" s="98">
        <f>IF(A958:A2055="", "", COUNTIF(Check!H:H, A957:A2055))</f>
        <v>1</v>
      </c>
      <c r="I958" s="98"/>
      <c r="J958" s="98"/>
      <c r="K958" s="108" t="s">
        <v>671</v>
      </c>
      <c r="L958" s="109">
        <f>COUNTIFS($D$2:$D$1039, K958, $F$2:$F$1039, TRUE)</f>
        <v>1</v>
      </c>
      <c r="M958" s="100" t="s">
        <v>2441</v>
      </c>
      <c r="N958" s="101">
        <f>COUNTIFS($E$2:$E$1039, M958, $F$2:$F$1039, TRUE)</f>
        <v>0</v>
      </c>
      <c r="O958" s="98"/>
      <c r="P958" s="98"/>
      <c r="Q958" s="98"/>
    </row>
    <row r="959">
      <c r="A959" s="96" t="s">
        <v>413</v>
      </c>
      <c r="B959" s="97" t="s">
        <v>3096</v>
      </c>
      <c r="C959" s="97" t="s">
        <v>3097</v>
      </c>
      <c r="D959" s="97" t="s">
        <v>684</v>
      </c>
      <c r="E959" s="97" t="s">
        <v>722</v>
      </c>
      <c r="F959" s="97" t="b">
        <v>1</v>
      </c>
      <c r="G959" s="97" t="b">
        <v>1</v>
      </c>
      <c r="H959" s="98">
        <f>IF(A959:A2055="", "", COUNTIF(Check!H:H, A958:A2055))</f>
        <v>1</v>
      </c>
      <c r="I959" s="98"/>
      <c r="J959" s="98"/>
      <c r="K959" s="102"/>
      <c r="L959" s="102"/>
      <c r="M959" s="100"/>
      <c r="N959" s="101"/>
      <c r="O959" s="98"/>
      <c r="P959" s="98"/>
      <c r="Q959" s="98"/>
    </row>
    <row r="960">
      <c r="A960" s="96" t="s">
        <v>3098</v>
      </c>
      <c r="B960" s="97" t="s">
        <v>3099</v>
      </c>
      <c r="C960" s="97" t="s">
        <v>3100</v>
      </c>
      <c r="D960" s="97" t="s">
        <v>658</v>
      </c>
      <c r="E960" s="97" t="s">
        <v>711</v>
      </c>
      <c r="F960" s="97" t="b">
        <v>0</v>
      </c>
      <c r="G960" s="97" t="b">
        <v>0</v>
      </c>
      <c r="H960" s="98"/>
      <c r="I960" s="98"/>
      <c r="J960" s="98"/>
      <c r="K960" s="108"/>
      <c r="L960" s="109"/>
      <c r="M960" s="100"/>
      <c r="N960" s="101"/>
      <c r="O960" s="98"/>
      <c r="P960" s="98"/>
      <c r="Q960" s="98"/>
    </row>
    <row r="961">
      <c r="A961" s="96" t="s">
        <v>3101</v>
      </c>
      <c r="B961" s="97" t="s">
        <v>3102</v>
      </c>
      <c r="C961" s="97" t="s">
        <v>3103</v>
      </c>
      <c r="D961" s="97" t="s">
        <v>726</v>
      </c>
      <c r="E961" s="97" t="s">
        <v>630</v>
      </c>
      <c r="F961" s="97" t="b">
        <v>0</v>
      </c>
      <c r="G961" s="97" t="b">
        <v>0</v>
      </c>
      <c r="H961" s="98"/>
      <c r="I961" s="98"/>
      <c r="J961" s="98"/>
      <c r="K961" s="100"/>
      <c r="L961" s="107"/>
      <c r="M961" s="102"/>
      <c r="N961" s="102"/>
      <c r="O961" s="98"/>
      <c r="P961" s="98"/>
      <c r="Q961" s="98"/>
    </row>
    <row r="962">
      <c r="A962" s="96" t="s">
        <v>118</v>
      </c>
      <c r="B962" s="97" t="s">
        <v>3104</v>
      </c>
      <c r="C962" s="97" t="s">
        <v>3105</v>
      </c>
      <c r="D962" s="97" t="s">
        <v>854</v>
      </c>
      <c r="E962" s="97" t="s">
        <v>586</v>
      </c>
      <c r="F962" s="97" t="b">
        <v>1</v>
      </c>
      <c r="G962" s="97" t="b">
        <v>1</v>
      </c>
      <c r="H962" s="98">
        <f>IF(A962:A2055="", "", COUNTIF(Check!H:H, A961:A2055))</f>
        <v>1</v>
      </c>
      <c r="I962" s="98"/>
      <c r="J962" s="98"/>
      <c r="K962" s="99"/>
      <c r="L962" s="99"/>
      <c r="M962" s="102"/>
      <c r="N962" s="102"/>
      <c r="O962" s="98"/>
      <c r="P962" s="98"/>
      <c r="Q962" s="98"/>
    </row>
    <row r="963">
      <c r="A963" s="96" t="s">
        <v>414</v>
      </c>
      <c r="B963" s="97" t="s">
        <v>3106</v>
      </c>
      <c r="C963" s="97" t="s">
        <v>3107</v>
      </c>
      <c r="D963" s="97" t="s">
        <v>755</v>
      </c>
      <c r="E963" s="97" t="s">
        <v>895</v>
      </c>
      <c r="F963" s="97" t="b">
        <v>1</v>
      </c>
      <c r="G963" s="97" t="b">
        <v>1</v>
      </c>
      <c r="H963" s="98">
        <f>IF(A963:A2055="", "", COUNTIF(Check!H:H, A962:A2055))</f>
        <v>1</v>
      </c>
      <c r="I963" s="98"/>
      <c r="J963" s="98"/>
      <c r="K963" s="99"/>
      <c r="L963" s="99"/>
      <c r="M963" s="102"/>
      <c r="N963" s="102"/>
      <c r="O963" s="98"/>
      <c r="P963" s="98"/>
      <c r="Q963" s="98"/>
    </row>
    <row r="964">
      <c r="A964" s="96" t="s">
        <v>3108</v>
      </c>
      <c r="B964" s="97" t="s">
        <v>3109</v>
      </c>
      <c r="C964" s="97" t="s">
        <v>3110</v>
      </c>
      <c r="D964" s="97" t="s">
        <v>815</v>
      </c>
      <c r="E964" s="97" t="s">
        <v>685</v>
      </c>
      <c r="F964" s="97" t="b">
        <v>0</v>
      </c>
      <c r="G964" s="97" t="b">
        <v>0</v>
      </c>
      <c r="H964" s="98"/>
      <c r="I964" s="98"/>
      <c r="J964" s="98"/>
      <c r="K964" s="99"/>
      <c r="L964" s="99"/>
      <c r="M964" s="100"/>
      <c r="N964" s="101"/>
      <c r="O964" s="98"/>
      <c r="P964" s="98"/>
      <c r="Q964" s="98"/>
    </row>
    <row r="965">
      <c r="A965" s="96" t="s">
        <v>208</v>
      </c>
      <c r="B965" s="97" t="s">
        <v>3111</v>
      </c>
      <c r="C965" s="97" t="s">
        <v>3112</v>
      </c>
      <c r="D965" s="97" t="s">
        <v>721</v>
      </c>
      <c r="E965" s="97" t="s">
        <v>727</v>
      </c>
      <c r="F965" s="97" t="b">
        <v>1</v>
      </c>
      <c r="G965" s="97" t="b">
        <v>1</v>
      </c>
      <c r="H965" s="98">
        <f>IF(A965:A2055="", "", COUNTIF(Check!H:H, A964:A2055))</f>
        <v>1</v>
      </c>
      <c r="I965" s="98"/>
      <c r="J965" s="98"/>
      <c r="K965" s="99"/>
      <c r="L965" s="99"/>
      <c r="M965" s="100"/>
      <c r="N965" s="101"/>
      <c r="O965" s="98"/>
      <c r="P965" s="98"/>
      <c r="Q965" s="98"/>
    </row>
    <row r="966">
      <c r="A966" s="96" t="s">
        <v>405</v>
      </c>
      <c r="B966" s="97" t="s">
        <v>3113</v>
      </c>
      <c r="C966" s="97" t="s">
        <v>3114</v>
      </c>
      <c r="D966" s="97" t="s">
        <v>920</v>
      </c>
      <c r="E966" s="97" t="s">
        <v>733</v>
      </c>
      <c r="F966" s="97" t="b">
        <v>1</v>
      </c>
      <c r="G966" s="97" t="b">
        <v>1</v>
      </c>
      <c r="H966" s="98">
        <f>IF(A966:A2055="", "", COUNTIF(Check!H:H, A965:A2055))</f>
        <v>1</v>
      </c>
      <c r="I966" s="98"/>
      <c r="J966" s="98"/>
      <c r="K966" s="100"/>
      <c r="L966" s="101"/>
      <c r="M966" s="100"/>
      <c r="N966" s="101"/>
      <c r="O966" s="98"/>
      <c r="P966" s="98"/>
      <c r="Q966" s="98"/>
    </row>
    <row r="967">
      <c r="A967" s="96" t="s">
        <v>3115</v>
      </c>
      <c r="B967" s="97" t="s">
        <v>3116</v>
      </c>
      <c r="C967" s="97" t="s">
        <v>3117</v>
      </c>
      <c r="D967" s="97" t="s">
        <v>1582</v>
      </c>
      <c r="E967" s="97" t="s">
        <v>607</v>
      </c>
      <c r="F967" s="97" t="b">
        <v>0</v>
      </c>
      <c r="G967" s="97" t="b">
        <v>0</v>
      </c>
      <c r="H967" s="98"/>
      <c r="I967" s="98"/>
      <c r="J967" s="98"/>
      <c r="K967" s="99"/>
      <c r="L967" s="99"/>
      <c r="M967" s="100"/>
      <c r="N967" s="101"/>
      <c r="O967" s="98"/>
      <c r="P967" s="98"/>
      <c r="Q967" s="98"/>
    </row>
    <row r="968">
      <c r="A968" s="96" t="s">
        <v>292</v>
      </c>
      <c r="B968" s="97" t="s">
        <v>3118</v>
      </c>
      <c r="C968" s="97" t="s">
        <v>3119</v>
      </c>
      <c r="D968" s="97" t="s">
        <v>1127</v>
      </c>
      <c r="E968" s="97" t="s">
        <v>590</v>
      </c>
      <c r="F968" s="97" t="b">
        <v>1</v>
      </c>
      <c r="G968" s="97" t="b">
        <v>1</v>
      </c>
      <c r="H968" s="98">
        <f>IF(A968:A2055="", "", COUNTIF(Check!H:H, A967:A2055))</f>
        <v>1</v>
      </c>
      <c r="I968" s="98"/>
      <c r="J968" s="98"/>
      <c r="K968" s="99"/>
      <c r="L968" s="99"/>
      <c r="M968" s="102"/>
      <c r="N968" s="102"/>
      <c r="O968" s="98"/>
      <c r="P968" s="98"/>
      <c r="Q968" s="98"/>
    </row>
    <row r="969">
      <c r="A969" s="96" t="s">
        <v>495</v>
      </c>
      <c r="B969" s="97" t="s">
        <v>3120</v>
      </c>
      <c r="C969" s="97" t="s">
        <v>3121</v>
      </c>
      <c r="D969" s="97" t="s">
        <v>764</v>
      </c>
      <c r="E969" s="97" t="s">
        <v>895</v>
      </c>
      <c r="F969" s="97" t="b">
        <v>1</v>
      </c>
      <c r="G969" s="97" t="b">
        <v>1</v>
      </c>
      <c r="H969" s="98">
        <f>IF(A969:A2055="", "", COUNTIF(Check!H:H, A968:A2055))</f>
        <v>1</v>
      </c>
      <c r="I969" s="98"/>
      <c r="J969" s="98"/>
      <c r="K969" s="99"/>
      <c r="L969" s="99"/>
      <c r="M969" s="102"/>
      <c r="N969" s="102"/>
      <c r="O969" s="98"/>
      <c r="P969" s="98"/>
      <c r="Q969" s="98"/>
    </row>
    <row r="970">
      <c r="A970" s="96" t="s">
        <v>256</v>
      </c>
      <c r="B970" s="97" t="s">
        <v>3122</v>
      </c>
      <c r="C970" s="97" t="s">
        <v>3123</v>
      </c>
      <c r="D970" s="97" t="s">
        <v>854</v>
      </c>
      <c r="E970" s="97" t="s">
        <v>644</v>
      </c>
      <c r="F970" s="97" t="b">
        <v>1</v>
      </c>
      <c r="G970" s="97" t="b">
        <v>1</v>
      </c>
      <c r="H970" s="98">
        <f>IF(A970:A2055="", "", COUNTIF(Check!H:H, A969:A2055))</f>
        <v>1</v>
      </c>
      <c r="I970" s="98"/>
      <c r="J970" s="98"/>
      <c r="K970" s="100"/>
      <c r="L970" s="101"/>
      <c r="M970" s="100"/>
      <c r="N970" s="101"/>
      <c r="O970" s="98"/>
      <c r="P970" s="98"/>
      <c r="Q970" s="98"/>
    </row>
    <row r="971">
      <c r="A971" s="96" t="s">
        <v>200</v>
      </c>
      <c r="B971" s="97" t="s">
        <v>3124</v>
      </c>
      <c r="C971" s="97" t="s">
        <v>3125</v>
      </c>
      <c r="D971" s="97" t="s">
        <v>615</v>
      </c>
      <c r="E971" s="97" t="s">
        <v>761</v>
      </c>
      <c r="F971" s="97" t="b">
        <v>1</v>
      </c>
      <c r="G971" s="97" t="b">
        <v>1</v>
      </c>
      <c r="H971" s="98">
        <f>IF(A971:A2055="", "", COUNTIF(Check!H:H, A970:A2055))</f>
        <v>1</v>
      </c>
      <c r="I971" s="98"/>
      <c r="J971" s="98"/>
      <c r="K971" s="108"/>
      <c r="L971" s="109"/>
      <c r="M971" s="103"/>
      <c r="N971" s="104"/>
      <c r="O971" s="105"/>
      <c r="P971" s="105"/>
      <c r="Q971" s="98"/>
    </row>
    <row r="972">
      <c r="A972" s="96" t="s">
        <v>409</v>
      </c>
      <c r="B972" s="97" t="s">
        <v>3126</v>
      </c>
      <c r="C972" s="97" t="s">
        <v>3127</v>
      </c>
      <c r="D972" s="97" t="s">
        <v>648</v>
      </c>
      <c r="E972" s="97" t="s">
        <v>722</v>
      </c>
      <c r="F972" s="97" t="b">
        <v>1</v>
      </c>
      <c r="G972" s="97" t="b">
        <v>1</v>
      </c>
      <c r="H972" s="98">
        <f>IF(A972:A2055="", "", COUNTIF(Check!H:H, A971:A2055))</f>
        <v>1</v>
      </c>
      <c r="I972" s="98"/>
      <c r="J972" s="98"/>
      <c r="K972" s="102"/>
      <c r="L972" s="102"/>
      <c r="M972" s="100"/>
      <c r="N972" s="101"/>
      <c r="O972" s="98"/>
      <c r="P972" s="98"/>
      <c r="Q972" s="98"/>
    </row>
    <row r="973">
      <c r="A973" s="96" t="s">
        <v>3128</v>
      </c>
      <c r="B973" s="97" t="s">
        <v>3129</v>
      </c>
      <c r="C973" s="97" t="s">
        <v>3130</v>
      </c>
      <c r="D973" s="97" t="s">
        <v>781</v>
      </c>
      <c r="E973" s="97" t="s">
        <v>722</v>
      </c>
      <c r="F973" s="97" t="b">
        <v>0</v>
      </c>
      <c r="G973" s="97" t="b">
        <v>0</v>
      </c>
      <c r="H973" s="98"/>
      <c r="I973" s="98"/>
      <c r="J973" s="98"/>
      <c r="K973" s="102"/>
      <c r="L973" s="102"/>
      <c r="M973" s="100"/>
      <c r="N973" s="101"/>
      <c r="O973" s="98"/>
      <c r="P973" s="98"/>
      <c r="Q973" s="98"/>
    </row>
    <row r="974">
      <c r="A974" s="96" t="s">
        <v>3131</v>
      </c>
      <c r="B974" s="97" t="s">
        <v>3132</v>
      </c>
      <c r="C974" s="97" t="s">
        <v>3133</v>
      </c>
      <c r="D974" s="97" t="s">
        <v>801</v>
      </c>
      <c r="E974" s="97" t="s">
        <v>761</v>
      </c>
      <c r="F974" s="97" t="b">
        <v>0</v>
      </c>
      <c r="G974" s="97" t="b">
        <v>0</v>
      </c>
      <c r="H974" s="98"/>
      <c r="I974" s="98"/>
      <c r="J974" s="98"/>
      <c r="K974" s="100"/>
      <c r="L974" s="101"/>
      <c r="M974" s="102"/>
      <c r="N974" s="102"/>
      <c r="O974" s="98"/>
      <c r="P974" s="98"/>
      <c r="Q974" s="98"/>
    </row>
    <row r="975">
      <c r="A975" s="96" t="s">
        <v>437</v>
      </c>
      <c r="B975" s="97" t="s">
        <v>3134</v>
      </c>
      <c r="C975" s="97" t="s">
        <v>3135</v>
      </c>
      <c r="D975" s="97" t="s">
        <v>648</v>
      </c>
      <c r="E975" s="97" t="s">
        <v>649</v>
      </c>
      <c r="F975" s="97" t="b">
        <v>1</v>
      </c>
      <c r="G975" s="97" t="b">
        <v>1</v>
      </c>
      <c r="H975" s="98">
        <f>IF(A975:A2055="", "", COUNTIF(Check!H:H, A974:A2055))</f>
        <v>1</v>
      </c>
      <c r="I975" s="98"/>
      <c r="J975" s="98"/>
      <c r="K975" s="100" t="s">
        <v>854</v>
      </c>
      <c r="L975" s="101">
        <f>COUNTIFS($D$2:$D$1039, K975, $F$2:$F$1039, TRUE)</f>
        <v>8</v>
      </c>
      <c r="M975" s="100" t="s">
        <v>2907</v>
      </c>
      <c r="N975" s="101">
        <f>COUNTIFS($E$2:$E$1039, M975, $F$2:$F$1039, TRUE)</f>
        <v>1</v>
      </c>
      <c r="O975" s="98"/>
      <c r="P975" s="98"/>
      <c r="Q975" s="98"/>
    </row>
    <row r="976">
      <c r="A976" s="96" t="s">
        <v>108</v>
      </c>
      <c r="B976" s="97" t="s">
        <v>3136</v>
      </c>
      <c r="C976" s="97" t="s">
        <v>3137</v>
      </c>
      <c r="D976" s="97" t="s">
        <v>854</v>
      </c>
      <c r="E976" s="97" t="s">
        <v>616</v>
      </c>
      <c r="F976" s="97" t="b">
        <v>1</v>
      </c>
      <c r="G976" s="97" t="b">
        <v>1</v>
      </c>
      <c r="H976" s="98">
        <f>IF(A976:A2055="", "", COUNTIF(Check!H:H, A975:A2055))</f>
        <v>1</v>
      </c>
      <c r="I976" s="98"/>
      <c r="J976" s="98"/>
      <c r="K976" s="99"/>
      <c r="L976" s="99"/>
      <c r="M976" s="108"/>
      <c r="N976" s="109"/>
      <c r="O976" s="98"/>
      <c r="P976" s="98"/>
      <c r="Q976" s="98"/>
    </row>
    <row r="977">
      <c r="A977" s="96" t="s">
        <v>283</v>
      </c>
      <c r="B977" s="97" t="s">
        <v>3138</v>
      </c>
      <c r="C977" s="97" t="s">
        <v>3139</v>
      </c>
      <c r="D977" s="97" t="s">
        <v>1479</v>
      </c>
      <c r="E977" s="97" t="s">
        <v>697</v>
      </c>
      <c r="F977" s="97" t="b">
        <v>1</v>
      </c>
      <c r="G977" s="97" t="b">
        <v>1</v>
      </c>
      <c r="H977" s="98">
        <f>IF(A977:A2055="", "", COUNTIF(Check!H:H, A976:A2055))</f>
        <v>1</v>
      </c>
      <c r="I977" s="98"/>
      <c r="J977" s="98"/>
      <c r="K977" s="100" t="s">
        <v>985</v>
      </c>
      <c r="L977" s="101">
        <f>COUNTIFS($D$2:$D$1039, K977, $F$2:$F$1039, TRUE)</f>
        <v>7</v>
      </c>
      <c r="M977" s="100" t="s">
        <v>649</v>
      </c>
      <c r="N977" s="101">
        <f>COUNTIFS($E$2:$E$1039, M977, $F$2:$F$1039, TRUE)</f>
        <v>21</v>
      </c>
      <c r="O977" s="98"/>
      <c r="P977" s="98"/>
      <c r="Q977" s="98"/>
    </row>
    <row r="978">
      <c r="A978" s="96" t="s">
        <v>3140</v>
      </c>
      <c r="B978" s="97" t="s">
        <v>3141</v>
      </c>
      <c r="C978" s="97" t="s">
        <v>3142</v>
      </c>
      <c r="D978" s="97" t="s">
        <v>629</v>
      </c>
      <c r="E978" s="97" t="s">
        <v>663</v>
      </c>
      <c r="F978" s="97" t="b">
        <v>0</v>
      </c>
      <c r="G978" s="97" t="b">
        <v>0</v>
      </c>
      <c r="H978" s="98"/>
      <c r="I978" s="98"/>
      <c r="J978" s="98"/>
      <c r="K978" s="100"/>
      <c r="L978" s="101"/>
      <c r="M978" s="102"/>
      <c r="N978" s="102"/>
      <c r="O978" s="98"/>
      <c r="P978" s="98"/>
      <c r="Q978" s="98"/>
    </row>
    <row r="979">
      <c r="A979" s="96" t="s">
        <v>280</v>
      </c>
      <c r="B979" s="97" t="s">
        <v>3143</v>
      </c>
      <c r="C979" s="97" t="s">
        <v>3144</v>
      </c>
      <c r="D979" s="97" t="s">
        <v>985</v>
      </c>
      <c r="E979" s="97" t="s">
        <v>697</v>
      </c>
      <c r="F979" s="97" t="b">
        <v>1</v>
      </c>
      <c r="G979" s="97" t="b">
        <v>1</v>
      </c>
      <c r="H979" s="98">
        <f>IF(A979:A2055="", "", COUNTIF(Check!H:H, A978:A2055))</f>
        <v>1</v>
      </c>
      <c r="I979" s="98"/>
      <c r="J979" s="98"/>
      <c r="K979" s="100" t="s">
        <v>1191</v>
      </c>
      <c r="L979" s="101">
        <f>COUNTIFS($D$2:$D$1039, K979, $F$2:$F$1039, TRUE)</f>
        <v>6</v>
      </c>
      <c r="M979" s="108" t="s">
        <v>830</v>
      </c>
      <c r="N979" s="109">
        <f>COUNTIFS($E$2:$E$1039, M979, $F$2:$F$1039, TRUE)</f>
        <v>14</v>
      </c>
      <c r="O979" s="98"/>
      <c r="P979" s="98"/>
      <c r="Q979" s="98"/>
    </row>
    <row r="980">
      <c r="A980" s="96" t="s">
        <v>305</v>
      </c>
      <c r="B980" s="97" t="s">
        <v>3145</v>
      </c>
      <c r="C980" s="97" t="s">
        <v>3146</v>
      </c>
      <c r="D980" s="97" t="s">
        <v>1191</v>
      </c>
      <c r="E980" s="97" t="s">
        <v>607</v>
      </c>
      <c r="F980" s="97" t="b">
        <v>1</v>
      </c>
      <c r="G980" s="97" t="b">
        <v>1</v>
      </c>
      <c r="H980" s="98">
        <f>IF(A980:A2055="", "", COUNTIF(Check!H:H, A979:A2055))</f>
        <v>1</v>
      </c>
      <c r="I980" s="98"/>
      <c r="J980" s="98"/>
      <c r="K980" s="99"/>
      <c r="L980" s="99"/>
      <c r="M980" s="102"/>
      <c r="N980" s="102"/>
      <c r="O980" s="98"/>
      <c r="P980" s="98"/>
      <c r="Q980" s="98"/>
    </row>
    <row r="981">
      <c r="A981" s="96" t="s">
        <v>3147</v>
      </c>
      <c r="B981" s="97" t="s">
        <v>3148</v>
      </c>
      <c r="C981" s="97" t="s">
        <v>3149</v>
      </c>
      <c r="D981" s="97" t="s">
        <v>1500</v>
      </c>
      <c r="E981" s="97" t="s">
        <v>733</v>
      </c>
      <c r="F981" s="97" t="b">
        <v>0</v>
      </c>
      <c r="G981" s="97" t="b">
        <v>0</v>
      </c>
      <c r="H981" s="98"/>
      <c r="I981" s="98"/>
      <c r="J981" s="98"/>
      <c r="K981" s="100"/>
      <c r="L981" s="107"/>
      <c r="M981" s="100"/>
      <c r="N981" s="101"/>
      <c r="O981" s="98"/>
      <c r="P981" s="98"/>
      <c r="Q981" s="98"/>
    </row>
    <row r="982">
      <c r="A982" s="96" t="s">
        <v>366</v>
      </c>
      <c r="B982" s="97" t="s">
        <v>3150</v>
      </c>
      <c r="C982" s="97" t="s">
        <v>3151</v>
      </c>
      <c r="D982" s="97" t="s">
        <v>764</v>
      </c>
      <c r="E982" s="97" t="s">
        <v>659</v>
      </c>
      <c r="F982" s="97" t="b">
        <v>0</v>
      </c>
      <c r="G982" s="97" t="b">
        <v>0</v>
      </c>
      <c r="H982" s="98"/>
      <c r="I982" s="98"/>
      <c r="J982" s="98"/>
      <c r="K982" s="99"/>
      <c r="L982" s="99"/>
      <c r="M982" s="100"/>
      <c r="N982" s="101"/>
      <c r="O982" s="98"/>
      <c r="P982" s="98"/>
      <c r="Q982" s="98"/>
    </row>
    <row r="983">
      <c r="A983" s="96" t="s">
        <v>3152</v>
      </c>
      <c r="B983" s="97" t="s">
        <v>3153</v>
      </c>
      <c r="C983" s="97" t="s">
        <v>3154</v>
      </c>
      <c r="D983" s="97" t="s">
        <v>615</v>
      </c>
      <c r="E983" s="97" t="s">
        <v>586</v>
      </c>
      <c r="F983" s="97" t="b">
        <v>0</v>
      </c>
      <c r="G983" s="97" t="b">
        <v>0</v>
      </c>
      <c r="H983" s="98"/>
      <c r="I983" s="98"/>
      <c r="J983" s="98"/>
      <c r="K983" s="108"/>
      <c r="L983" s="110"/>
      <c r="M983" s="103"/>
      <c r="N983" s="104"/>
      <c r="O983" s="105"/>
      <c r="P983" s="105"/>
      <c r="Q983" s="98"/>
    </row>
    <row r="984">
      <c r="A984" s="96" t="s">
        <v>3155</v>
      </c>
      <c r="B984" s="97" t="s">
        <v>3156</v>
      </c>
      <c r="C984" s="97" t="s">
        <v>3157</v>
      </c>
      <c r="D984" s="97" t="s">
        <v>1022</v>
      </c>
      <c r="E984" s="97" t="s">
        <v>1013</v>
      </c>
      <c r="F984" s="97" t="b">
        <v>0</v>
      </c>
      <c r="G984" s="97" t="b">
        <v>0</v>
      </c>
      <c r="H984" s="98"/>
      <c r="I984" s="98"/>
      <c r="J984" s="98"/>
      <c r="K984" s="99"/>
      <c r="L984" s="99"/>
      <c r="M984" s="102"/>
      <c r="N984" s="102"/>
      <c r="O984" s="98"/>
      <c r="P984" s="98"/>
      <c r="Q984" s="98"/>
    </row>
    <row r="985">
      <c r="A985" s="96" t="s">
        <v>253</v>
      </c>
      <c r="B985" s="97" t="s">
        <v>3158</v>
      </c>
      <c r="C985" s="97" t="s">
        <v>3159</v>
      </c>
      <c r="D985" s="97" t="s">
        <v>815</v>
      </c>
      <c r="E985" s="97" t="s">
        <v>659</v>
      </c>
      <c r="F985" s="97" t="b">
        <v>1</v>
      </c>
      <c r="G985" s="97" t="b">
        <v>1</v>
      </c>
      <c r="H985" s="98">
        <f>IF(A985:A2055="", "", COUNTIF(Check!H:H, A984:A2055))</f>
        <v>1</v>
      </c>
      <c r="I985" s="98"/>
      <c r="J985" s="98"/>
      <c r="K985" s="99"/>
      <c r="L985" s="99"/>
      <c r="M985" s="100"/>
      <c r="N985" s="101"/>
      <c r="O985" s="98"/>
      <c r="P985" s="98"/>
      <c r="Q985" s="98"/>
    </row>
    <row r="986">
      <c r="A986" s="96" t="s">
        <v>3160</v>
      </c>
      <c r="B986" s="97" t="s">
        <v>3161</v>
      </c>
      <c r="C986" s="97" t="s">
        <v>3162</v>
      </c>
      <c r="D986" s="97" t="s">
        <v>854</v>
      </c>
      <c r="E986" s="97" t="s">
        <v>590</v>
      </c>
      <c r="F986" s="97" t="b">
        <v>0</v>
      </c>
      <c r="G986" s="97" t="b">
        <v>0</v>
      </c>
      <c r="H986" s="98"/>
      <c r="I986" s="98"/>
      <c r="J986" s="98"/>
      <c r="K986" s="99"/>
      <c r="L986" s="99"/>
      <c r="M986" s="102"/>
      <c r="N986" s="102"/>
      <c r="O986" s="98"/>
      <c r="P986" s="98"/>
      <c r="Q986" s="98"/>
    </row>
    <row r="987">
      <c r="A987" s="96" t="s">
        <v>3163</v>
      </c>
      <c r="B987" s="97" t="s">
        <v>3164</v>
      </c>
      <c r="C987" s="97" t="s">
        <v>3165</v>
      </c>
      <c r="D987" s="97" t="s">
        <v>955</v>
      </c>
      <c r="E987" s="97" t="s">
        <v>659</v>
      </c>
      <c r="F987" s="97" t="b">
        <v>0</v>
      </c>
      <c r="G987" s="97" t="b">
        <v>0</v>
      </c>
      <c r="H987" s="98"/>
      <c r="I987" s="98"/>
      <c r="J987" s="98"/>
      <c r="K987" s="99"/>
      <c r="L987" s="99"/>
      <c r="M987" s="102"/>
      <c r="N987" s="102"/>
      <c r="O987" s="98"/>
      <c r="P987" s="98"/>
      <c r="Q987" s="98"/>
    </row>
    <row r="988">
      <c r="A988" s="96" t="s">
        <v>3166</v>
      </c>
      <c r="B988" s="97" t="s">
        <v>3167</v>
      </c>
      <c r="C988" s="97" t="s">
        <v>3168</v>
      </c>
      <c r="D988" s="97" t="s">
        <v>725</v>
      </c>
      <c r="E988" s="97" t="s">
        <v>1134</v>
      </c>
      <c r="F988" s="97" t="b">
        <v>0</v>
      </c>
      <c r="G988" s="97" t="b">
        <v>0</v>
      </c>
      <c r="H988" s="98"/>
      <c r="I988" s="98"/>
      <c r="J988" s="98"/>
      <c r="K988" s="99"/>
      <c r="L988" s="99"/>
      <c r="M988" s="102"/>
      <c r="N988" s="102"/>
      <c r="O988" s="98"/>
      <c r="P988" s="98"/>
      <c r="Q988" s="98"/>
    </row>
    <row r="989">
      <c r="A989" s="96" t="s">
        <v>166</v>
      </c>
      <c r="B989" s="97" t="s">
        <v>3169</v>
      </c>
      <c r="C989" s="97" t="s">
        <v>3170</v>
      </c>
      <c r="D989" s="97" t="s">
        <v>1500</v>
      </c>
      <c r="E989" s="97" t="s">
        <v>663</v>
      </c>
      <c r="F989" s="97" t="b">
        <v>1</v>
      </c>
      <c r="G989" s="97" t="b">
        <v>1</v>
      </c>
      <c r="H989" s="98">
        <f>IF(A989:A2055="", "", COUNTIF(Check!H:H, A988:A2055))</f>
        <v>1</v>
      </c>
      <c r="I989" s="98"/>
      <c r="J989" s="98"/>
      <c r="K989" s="100"/>
      <c r="L989" s="107"/>
      <c r="M989" s="100"/>
      <c r="N989" s="101"/>
      <c r="O989" s="98"/>
      <c r="P989" s="98"/>
      <c r="Q989" s="98"/>
    </row>
    <row r="990">
      <c r="A990" s="96" t="s">
        <v>3171</v>
      </c>
      <c r="B990" s="97" t="s">
        <v>3172</v>
      </c>
      <c r="C990" s="97" t="s">
        <v>3173</v>
      </c>
      <c r="D990" s="97" t="s">
        <v>764</v>
      </c>
      <c r="E990" s="97" t="s">
        <v>625</v>
      </c>
      <c r="F990" s="97" t="b">
        <v>0</v>
      </c>
      <c r="G990" s="97" t="b">
        <v>0</v>
      </c>
      <c r="H990" s="98"/>
      <c r="I990" s="98"/>
      <c r="J990" s="98"/>
      <c r="K990" s="99"/>
      <c r="L990" s="99"/>
      <c r="M990" s="100"/>
      <c r="N990" s="101"/>
      <c r="O990" s="98"/>
      <c r="P990" s="98"/>
      <c r="Q990" s="98"/>
    </row>
    <row r="991">
      <c r="A991" s="96" t="s">
        <v>461</v>
      </c>
      <c r="B991" s="97" t="s">
        <v>3174</v>
      </c>
      <c r="C991" s="97" t="s">
        <v>3175</v>
      </c>
      <c r="D991" s="97" t="s">
        <v>721</v>
      </c>
      <c r="E991" s="97" t="s">
        <v>590</v>
      </c>
      <c r="F991" s="97" t="b">
        <v>1</v>
      </c>
      <c r="G991" s="97" t="b">
        <v>1</v>
      </c>
      <c r="H991" s="98">
        <f>IF(A991:A2055="", "", COUNTIF(Check!H:H, A990:A2055))</f>
        <v>1</v>
      </c>
      <c r="I991" s="98"/>
      <c r="J991" s="98"/>
      <c r="K991" s="99"/>
      <c r="L991" s="99"/>
      <c r="M991" s="102"/>
      <c r="N991" s="102"/>
      <c r="O991" s="98"/>
      <c r="P991" s="98"/>
      <c r="Q991" s="98"/>
    </row>
    <row r="992">
      <c r="A992" s="96" t="s">
        <v>3176</v>
      </c>
      <c r="B992" s="97" t="s">
        <v>3174</v>
      </c>
      <c r="C992" s="97" t="s">
        <v>3177</v>
      </c>
      <c r="D992" s="97" t="s">
        <v>1495</v>
      </c>
      <c r="E992" s="97" t="s">
        <v>733</v>
      </c>
      <c r="F992" s="97" t="b">
        <v>0</v>
      </c>
      <c r="G992" s="97" t="b">
        <v>0</v>
      </c>
      <c r="H992" s="98"/>
      <c r="I992" s="98"/>
      <c r="J992" s="98"/>
      <c r="K992" s="100"/>
      <c r="L992" s="107"/>
      <c r="M992" s="100"/>
      <c r="N992" s="101"/>
      <c r="O992" s="98"/>
      <c r="P992" s="98"/>
      <c r="Q992" s="98"/>
    </row>
    <row r="993">
      <c r="A993" s="96" t="s">
        <v>148</v>
      </c>
      <c r="B993" s="97" t="s">
        <v>3178</v>
      </c>
      <c r="C993" s="97" t="s">
        <v>3179</v>
      </c>
      <c r="D993" s="97" t="s">
        <v>948</v>
      </c>
      <c r="E993" s="97" t="s">
        <v>611</v>
      </c>
      <c r="F993" s="97" t="b">
        <v>1</v>
      </c>
      <c r="G993" s="97" t="b">
        <v>1</v>
      </c>
      <c r="H993" s="98">
        <f>IF(A993:A2055="", "", COUNTIF(Check!H:H, A992:A2055))</f>
        <v>1</v>
      </c>
      <c r="I993" s="98"/>
      <c r="J993" s="98"/>
      <c r="K993" s="108"/>
      <c r="L993" s="109"/>
      <c r="M993" s="102"/>
      <c r="N993" s="102"/>
      <c r="O993" s="98"/>
      <c r="P993" s="98"/>
      <c r="Q993" s="98"/>
    </row>
    <row r="994">
      <c r="A994" s="96" t="s">
        <v>3180</v>
      </c>
      <c r="B994" s="97" t="s">
        <v>3181</v>
      </c>
      <c r="C994" s="97" t="s">
        <v>3182</v>
      </c>
      <c r="D994" s="97" t="s">
        <v>815</v>
      </c>
      <c r="E994" s="97" t="s">
        <v>688</v>
      </c>
      <c r="F994" s="97" t="b">
        <v>0</v>
      </c>
      <c r="G994" s="97" t="b">
        <v>0</v>
      </c>
      <c r="H994" s="98"/>
      <c r="I994" s="98"/>
      <c r="J994" s="98"/>
      <c r="K994" s="99"/>
      <c r="L994" s="99"/>
      <c r="M994" s="102"/>
      <c r="N994" s="102"/>
      <c r="O994" s="98"/>
      <c r="P994" s="98"/>
      <c r="Q994" s="98"/>
    </row>
    <row r="995">
      <c r="A995" s="96" t="s">
        <v>3180</v>
      </c>
      <c r="B995" s="97" t="s">
        <v>3181</v>
      </c>
      <c r="C995" s="97" t="s">
        <v>3182</v>
      </c>
      <c r="D995" s="97" t="s">
        <v>815</v>
      </c>
      <c r="E995" s="97" t="s">
        <v>688</v>
      </c>
      <c r="F995" s="97" t="b">
        <v>0</v>
      </c>
      <c r="G995" s="97" t="b">
        <v>0</v>
      </c>
      <c r="H995" s="98"/>
      <c r="I995" s="98"/>
      <c r="J995" s="98"/>
      <c r="K995" s="99"/>
      <c r="L995" s="99"/>
      <c r="M995" s="102"/>
      <c r="N995" s="102"/>
      <c r="O995" s="98"/>
      <c r="P995" s="98"/>
      <c r="Q995" s="98"/>
    </row>
    <row r="996">
      <c r="A996" s="96" t="s">
        <v>3183</v>
      </c>
      <c r="B996" s="97" t="s">
        <v>3184</v>
      </c>
      <c r="C996" s="97" t="s">
        <v>3185</v>
      </c>
      <c r="D996" s="97" t="s">
        <v>755</v>
      </c>
      <c r="E996" s="97" t="s">
        <v>649</v>
      </c>
      <c r="F996" s="97" t="b">
        <v>0</v>
      </c>
      <c r="G996" s="97" t="b">
        <v>0</v>
      </c>
      <c r="H996" s="98"/>
      <c r="I996" s="98"/>
      <c r="J996" s="98"/>
      <c r="K996" s="100" t="s">
        <v>948</v>
      </c>
      <c r="L996" s="101">
        <f>COUNTIFS($D$2:$D$1039, K996, $F$2:$F$1039, TRUE)</f>
        <v>9</v>
      </c>
      <c r="M996" s="100" t="s">
        <v>1234</v>
      </c>
      <c r="N996" s="101">
        <f>COUNTIFS($E$2:$E$1039, M996, $F$2:$F$1039, TRUE)</f>
        <v>0</v>
      </c>
      <c r="O996" s="98"/>
      <c r="P996" s="98"/>
      <c r="Q996" s="98"/>
    </row>
    <row r="997">
      <c r="A997" s="96" t="s">
        <v>306</v>
      </c>
      <c r="B997" s="97" t="s">
        <v>3186</v>
      </c>
      <c r="C997" s="97" t="s">
        <v>3187</v>
      </c>
      <c r="D997" s="97" t="s">
        <v>792</v>
      </c>
      <c r="E997" s="97" t="s">
        <v>607</v>
      </c>
      <c r="F997" s="97" t="b">
        <v>0</v>
      </c>
      <c r="G997" s="97" t="b">
        <v>0</v>
      </c>
      <c r="H997" s="98"/>
      <c r="I997" s="98"/>
      <c r="J997" s="98"/>
      <c r="K997" s="99"/>
      <c r="L997" s="99"/>
      <c r="M997" s="100"/>
      <c r="N997" s="101"/>
      <c r="O997" s="98"/>
      <c r="P997" s="98"/>
      <c r="Q997" s="98"/>
    </row>
    <row r="998">
      <c r="A998" s="96" t="s">
        <v>334</v>
      </c>
      <c r="B998" s="97" t="s">
        <v>3186</v>
      </c>
      <c r="C998" s="97" t="s">
        <v>3188</v>
      </c>
      <c r="D998" s="97" t="s">
        <v>784</v>
      </c>
      <c r="E998" s="97" t="s">
        <v>767</v>
      </c>
      <c r="F998" s="97" t="b">
        <v>1</v>
      </c>
      <c r="G998" s="97" t="b">
        <v>1</v>
      </c>
      <c r="H998" s="98">
        <f>IF(A998:A2055="", "", COUNTIF(Check!H:H, A997:A2055))</f>
        <v>1</v>
      </c>
      <c r="I998" s="98"/>
      <c r="J998" s="98"/>
      <c r="K998" s="100"/>
      <c r="L998" s="101"/>
      <c r="M998" s="108"/>
      <c r="N998" s="109"/>
      <c r="O998" s="98"/>
      <c r="P998" s="98"/>
      <c r="Q998" s="98"/>
    </row>
    <row r="999">
      <c r="A999" s="96" t="s">
        <v>3189</v>
      </c>
      <c r="B999" s="97" t="s">
        <v>3190</v>
      </c>
      <c r="C999" s="97" t="s">
        <v>3191</v>
      </c>
      <c r="D999" s="97" t="s">
        <v>894</v>
      </c>
      <c r="E999" s="97" t="s">
        <v>3192</v>
      </c>
      <c r="F999" s="97" t="b">
        <v>0</v>
      </c>
      <c r="G999" s="97" t="b">
        <v>0</v>
      </c>
      <c r="H999" s="98"/>
      <c r="I999" s="98"/>
      <c r="J999" s="98"/>
      <c r="K999" s="99"/>
      <c r="L999" s="99"/>
      <c r="M999" s="102"/>
      <c r="N999" s="102"/>
      <c r="O999" s="98"/>
      <c r="P999" s="98"/>
      <c r="Q999" s="98"/>
    </row>
    <row r="1000">
      <c r="A1000" s="96" t="s">
        <v>459</v>
      </c>
      <c r="B1000" s="97" t="s">
        <v>3193</v>
      </c>
      <c r="C1000" s="97" t="s">
        <v>3194</v>
      </c>
      <c r="D1000" s="97" t="s">
        <v>964</v>
      </c>
      <c r="E1000" s="97" t="s">
        <v>590</v>
      </c>
      <c r="F1000" s="97" t="b">
        <v>1</v>
      </c>
      <c r="G1000" s="97" t="b">
        <v>1</v>
      </c>
      <c r="H1000" s="98">
        <f>IF(A1000:A2055="", "", COUNTIF(Check!H:H, A999:A2055))</f>
        <v>1</v>
      </c>
      <c r="I1000" s="98"/>
      <c r="K1000" s="99"/>
      <c r="L1000" s="99"/>
      <c r="M1000" s="103"/>
      <c r="N1000" s="104"/>
      <c r="O1000" s="106"/>
      <c r="P1000" s="106"/>
      <c r="Q1000" s="98"/>
    </row>
    <row r="1001">
      <c r="A1001" s="96" t="s">
        <v>3195</v>
      </c>
      <c r="B1001" s="97" t="s">
        <v>3193</v>
      </c>
      <c r="C1001" s="97" t="s">
        <v>3196</v>
      </c>
      <c r="D1001" s="97" t="s">
        <v>784</v>
      </c>
      <c r="E1001" s="97" t="s">
        <v>586</v>
      </c>
      <c r="F1001" s="97" t="b">
        <v>0</v>
      </c>
      <c r="G1001" s="97" t="b">
        <v>0</v>
      </c>
      <c r="H1001" s="98"/>
      <c r="I1001" s="98"/>
      <c r="J1001" s="98"/>
      <c r="K1001" s="99"/>
      <c r="L1001" s="99"/>
      <c r="M1001" s="108"/>
      <c r="N1001" s="109"/>
      <c r="O1001" s="98"/>
      <c r="P1001" s="98"/>
      <c r="Q1001" s="98"/>
    </row>
    <row r="1002">
      <c r="A1002" s="96" t="s">
        <v>3197</v>
      </c>
      <c r="B1002" s="97" t="s">
        <v>3198</v>
      </c>
      <c r="C1002" s="97" t="s">
        <v>3199</v>
      </c>
      <c r="D1002" s="97" t="s">
        <v>684</v>
      </c>
      <c r="E1002" s="97" t="s">
        <v>733</v>
      </c>
      <c r="F1002" s="97" t="b">
        <v>0</v>
      </c>
      <c r="G1002" s="97" t="b">
        <v>0</v>
      </c>
      <c r="H1002" s="98"/>
      <c r="I1002" s="98"/>
      <c r="J1002" s="98"/>
      <c r="K1002" s="102"/>
      <c r="L1002" s="102"/>
      <c r="M1002" s="102"/>
      <c r="N1002" s="102"/>
      <c r="O1002" s="98"/>
      <c r="P1002" s="98"/>
      <c r="Q1002" s="98"/>
    </row>
    <row r="1003">
      <c r="A1003" s="96" t="s">
        <v>382</v>
      </c>
      <c r="B1003" s="97" t="s">
        <v>3200</v>
      </c>
      <c r="C1003" s="97" t="s">
        <v>3201</v>
      </c>
      <c r="D1003" s="97" t="s">
        <v>964</v>
      </c>
      <c r="E1003" s="97" t="s">
        <v>611</v>
      </c>
      <c r="F1003" s="97" t="b">
        <v>1</v>
      </c>
      <c r="G1003" s="97" t="b">
        <v>1</v>
      </c>
      <c r="H1003" s="98">
        <f>IF(A1003:A2055="", "", COUNTIF(Check!H:H, A1002:A2055))</f>
        <v>1</v>
      </c>
      <c r="I1003" s="98"/>
      <c r="J1003" s="98"/>
      <c r="K1003" s="99"/>
      <c r="L1003" s="99"/>
      <c r="M1003" s="103"/>
      <c r="N1003" s="104"/>
      <c r="O1003" s="105"/>
      <c r="P1003" s="105"/>
      <c r="Q1003" s="98"/>
    </row>
    <row r="1004">
      <c r="A1004" s="96" t="s">
        <v>322</v>
      </c>
      <c r="B1004" s="97" t="s">
        <v>3202</v>
      </c>
      <c r="C1004" s="97" t="s">
        <v>3203</v>
      </c>
      <c r="D1004" s="97" t="s">
        <v>708</v>
      </c>
      <c r="E1004" s="97" t="s">
        <v>830</v>
      </c>
      <c r="F1004" s="97" t="b">
        <v>1</v>
      </c>
      <c r="G1004" s="97" t="b">
        <v>1</v>
      </c>
      <c r="H1004" s="98">
        <f>IF(A1004:A2055="", "", COUNTIF(Check!H:H, A1003:A2055))</f>
        <v>1</v>
      </c>
      <c r="I1004" s="98"/>
      <c r="J1004" s="98"/>
      <c r="K1004" s="100"/>
      <c r="L1004" s="107"/>
      <c r="M1004" s="102"/>
      <c r="N1004" s="102"/>
      <c r="O1004" s="98"/>
      <c r="P1004" s="98"/>
      <c r="Q1004" s="98"/>
    </row>
    <row r="1005">
      <c r="A1005" s="96" t="s">
        <v>3204</v>
      </c>
      <c r="B1005" s="97" t="s">
        <v>3205</v>
      </c>
      <c r="C1005" s="97" t="s">
        <v>3206</v>
      </c>
      <c r="D1005" s="97" t="s">
        <v>854</v>
      </c>
      <c r="E1005" s="97" t="s">
        <v>711</v>
      </c>
      <c r="F1005" s="97" t="b">
        <v>0</v>
      </c>
      <c r="G1005" s="97" t="b">
        <v>0</v>
      </c>
      <c r="H1005" s="98"/>
      <c r="I1005" s="98"/>
      <c r="J1005" s="98"/>
      <c r="K1005" s="108"/>
      <c r="L1005" s="109"/>
      <c r="M1005" s="100"/>
      <c r="N1005" s="101"/>
      <c r="O1005" s="98"/>
      <c r="P1005" s="98"/>
      <c r="Q1005" s="98"/>
    </row>
    <row r="1006">
      <c r="A1006" s="96" t="s">
        <v>3207</v>
      </c>
      <c r="B1006" s="97" t="s">
        <v>3208</v>
      </c>
      <c r="C1006" s="97" t="s">
        <v>3209</v>
      </c>
      <c r="D1006" s="97" t="s">
        <v>1089</v>
      </c>
      <c r="E1006" s="97" t="s">
        <v>848</v>
      </c>
      <c r="F1006" s="97" t="b">
        <v>0</v>
      </c>
      <c r="G1006" s="97" t="b">
        <v>0</v>
      </c>
      <c r="H1006" s="98"/>
      <c r="I1006" s="98"/>
      <c r="J1006" s="98"/>
      <c r="K1006" s="99"/>
      <c r="L1006" s="99"/>
      <c r="M1006" s="102"/>
      <c r="N1006" s="102"/>
      <c r="O1006" s="98"/>
      <c r="P1006" s="98"/>
      <c r="Q1006" s="98"/>
    </row>
    <row r="1007">
      <c r="A1007" s="96" t="s">
        <v>331</v>
      </c>
      <c r="B1007" s="97" t="s">
        <v>3210</v>
      </c>
      <c r="C1007" s="97" t="s">
        <v>3211</v>
      </c>
      <c r="D1007" s="97" t="s">
        <v>1417</v>
      </c>
      <c r="E1007" s="97" t="s">
        <v>767</v>
      </c>
      <c r="F1007" s="97" t="b">
        <v>1</v>
      </c>
      <c r="G1007" s="97" t="b">
        <v>1</v>
      </c>
      <c r="H1007" s="98">
        <f>IF(A1007:A2055="", "", COUNTIF(Check!H:H, A1006:A2055))</f>
        <v>1</v>
      </c>
      <c r="I1007" s="98"/>
      <c r="J1007" s="98"/>
      <c r="K1007" s="99"/>
      <c r="L1007" s="99"/>
      <c r="M1007" s="102"/>
      <c r="N1007" s="102"/>
      <c r="O1007" s="98"/>
      <c r="P1007" s="98"/>
      <c r="Q1007" s="98"/>
    </row>
    <row r="1008">
      <c r="A1008" s="96" t="s">
        <v>3212</v>
      </c>
      <c r="B1008" s="97" t="s">
        <v>3213</v>
      </c>
      <c r="C1008" s="97" t="s">
        <v>3214</v>
      </c>
      <c r="D1008" s="97" t="s">
        <v>920</v>
      </c>
      <c r="E1008" s="97" t="s">
        <v>1512</v>
      </c>
      <c r="F1008" s="97" t="b">
        <v>0</v>
      </c>
      <c r="G1008" s="97" t="b">
        <v>0</v>
      </c>
      <c r="H1008" s="98"/>
      <c r="I1008" s="98"/>
      <c r="J1008" s="98"/>
      <c r="K1008" s="99"/>
      <c r="L1008" s="99"/>
      <c r="M1008" s="108"/>
      <c r="N1008" s="109"/>
      <c r="O1008" s="98"/>
      <c r="P1008" s="98"/>
      <c r="Q1008" s="98"/>
    </row>
    <row r="1009">
      <c r="A1009" s="96" t="s">
        <v>287</v>
      </c>
      <c r="B1009" s="97" t="s">
        <v>3215</v>
      </c>
      <c r="C1009" s="97" t="s">
        <v>3216</v>
      </c>
      <c r="D1009" s="97" t="s">
        <v>920</v>
      </c>
      <c r="E1009" s="97" t="s">
        <v>1134</v>
      </c>
      <c r="F1009" s="97" t="b">
        <v>1</v>
      </c>
      <c r="G1009" s="97" t="b">
        <v>1</v>
      </c>
      <c r="H1009" s="98">
        <f>IF(A1009:A2055="", "", COUNTIF(Check!H:H, A1008:A2055))</f>
        <v>1</v>
      </c>
      <c r="I1009" s="98"/>
      <c r="J1009" s="98"/>
      <c r="K1009" s="99"/>
      <c r="L1009" s="99"/>
      <c r="M1009" s="102"/>
      <c r="N1009" s="102"/>
      <c r="O1009" s="98"/>
      <c r="P1009" s="98"/>
      <c r="Q1009" s="98"/>
    </row>
    <row r="1010">
      <c r="A1010" s="96" t="s">
        <v>578</v>
      </c>
      <c r="B1010" s="97" t="s">
        <v>3217</v>
      </c>
      <c r="C1010" s="97" t="s">
        <v>3218</v>
      </c>
      <c r="D1010" s="97" t="s">
        <v>821</v>
      </c>
      <c r="E1010" s="97" t="s">
        <v>752</v>
      </c>
      <c r="F1010" s="97" t="b">
        <v>0</v>
      </c>
      <c r="G1010" s="97" t="b">
        <v>0</v>
      </c>
      <c r="H1010" s="98"/>
      <c r="I1010" s="98"/>
      <c r="J1010" s="98"/>
      <c r="K1010" s="99"/>
      <c r="L1010" s="99"/>
      <c r="M1010" s="102"/>
      <c r="N1010" s="102"/>
      <c r="O1010" s="98"/>
      <c r="P1010" s="98"/>
      <c r="Q1010" s="106"/>
    </row>
    <row r="1011">
      <c r="A1011" s="96" t="s">
        <v>3219</v>
      </c>
      <c r="B1011" s="97" t="s">
        <v>3220</v>
      </c>
      <c r="C1011" s="97" t="s">
        <v>3221</v>
      </c>
      <c r="D1011" s="97" t="s">
        <v>955</v>
      </c>
      <c r="E1011" s="97" t="s">
        <v>2441</v>
      </c>
      <c r="F1011" s="97" t="b">
        <v>0</v>
      </c>
      <c r="G1011" s="97" t="b">
        <v>0</v>
      </c>
      <c r="H1011" s="98"/>
      <c r="I1011" s="98"/>
      <c r="J1011" s="98"/>
      <c r="K1011" s="108" t="s">
        <v>1237</v>
      </c>
      <c r="L1011" s="109">
        <f>COUNTIFS($D$2:$D$1039, K1011, $F$2:$F$1039, TRUE)</f>
        <v>5</v>
      </c>
      <c r="M1011" s="108" t="s">
        <v>1101</v>
      </c>
      <c r="N1011" s="109">
        <f>COUNTIFS($E$2:$E$1039, M1011, $F$2:$F$1039, TRUE)</f>
        <v>0</v>
      </c>
      <c r="O1011" s="98"/>
      <c r="P1011" s="98"/>
      <c r="Q1011" s="105"/>
    </row>
    <row r="1012">
      <c r="A1012" s="96" t="s">
        <v>312</v>
      </c>
      <c r="B1012" s="97" t="s">
        <v>3220</v>
      </c>
      <c r="C1012" s="97" t="s">
        <v>3222</v>
      </c>
      <c r="D1012" s="97" t="s">
        <v>1503</v>
      </c>
      <c r="E1012" s="97" t="s">
        <v>616</v>
      </c>
      <c r="F1012" s="97" t="b">
        <v>1</v>
      </c>
      <c r="G1012" s="97" t="b">
        <v>1</v>
      </c>
      <c r="H1012" s="98">
        <f>IF(A1012:A2055="", "", COUNTIF(Check!H:H, A1011:A2055))</f>
        <v>1</v>
      </c>
      <c r="I1012" s="98"/>
      <c r="J1012" s="98"/>
      <c r="K1012" s="99"/>
      <c r="L1012" s="99"/>
      <c r="M1012" s="100"/>
      <c r="N1012" s="101"/>
      <c r="O1012" s="98"/>
      <c r="P1012" s="98"/>
      <c r="Q1012" s="105"/>
    </row>
    <row r="1013">
      <c r="A1013" s="96" t="s">
        <v>3223</v>
      </c>
      <c r="B1013" s="97" t="s">
        <v>3220</v>
      </c>
      <c r="C1013" s="97" t="s">
        <v>3224</v>
      </c>
      <c r="D1013" s="97" t="s">
        <v>821</v>
      </c>
      <c r="E1013" s="97" t="s">
        <v>770</v>
      </c>
      <c r="F1013" s="97" t="b">
        <v>0</v>
      </c>
      <c r="G1013" s="97" t="b">
        <v>0</v>
      </c>
      <c r="H1013" s="111"/>
      <c r="I1013" s="111"/>
      <c r="J1013" s="111"/>
      <c r="K1013" s="100"/>
      <c r="L1013" s="107"/>
      <c r="M1013" s="102"/>
      <c r="N1013" s="102"/>
      <c r="O1013" s="111"/>
      <c r="P1013" s="111"/>
      <c r="Q1013" s="98"/>
    </row>
    <row r="1014">
      <c r="A1014" s="96" t="s">
        <v>3225</v>
      </c>
      <c r="B1014" s="97" t="s">
        <v>3226</v>
      </c>
      <c r="C1014" s="97" t="s">
        <v>3227</v>
      </c>
      <c r="D1014" s="97" t="s">
        <v>844</v>
      </c>
      <c r="E1014" s="97" t="s">
        <v>1244</v>
      </c>
      <c r="F1014" s="97" t="b">
        <v>0</v>
      </c>
      <c r="G1014" s="97" t="b">
        <v>0</v>
      </c>
      <c r="H1014" s="98"/>
      <c r="I1014" s="98"/>
      <c r="J1014" s="98"/>
      <c r="K1014" s="99"/>
      <c r="L1014" s="99"/>
      <c r="M1014" s="102"/>
      <c r="N1014" s="102"/>
      <c r="O1014" s="98"/>
      <c r="P1014" s="98"/>
      <c r="Q1014" s="98"/>
    </row>
    <row r="1015">
      <c r="A1015" s="96" t="s">
        <v>408</v>
      </c>
      <c r="B1015" s="97" t="s">
        <v>3226</v>
      </c>
      <c r="C1015" s="97" t="s">
        <v>3228</v>
      </c>
      <c r="D1015" s="97" t="s">
        <v>721</v>
      </c>
      <c r="E1015" s="97" t="s">
        <v>733</v>
      </c>
      <c r="F1015" s="97" t="b">
        <v>1</v>
      </c>
      <c r="G1015" s="97" t="b">
        <v>1</v>
      </c>
      <c r="H1015" s="98">
        <f>IF(A1015:A2055="", "", COUNTIF(Check!H:H, A1014:A2055))</f>
        <v>1</v>
      </c>
      <c r="I1015" s="98"/>
      <c r="J1015" s="98"/>
      <c r="K1015" s="100"/>
      <c r="L1015" s="107"/>
      <c r="M1015" s="100"/>
      <c r="N1015" s="101"/>
      <c r="O1015" s="98"/>
      <c r="P1015" s="98"/>
      <c r="Q1015" s="98"/>
    </row>
    <row r="1016">
      <c r="A1016" s="96" t="s">
        <v>3229</v>
      </c>
      <c r="B1016" s="97" t="s">
        <v>3230</v>
      </c>
      <c r="C1016" s="97" t="s">
        <v>3231</v>
      </c>
      <c r="D1016" s="97" t="s">
        <v>619</v>
      </c>
      <c r="E1016" s="97" t="s">
        <v>1150</v>
      </c>
      <c r="F1016" s="97" t="b">
        <v>0</v>
      </c>
      <c r="G1016" s="97" t="b">
        <v>0</v>
      </c>
      <c r="H1016" s="98"/>
      <c r="I1016" s="98"/>
      <c r="J1016" s="98"/>
      <c r="K1016" s="99"/>
      <c r="L1016" s="99"/>
      <c r="M1016" s="102"/>
      <c r="N1016" s="102"/>
      <c r="O1016" s="98"/>
      <c r="P1016" s="98"/>
      <c r="Q1016" s="98"/>
    </row>
    <row r="1017">
      <c r="A1017" s="96" t="s">
        <v>487</v>
      </c>
      <c r="B1017" s="97" t="s">
        <v>3232</v>
      </c>
      <c r="C1017" s="97" t="s">
        <v>3233</v>
      </c>
      <c r="D1017" s="97" t="s">
        <v>740</v>
      </c>
      <c r="E1017" s="97" t="s">
        <v>620</v>
      </c>
      <c r="F1017" s="97" t="b">
        <v>1</v>
      </c>
      <c r="G1017" s="97" t="b">
        <v>1</v>
      </c>
      <c r="H1017" s="98">
        <f>IF(A1017:A2055="", "", COUNTIF(Check!H:H, A1016:A2055))</f>
        <v>1</v>
      </c>
      <c r="I1017" s="98"/>
      <c r="J1017" s="98"/>
      <c r="K1017" s="102"/>
      <c r="L1017" s="102"/>
      <c r="M1017" s="102"/>
      <c r="N1017" s="102"/>
      <c r="O1017" s="98"/>
      <c r="P1017" s="98"/>
      <c r="Q1017" s="98"/>
    </row>
    <row r="1018">
      <c r="A1018" s="96" t="s">
        <v>522</v>
      </c>
      <c r="B1018" s="97" t="s">
        <v>3234</v>
      </c>
      <c r="C1018" s="97" t="s">
        <v>3235</v>
      </c>
      <c r="D1018" s="97" t="s">
        <v>948</v>
      </c>
      <c r="E1018" s="97" t="s">
        <v>711</v>
      </c>
      <c r="F1018" s="97" t="b">
        <v>1</v>
      </c>
      <c r="G1018" s="97" t="b">
        <v>1</v>
      </c>
      <c r="H1018" s="98">
        <f>IF(A1018:A2055="", "", COUNTIF(Check!H:H, A1017:A2055))</f>
        <v>1</v>
      </c>
      <c r="I1018" s="98"/>
      <c r="J1018" s="98"/>
      <c r="K1018" s="99"/>
      <c r="L1018" s="99"/>
      <c r="M1018" s="102"/>
      <c r="N1018" s="102"/>
      <c r="O1018" s="98"/>
      <c r="P1018" s="98"/>
      <c r="Q1018" s="98"/>
    </row>
    <row r="1019">
      <c r="A1019" s="96" t="s">
        <v>3236</v>
      </c>
      <c r="B1019" s="97" t="s">
        <v>3237</v>
      </c>
      <c r="C1019" s="97" t="s">
        <v>3238</v>
      </c>
      <c r="D1019" s="97" t="s">
        <v>1230</v>
      </c>
      <c r="E1019" s="97" t="s">
        <v>777</v>
      </c>
      <c r="F1019" s="97" t="b">
        <v>0</v>
      </c>
      <c r="G1019" s="97" t="b">
        <v>0</v>
      </c>
      <c r="H1019" s="98"/>
      <c r="I1019" s="98"/>
      <c r="J1019" s="98"/>
      <c r="K1019" s="99"/>
      <c r="L1019" s="99"/>
      <c r="M1019" s="102"/>
      <c r="N1019" s="102"/>
      <c r="O1019" s="98"/>
      <c r="P1019" s="98"/>
      <c r="Q1019" s="98"/>
    </row>
    <row r="1020">
      <c r="A1020" s="96" t="s">
        <v>3239</v>
      </c>
      <c r="B1020" s="97" t="s">
        <v>3240</v>
      </c>
      <c r="C1020" s="97" t="s">
        <v>3241</v>
      </c>
      <c r="D1020" s="97" t="s">
        <v>1582</v>
      </c>
      <c r="E1020" s="97" t="s">
        <v>727</v>
      </c>
      <c r="F1020" s="97" t="b">
        <v>0</v>
      </c>
      <c r="G1020" s="97" t="b">
        <v>0</v>
      </c>
      <c r="H1020" s="98"/>
      <c r="I1020" s="98"/>
      <c r="J1020" s="98"/>
      <c r="K1020" s="99"/>
      <c r="L1020" s="99"/>
      <c r="M1020" s="102"/>
      <c r="N1020" s="102"/>
      <c r="O1020" s="98"/>
      <c r="P1020" s="98"/>
      <c r="Q1020" s="98"/>
    </row>
    <row r="1021">
      <c r="A1021" s="96" t="s">
        <v>3242</v>
      </c>
      <c r="B1021" s="97" t="s">
        <v>3243</v>
      </c>
      <c r="C1021" s="97" t="s">
        <v>3244</v>
      </c>
      <c r="D1021" s="97" t="s">
        <v>834</v>
      </c>
      <c r="E1021" s="97" t="s">
        <v>932</v>
      </c>
      <c r="F1021" s="97" t="b">
        <v>0</v>
      </c>
      <c r="G1021" s="97" t="b">
        <v>0</v>
      </c>
      <c r="H1021" s="98"/>
      <c r="I1021" s="98"/>
      <c r="J1021" s="98"/>
      <c r="K1021" s="99"/>
      <c r="L1021" s="99"/>
      <c r="M1021" s="102"/>
      <c r="N1021" s="102"/>
      <c r="O1021" s="98"/>
      <c r="P1021" s="98"/>
      <c r="Q1021" s="98"/>
    </row>
    <row r="1022">
      <c r="A1022" s="96" t="s">
        <v>3245</v>
      </c>
      <c r="B1022" s="97" t="s">
        <v>3246</v>
      </c>
      <c r="C1022" s="97" t="s">
        <v>3247</v>
      </c>
      <c r="D1022" s="97" t="s">
        <v>1615</v>
      </c>
      <c r="E1022" s="97" t="s">
        <v>590</v>
      </c>
      <c r="F1022" s="97" t="b">
        <v>0</v>
      </c>
      <c r="G1022" s="97" t="b">
        <v>0</v>
      </c>
      <c r="H1022" s="98"/>
      <c r="I1022" s="98"/>
      <c r="J1022" s="98"/>
      <c r="K1022" s="99"/>
      <c r="L1022" s="99"/>
      <c r="M1022" s="102"/>
      <c r="N1022" s="102"/>
      <c r="O1022" s="98"/>
      <c r="P1022" s="98"/>
      <c r="Q1022" s="98"/>
    </row>
    <row r="1023">
      <c r="A1023" s="96" t="s">
        <v>3248</v>
      </c>
      <c r="B1023" s="97" t="s">
        <v>3249</v>
      </c>
      <c r="C1023" s="97" t="s">
        <v>3250</v>
      </c>
      <c r="D1023" s="97" t="s">
        <v>847</v>
      </c>
      <c r="E1023" s="97" t="s">
        <v>640</v>
      </c>
      <c r="F1023" s="97" t="b">
        <v>0</v>
      </c>
      <c r="G1023" s="97" t="b">
        <v>0</v>
      </c>
      <c r="H1023" s="98"/>
      <c r="I1023" s="98"/>
      <c r="J1023" s="98"/>
      <c r="K1023" s="99"/>
      <c r="L1023" s="99"/>
      <c r="M1023" s="103"/>
      <c r="N1023" s="104"/>
      <c r="O1023" s="98"/>
      <c r="P1023" s="98"/>
      <c r="Q1023" s="98"/>
    </row>
    <row r="1024">
      <c r="A1024" s="96" t="s">
        <v>112</v>
      </c>
      <c r="B1024" s="97" t="s">
        <v>3251</v>
      </c>
      <c r="C1024" s="97" t="s">
        <v>3252</v>
      </c>
      <c r="D1024" s="97" t="s">
        <v>847</v>
      </c>
      <c r="E1024" s="97" t="s">
        <v>616</v>
      </c>
      <c r="F1024" s="97" t="b">
        <v>1</v>
      </c>
      <c r="G1024" s="97" t="b">
        <v>1</v>
      </c>
      <c r="H1024" s="98">
        <f>IF(A1024:A2055="", "", COUNTIF(Check!H:H, A1023:A2055))</f>
        <v>1</v>
      </c>
      <c r="I1024" s="98"/>
      <c r="J1024" s="98"/>
      <c r="K1024" s="99"/>
      <c r="L1024" s="99"/>
      <c r="M1024" s="100"/>
      <c r="N1024" s="101"/>
      <c r="O1024" s="98"/>
      <c r="P1024" s="98"/>
      <c r="Q1024" s="98"/>
    </row>
    <row r="1025">
      <c r="A1025" s="96" t="s">
        <v>68</v>
      </c>
      <c r="B1025" s="97" t="s">
        <v>3253</v>
      </c>
      <c r="C1025" s="97" t="s">
        <v>3254</v>
      </c>
      <c r="D1025" s="97" t="s">
        <v>1022</v>
      </c>
      <c r="E1025" s="97" t="s">
        <v>727</v>
      </c>
      <c r="F1025" s="97" t="b">
        <v>1</v>
      </c>
      <c r="G1025" s="97" t="b">
        <v>1</v>
      </c>
      <c r="H1025" s="98">
        <f>IF(A1025:A2055="", "", COUNTIF(Check!H:H, A1024:A2055))</f>
        <v>1</v>
      </c>
      <c r="I1025" s="98"/>
      <c r="J1025" s="98"/>
      <c r="K1025" s="99"/>
      <c r="L1025" s="99"/>
      <c r="M1025" s="100"/>
      <c r="N1025" s="101"/>
      <c r="O1025" s="98"/>
      <c r="P1025" s="98"/>
      <c r="Q1025" s="98"/>
    </row>
    <row r="1026">
      <c r="A1026" s="96" t="s">
        <v>307</v>
      </c>
      <c r="B1026" s="97" t="s">
        <v>3255</v>
      </c>
      <c r="C1026" s="97" t="s">
        <v>3256</v>
      </c>
      <c r="D1026" s="97" t="s">
        <v>696</v>
      </c>
      <c r="E1026" s="97" t="s">
        <v>711</v>
      </c>
      <c r="F1026" s="97" t="b">
        <v>1</v>
      </c>
      <c r="G1026" s="97" t="b">
        <v>1</v>
      </c>
      <c r="H1026" s="98">
        <f>IF(A1026:A2055="", "", COUNTIF(Check!H:H, A1025:A2055))</f>
        <v>1</v>
      </c>
      <c r="I1026" s="98"/>
      <c r="J1026" s="98"/>
      <c r="K1026" s="99"/>
      <c r="L1026" s="99"/>
      <c r="M1026" s="103"/>
      <c r="N1026" s="104"/>
      <c r="O1026" s="106"/>
      <c r="P1026" s="106"/>
      <c r="Q1026" s="98"/>
    </row>
    <row r="1027">
      <c r="A1027" s="96" t="s">
        <v>231</v>
      </c>
      <c r="B1027" s="97" t="s">
        <v>3257</v>
      </c>
      <c r="C1027" s="97" t="s">
        <v>3258</v>
      </c>
      <c r="D1027" s="97" t="s">
        <v>877</v>
      </c>
      <c r="E1027" s="97" t="s">
        <v>761</v>
      </c>
      <c r="F1027" s="97" t="b">
        <v>1</v>
      </c>
      <c r="G1027" s="97" t="b">
        <v>1</v>
      </c>
      <c r="H1027" s="98">
        <f>IF(A1027:A2055="", "", COUNTIF(Check!H:H, A1026:A2055))</f>
        <v>1</v>
      </c>
      <c r="I1027" s="98"/>
      <c r="J1027" s="98"/>
      <c r="K1027" s="99"/>
      <c r="L1027" s="99"/>
      <c r="M1027" s="102"/>
      <c r="N1027" s="102"/>
      <c r="O1027" s="98"/>
      <c r="P1027" s="98"/>
      <c r="Q1027" s="98"/>
    </row>
    <row r="1028">
      <c r="A1028" s="96" t="s">
        <v>193</v>
      </c>
      <c r="B1028" s="97" t="s">
        <v>3259</v>
      </c>
      <c r="C1028" s="97" t="s">
        <v>3260</v>
      </c>
      <c r="D1028" s="97" t="s">
        <v>1503</v>
      </c>
      <c r="E1028" s="97" t="s">
        <v>722</v>
      </c>
      <c r="F1028" s="97" t="b">
        <v>1</v>
      </c>
      <c r="G1028" s="97" t="b">
        <v>1</v>
      </c>
      <c r="H1028" s="98">
        <f>IF(A1028:A2055="", "", COUNTIF(Check!H:H, A1027:A2055))</f>
        <v>1</v>
      </c>
      <c r="I1028" s="98"/>
      <c r="J1028" s="98"/>
      <c r="K1028" s="102"/>
      <c r="L1028" s="102"/>
      <c r="M1028" s="100"/>
      <c r="N1028" s="101"/>
      <c r="O1028" s="98"/>
      <c r="P1028" s="98"/>
      <c r="Q1028" s="98"/>
    </row>
    <row r="1029">
      <c r="A1029" s="96" t="s">
        <v>259</v>
      </c>
      <c r="B1029" s="97" t="s">
        <v>3261</v>
      </c>
      <c r="C1029" s="97" t="s">
        <v>3262</v>
      </c>
      <c r="D1029" s="97" t="s">
        <v>948</v>
      </c>
      <c r="E1029" s="97" t="s">
        <v>611</v>
      </c>
      <c r="F1029" s="97" t="b">
        <v>1</v>
      </c>
      <c r="G1029" s="97" t="b">
        <v>1</v>
      </c>
      <c r="H1029" s="98">
        <f>IF(A1029:A2055="", "", COUNTIF(Check!H:H, A1028:A2055))</f>
        <v>1</v>
      </c>
      <c r="I1029" s="98"/>
      <c r="J1029" s="98"/>
      <c r="K1029" s="99"/>
      <c r="L1029" s="99"/>
      <c r="M1029" s="102"/>
      <c r="N1029" s="102"/>
      <c r="O1029" s="98"/>
      <c r="P1029" s="98"/>
      <c r="Q1029" s="98"/>
    </row>
    <row r="1030">
      <c r="A1030" s="96" t="s">
        <v>3263</v>
      </c>
      <c r="B1030" s="97" t="s">
        <v>3264</v>
      </c>
      <c r="C1030" s="97" t="s">
        <v>3265</v>
      </c>
      <c r="D1030" s="97" t="s">
        <v>732</v>
      </c>
      <c r="E1030" s="97" t="s">
        <v>2247</v>
      </c>
      <c r="F1030" s="97" t="b">
        <v>0</v>
      </c>
      <c r="G1030" s="97" t="b">
        <v>0</v>
      </c>
      <c r="H1030" s="98"/>
      <c r="I1030" s="98"/>
      <c r="J1030" s="98"/>
      <c r="K1030" s="99"/>
      <c r="L1030" s="99"/>
      <c r="M1030" s="102"/>
      <c r="N1030" s="102"/>
      <c r="O1030" s="98"/>
      <c r="P1030" s="98"/>
      <c r="Q1030" s="98"/>
    </row>
    <row r="1031">
      <c r="A1031" s="96" t="s">
        <v>293</v>
      </c>
      <c r="B1031" s="97" t="s">
        <v>3266</v>
      </c>
      <c r="C1031" s="97" t="s">
        <v>3267</v>
      </c>
      <c r="D1031" s="97" t="s">
        <v>684</v>
      </c>
      <c r="E1031" s="97" t="s">
        <v>590</v>
      </c>
      <c r="F1031" s="97" t="b">
        <v>1</v>
      </c>
      <c r="G1031" s="97" t="b">
        <v>1</v>
      </c>
      <c r="H1031" s="98">
        <f>IF(A1031:A2055="", "", COUNTIF(Check!H:H, A1030:A2055))</f>
        <v>1</v>
      </c>
      <c r="I1031" s="98"/>
      <c r="J1031" s="98"/>
      <c r="K1031" s="99"/>
      <c r="L1031" s="99"/>
      <c r="M1031" s="102"/>
      <c r="N1031" s="102"/>
      <c r="O1031" s="98"/>
      <c r="P1031" s="98"/>
      <c r="Q1031" s="98"/>
    </row>
    <row r="1032">
      <c r="A1032" s="96" t="s">
        <v>3268</v>
      </c>
      <c r="B1032" s="97" t="s">
        <v>3269</v>
      </c>
      <c r="C1032" s="97" t="s">
        <v>3270</v>
      </c>
      <c r="D1032" s="97" t="s">
        <v>942</v>
      </c>
      <c r="E1032" s="97" t="s">
        <v>685</v>
      </c>
      <c r="F1032" s="97" t="b">
        <v>0</v>
      </c>
      <c r="G1032" s="97" t="b">
        <v>0</v>
      </c>
      <c r="H1032" s="98"/>
      <c r="I1032" s="98"/>
      <c r="J1032" s="98"/>
      <c r="K1032" s="99"/>
      <c r="L1032" s="99"/>
      <c r="M1032" s="102"/>
      <c r="N1032" s="102"/>
      <c r="O1032" s="98"/>
      <c r="P1032" s="98"/>
      <c r="Q1032" s="98"/>
    </row>
    <row r="1033">
      <c r="A1033" s="96" t="s">
        <v>3271</v>
      </c>
      <c r="B1033" s="97" t="s">
        <v>3272</v>
      </c>
      <c r="C1033" s="97" t="s">
        <v>3273</v>
      </c>
      <c r="D1033" s="97" t="s">
        <v>1026</v>
      </c>
      <c r="E1033" s="97" t="s">
        <v>1244</v>
      </c>
      <c r="F1033" s="97" t="b">
        <v>0</v>
      </c>
      <c r="G1033" s="97" t="b">
        <v>0</v>
      </c>
      <c r="H1033" s="98"/>
      <c r="I1033" s="98"/>
      <c r="J1033" s="98"/>
      <c r="K1033" s="99"/>
      <c r="L1033" s="99"/>
      <c r="M1033" s="102"/>
      <c r="N1033" s="102"/>
      <c r="O1033" s="98"/>
      <c r="P1033" s="98"/>
      <c r="Q1033" s="98"/>
    </row>
    <row r="1034">
      <c r="A1034" s="96" t="s">
        <v>3274</v>
      </c>
      <c r="B1034" s="97" t="s">
        <v>3275</v>
      </c>
      <c r="C1034" s="97" t="s">
        <v>3276</v>
      </c>
      <c r="D1034" s="97" t="s">
        <v>629</v>
      </c>
      <c r="E1034" s="97" t="s">
        <v>644</v>
      </c>
      <c r="F1034" s="97" t="b">
        <v>0</v>
      </c>
      <c r="G1034" s="97" t="b">
        <v>0</v>
      </c>
      <c r="H1034" s="98"/>
      <c r="I1034" s="98"/>
      <c r="J1034" s="98"/>
      <c r="K1034" s="99"/>
      <c r="L1034" s="99"/>
      <c r="M1034" s="102"/>
      <c r="N1034" s="102"/>
      <c r="O1034" s="98"/>
      <c r="P1034" s="98"/>
      <c r="Q1034" s="98"/>
    </row>
    <row r="1035">
      <c r="A1035" s="96" t="s">
        <v>3277</v>
      </c>
      <c r="B1035" s="97" t="s">
        <v>3278</v>
      </c>
      <c r="C1035" s="97" t="s">
        <v>3279</v>
      </c>
      <c r="D1035" s="97" t="s">
        <v>639</v>
      </c>
      <c r="E1035" s="97" t="s">
        <v>1165</v>
      </c>
      <c r="F1035" s="97" t="b">
        <v>0</v>
      </c>
      <c r="G1035" s="97" t="b">
        <v>0</v>
      </c>
      <c r="H1035" s="98"/>
      <c r="I1035" s="98"/>
      <c r="J1035" s="98"/>
      <c r="K1035" s="103"/>
      <c r="L1035" s="112"/>
      <c r="M1035" s="103"/>
      <c r="N1035" s="104"/>
      <c r="O1035" s="106"/>
      <c r="P1035" s="106"/>
      <c r="Q1035" s="98"/>
    </row>
    <row r="1036">
      <c r="A1036" s="96" t="s">
        <v>330</v>
      </c>
      <c r="B1036" s="97" t="s">
        <v>3280</v>
      </c>
      <c r="C1036" s="97" t="s">
        <v>3281</v>
      </c>
      <c r="D1036" s="97" t="s">
        <v>737</v>
      </c>
      <c r="E1036" s="97" t="s">
        <v>767</v>
      </c>
      <c r="F1036" s="97" t="b">
        <v>1</v>
      </c>
      <c r="G1036" s="97" t="b">
        <v>1</v>
      </c>
      <c r="H1036" s="98">
        <f>IF(A1036:A2055="", "", COUNTIF(Check!H:H, A1035:A2055))</f>
        <v>1</v>
      </c>
      <c r="I1036" s="98"/>
      <c r="J1036" s="98"/>
      <c r="K1036" s="99"/>
      <c r="L1036" s="99"/>
      <c r="M1036" s="102"/>
      <c r="N1036" s="102"/>
      <c r="O1036" s="98"/>
      <c r="P1036" s="98"/>
      <c r="Q1036" s="98"/>
    </row>
    <row r="1037">
      <c r="A1037" s="96" t="s">
        <v>3282</v>
      </c>
      <c r="B1037" s="97" t="s">
        <v>3283</v>
      </c>
      <c r="C1037" s="97" t="s">
        <v>3284</v>
      </c>
      <c r="D1037" s="97" t="s">
        <v>717</v>
      </c>
      <c r="E1037" s="97" t="s">
        <v>891</v>
      </c>
      <c r="F1037" s="97" t="b">
        <v>0</v>
      </c>
      <c r="G1037" s="97" t="b">
        <v>0</v>
      </c>
      <c r="H1037" s="98"/>
      <c r="I1037" s="98"/>
      <c r="J1037" s="98"/>
      <c r="K1037" s="99"/>
      <c r="L1037" s="99"/>
      <c r="M1037" s="102"/>
      <c r="N1037" s="102"/>
      <c r="O1037" s="98"/>
      <c r="P1037" s="98"/>
      <c r="Q1037" s="98"/>
    </row>
    <row r="1038">
      <c r="A1038" s="96" t="s">
        <v>454</v>
      </c>
      <c r="B1038" s="97" t="s">
        <v>3285</v>
      </c>
      <c r="C1038" s="97" t="s">
        <v>3286</v>
      </c>
      <c r="D1038" s="97" t="s">
        <v>1022</v>
      </c>
      <c r="E1038" s="97" t="s">
        <v>685</v>
      </c>
      <c r="F1038" s="97" t="b">
        <v>1</v>
      </c>
      <c r="G1038" s="97" t="b">
        <v>1</v>
      </c>
      <c r="H1038" s="98">
        <f>IF(A1038:A2055="", "", COUNTIF(Check!H:H, A1037:A2055))</f>
        <v>1</v>
      </c>
      <c r="I1038" s="98"/>
      <c r="J1038" s="98"/>
      <c r="K1038" s="99"/>
      <c r="L1038" s="99"/>
      <c r="M1038" s="100"/>
      <c r="N1038" s="101"/>
      <c r="O1038" s="98"/>
      <c r="P1038" s="98"/>
      <c r="Q1038" s="98"/>
    </row>
    <row r="1039">
      <c r="A1039" s="96" t="s">
        <v>204</v>
      </c>
      <c r="B1039" s="97" t="s">
        <v>3287</v>
      </c>
      <c r="C1039" s="97" t="s">
        <v>3288</v>
      </c>
      <c r="D1039" s="97" t="s">
        <v>1108</v>
      </c>
      <c r="E1039" s="97" t="s">
        <v>644</v>
      </c>
      <c r="F1039" s="97" t="b">
        <v>1</v>
      </c>
      <c r="G1039" s="97" t="b">
        <v>1</v>
      </c>
      <c r="H1039" s="98">
        <f>IF(A1039:A2055="", "", COUNTIF(Check!H:H, A1038:A2055))</f>
        <v>1</v>
      </c>
      <c r="I1039" s="98"/>
      <c r="J1039" s="98"/>
      <c r="K1039" s="108"/>
      <c r="L1039" s="109"/>
      <c r="M1039" s="102"/>
      <c r="N1039" s="102"/>
      <c r="O1039" s="98"/>
      <c r="P1039" s="98"/>
      <c r="Q1039" s="98"/>
    </row>
    <row r="1040">
      <c r="A1040" s="96" t="s">
        <v>3289</v>
      </c>
      <c r="B1040" s="97" t="s">
        <v>3290</v>
      </c>
      <c r="C1040" s="97" t="s">
        <v>3291</v>
      </c>
      <c r="D1040" s="97" t="s">
        <v>698</v>
      </c>
      <c r="E1040" s="97" t="s">
        <v>1363</v>
      </c>
      <c r="F1040" s="97" t="b">
        <v>0</v>
      </c>
      <c r="G1040" s="97" t="b">
        <v>0</v>
      </c>
      <c r="H1040" s="98"/>
      <c r="I1040" s="98"/>
      <c r="J1040" s="98"/>
      <c r="K1040" s="99"/>
      <c r="L1040" s="99"/>
      <c r="M1040" s="102"/>
      <c r="N1040" s="102"/>
      <c r="O1040" s="98"/>
      <c r="P1040" s="98"/>
      <c r="Q1040" s="98"/>
    </row>
    <row r="1041">
      <c r="A1041" s="96" t="s">
        <v>314</v>
      </c>
      <c r="B1041" s="97" t="s">
        <v>3292</v>
      </c>
      <c r="C1041" s="97" t="s">
        <v>3293</v>
      </c>
      <c r="D1041" s="97" t="s">
        <v>681</v>
      </c>
      <c r="E1041" s="97" t="s">
        <v>611</v>
      </c>
      <c r="F1041" s="97" t="b">
        <v>1</v>
      </c>
      <c r="G1041" s="97" t="b">
        <v>1</v>
      </c>
      <c r="H1041" s="98">
        <f>IF(A1041:A2055="", "", COUNTIF(Check!H:H, A1040:A2055))</f>
        <v>1</v>
      </c>
      <c r="I1041" s="98"/>
      <c r="J1041" s="98"/>
      <c r="K1041" s="99"/>
      <c r="L1041" s="99"/>
      <c r="M1041" s="102"/>
      <c r="N1041" s="102"/>
      <c r="O1041" s="98"/>
      <c r="P1041" s="98"/>
      <c r="Q1041" s="98"/>
    </row>
    <row r="1042">
      <c r="A1042" s="96" t="s">
        <v>548</v>
      </c>
      <c r="B1042" s="97" t="s">
        <v>3294</v>
      </c>
      <c r="C1042" s="97" t="s">
        <v>3295</v>
      </c>
      <c r="D1042" s="97" t="s">
        <v>704</v>
      </c>
      <c r="E1042" s="97" t="s">
        <v>697</v>
      </c>
      <c r="F1042" s="97" t="b">
        <v>1</v>
      </c>
      <c r="G1042" s="97" t="b">
        <v>1</v>
      </c>
      <c r="H1042" s="98">
        <f>IF(A1042:A2055="", "", COUNTIF(Check!H:H, A1041:A2055))</f>
        <v>1</v>
      </c>
      <c r="I1042" s="98"/>
      <c r="J1042" s="98"/>
      <c r="K1042" s="100" t="s">
        <v>737</v>
      </c>
      <c r="L1042" s="107">
        <f>COUNTIFS($D$2:$D$1039, K1042, $F$2:$F$1039, TRUE)</f>
        <v>6</v>
      </c>
      <c r="M1042" s="108" t="s">
        <v>3192</v>
      </c>
      <c r="N1042" s="109">
        <f>COUNTIFS($E$2:$E$1039, M1042, $F$2:$F$1039, TRUE)</f>
        <v>0</v>
      </c>
      <c r="O1042" s="98"/>
      <c r="P1042" s="98"/>
      <c r="Q1042" s="98"/>
    </row>
    <row r="1043">
      <c r="A1043" s="96" t="s">
        <v>3296</v>
      </c>
      <c r="B1043" s="97" t="s">
        <v>3297</v>
      </c>
      <c r="C1043" s="97" t="s">
        <v>3298</v>
      </c>
      <c r="D1043" s="97" t="s">
        <v>1230</v>
      </c>
      <c r="E1043" s="97" t="s">
        <v>777</v>
      </c>
      <c r="F1043" s="97" t="b">
        <v>0</v>
      </c>
      <c r="G1043" s="97" t="b">
        <v>0</v>
      </c>
      <c r="H1043" s="98"/>
      <c r="I1043" s="98"/>
      <c r="J1043" s="98"/>
      <c r="K1043" s="99"/>
      <c r="L1043" s="99"/>
      <c r="M1043" s="102"/>
      <c r="N1043" s="102"/>
      <c r="O1043" s="98"/>
      <c r="P1043" s="98"/>
      <c r="Q1043" s="98"/>
    </row>
    <row r="1044">
      <c r="A1044" s="96" t="s">
        <v>497</v>
      </c>
      <c r="B1044" s="97" t="s">
        <v>3299</v>
      </c>
      <c r="C1044" s="97" t="s">
        <v>3300</v>
      </c>
      <c r="D1044" s="97" t="s">
        <v>1503</v>
      </c>
      <c r="E1044" s="97" t="s">
        <v>616</v>
      </c>
      <c r="F1044" s="97" t="b">
        <v>1</v>
      </c>
      <c r="G1044" s="97" t="b">
        <v>1</v>
      </c>
      <c r="H1044" s="98">
        <f>IF(A1044:A2055="", "", COUNTIF(Check!H:H, A1043:A2055))</f>
        <v>1</v>
      </c>
      <c r="I1044" s="98"/>
      <c r="J1044" s="98"/>
      <c r="K1044" s="99"/>
      <c r="L1044" s="99"/>
      <c r="M1044" s="100"/>
      <c r="N1044" s="101"/>
      <c r="O1044" s="98"/>
      <c r="P1044" s="98"/>
      <c r="Q1044" s="98"/>
    </row>
    <row r="1045">
      <c r="A1045" s="96" t="s">
        <v>82</v>
      </c>
      <c r="B1045" s="97" t="s">
        <v>3301</v>
      </c>
      <c r="C1045" s="97" t="s">
        <v>3302</v>
      </c>
      <c r="D1045" s="97" t="s">
        <v>1500</v>
      </c>
      <c r="E1045" s="97" t="s">
        <v>697</v>
      </c>
      <c r="F1045" s="97" t="b">
        <v>1</v>
      </c>
      <c r="G1045" s="97" t="b">
        <v>1</v>
      </c>
      <c r="H1045" s="98">
        <f>IF(A1045:A2055="", "", COUNTIF(Check!H:H, A1044:A2055))</f>
        <v>1</v>
      </c>
      <c r="I1045" s="98"/>
      <c r="J1045" s="98"/>
      <c r="K1045" s="100" t="s">
        <v>1495</v>
      </c>
      <c r="L1045" s="107">
        <f>COUNTIFS($D$2:$D$1039, K1045, $F$2:$F$1039, TRUE)</f>
        <v>0</v>
      </c>
      <c r="M1045" s="100" t="s">
        <v>913</v>
      </c>
      <c r="N1045" s="101">
        <f>COUNTIFS($E$2:$E$1039, M1045, $F$2:$F$1039, TRUE)</f>
        <v>0</v>
      </c>
      <c r="O1045" s="98"/>
      <c r="P1045" s="98"/>
      <c r="Q1045" s="98"/>
    </row>
    <row r="1046">
      <c r="A1046" s="96" t="s">
        <v>3303</v>
      </c>
      <c r="B1046" s="97" t="s">
        <v>3304</v>
      </c>
      <c r="C1046" s="97" t="s">
        <v>3305</v>
      </c>
      <c r="D1046" s="97" t="s">
        <v>1075</v>
      </c>
      <c r="E1046" s="97" t="s">
        <v>640</v>
      </c>
      <c r="F1046" s="97" t="b">
        <v>0</v>
      </c>
      <c r="G1046" s="97" t="b">
        <v>0</v>
      </c>
      <c r="H1046" s="98"/>
      <c r="I1046" s="98"/>
      <c r="J1046" s="98"/>
      <c r="K1046" s="99"/>
      <c r="L1046" s="99"/>
      <c r="M1046" s="103"/>
      <c r="N1046" s="104"/>
      <c r="O1046" s="106"/>
      <c r="P1046" s="106"/>
      <c r="Q1046" s="98"/>
    </row>
    <row r="1047">
      <c r="A1047" s="96" t="s">
        <v>3306</v>
      </c>
      <c r="B1047" s="97" t="s">
        <v>3307</v>
      </c>
      <c r="C1047" s="97" t="s">
        <v>3308</v>
      </c>
      <c r="D1047" s="97" t="s">
        <v>964</v>
      </c>
      <c r="E1047" s="97" t="s">
        <v>789</v>
      </c>
      <c r="F1047" s="97" t="b">
        <v>0</v>
      </c>
      <c r="G1047" s="97" t="b">
        <v>0</v>
      </c>
      <c r="H1047" s="98"/>
      <c r="I1047" s="98"/>
      <c r="J1047" s="98"/>
      <c r="K1047" s="103"/>
      <c r="L1047" s="112"/>
      <c r="M1047" s="103"/>
      <c r="N1047" s="104"/>
      <c r="O1047" s="106"/>
      <c r="P1047" s="106"/>
      <c r="Q1047" s="98"/>
    </row>
    <row r="1048">
      <c r="A1048" s="96" t="s">
        <v>545</v>
      </c>
      <c r="B1048" s="97" t="s">
        <v>3309</v>
      </c>
      <c r="C1048" s="97" t="s">
        <v>3310</v>
      </c>
      <c r="D1048" s="97" t="s">
        <v>776</v>
      </c>
      <c r="E1048" s="97" t="s">
        <v>2491</v>
      </c>
      <c r="F1048" s="97" t="b">
        <v>1</v>
      </c>
      <c r="G1048" s="97" t="b">
        <v>1</v>
      </c>
      <c r="H1048" s="98">
        <f>IF(A1048:A2055="", "", COUNTIF(Check!H:H, A1047:A2055))</f>
        <v>1</v>
      </c>
      <c r="I1048" s="98"/>
      <c r="J1048" s="98"/>
      <c r="K1048" s="99"/>
      <c r="L1048" s="99"/>
      <c r="M1048" s="102"/>
      <c r="N1048" s="102"/>
      <c r="O1048" s="98"/>
      <c r="P1048" s="98"/>
      <c r="Q1048" s="98"/>
    </row>
    <row r="1049">
      <c r="A1049" s="96" t="s">
        <v>3311</v>
      </c>
      <c r="B1049" s="97" t="s">
        <v>3312</v>
      </c>
      <c r="C1049" s="97" t="s">
        <v>3313</v>
      </c>
      <c r="D1049" s="97" t="s">
        <v>814</v>
      </c>
      <c r="E1049" s="97" t="s">
        <v>767</v>
      </c>
      <c r="F1049" s="97" t="b">
        <v>1</v>
      </c>
      <c r="G1049" s="97" t="b">
        <v>1</v>
      </c>
      <c r="H1049" s="98">
        <f>IF(A1049:A2055="", "", COUNTIF(Check!H:H, A1048:A2055))</f>
        <v>1</v>
      </c>
      <c r="I1049" s="98"/>
      <c r="J1049" s="98"/>
      <c r="K1049" s="100"/>
      <c r="L1049" s="107"/>
      <c r="M1049" s="103"/>
      <c r="N1049" s="104"/>
      <c r="O1049" s="106"/>
      <c r="P1049" s="106"/>
      <c r="Q1049" s="98"/>
    </row>
    <row r="1050">
      <c r="A1050" s="96" t="s">
        <v>3314</v>
      </c>
      <c r="B1050" s="97" t="s">
        <v>3315</v>
      </c>
      <c r="C1050" s="97" t="s">
        <v>3316</v>
      </c>
      <c r="D1050" s="97" t="s">
        <v>624</v>
      </c>
      <c r="E1050" s="97" t="s">
        <v>582</v>
      </c>
      <c r="F1050" s="97" t="b">
        <v>0</v>
      </c>
      <c r="G1050" s="97" t="b">
        <v>0</v>
      </c>
      <c r="H1050" s="98"/>
      <c r="I1050" s="98"/>
      <c r="J1050" s="98"/>
      <c r="K1050" s="99"/>
      <c r="L1050" s="99"/>
      <c r="M1050" s="102"/>
      <c r="N1050" s="102"/>
      <c r="O1050" s="98"/>
      <c r="P1050" s="98"/>
      <c r="Q1050" s="98"/>
    </row>
    <row r="1051">
      <c r="A1051" s="96" t="s">
        <v>267</v>
      </c>
      <c r="B1051" s="97" t="s">
        <v>3317</v>
      </c>
      <c r="C1051" s="97" t="s">
        <v>3318</v>
      </c>
      <c r="D1051" s="97" t="s">
        <v>696</v>
      </c>
      <c r="E1051" s="97" t="s">
        <v>611</v>
      </c>
      <c r="F1051" s="97" t="b">
        <v>1</v>
      </c>
      <c r="G1051" s="97" t="b">
        <v>1</v>
      </c>
      <c r="H1051" s="98">
        <f>IF(A1051:A2055="", "", COUNTIF(Check!H:H, A1050:A2055))</f>
        <v>1</v>
      </c>
      <c r="I1051" s="98"/>
      <c r="J1051" s="98"/>
      <c r="K1051" s="99"/>
      <c r="L1051" s="99"/>
      <c r="M1051" s="104"/>
      <c r="N1051" s="104"/>
      <c r="O1051" s="105"/>
      <c r="P1051" s="105"/>
      <c r="Q1051" s="98"/>
    </row>
    <row r="1052">
      <c r="A1052" s="96" t="s">
        <v>296</v>
      </c>
      <c r="B1052" s="97" t="s">
        <v>3319</v>
      </c>
      <c r="C1052" s="97" t="s">
        <v>3320</v>
      </c>
      <c r="D1052" s="97" t="s">
        <v>1479</v>
      </c>
      <c r="E1052" s="97" t="s">
        <v>590</v>
      </c>
      <c r="F1052" s="97" t="b">
        <v>1</v>
      </c>
      <c r="G1052" s="97" t="b">
        <v>1</v>
      </c>
      <c r="H1052" s="98">
        <f>IF(A1052:A2055="", "", COUNTIF(Check!H:H, A1051:A2055))</f>
        <v>1</v>
      </c>
      <c r="I1052" s="98"/>
      <c r="J1052" s="98"/>
      <c r="K1052" s="99"/>
      <c r="L1052" s="99"/>
      <c r="M1052" s="102"/>
      <c r="N1052" s="102"/>
      <c r="O1052" s="98"/>
      <c r="P1052" s="98"/>
      <c r="Q1052" s="98"/>
    </row>
    <row r="1053">
      <c r="A1053" s="96" t="s">
        <v>194</v>
      </c>
      <c r="B1053" s="97" t="s">
        <v>3321</v>
      </c>
      <c r="C1053" s="97" t="s">
        <v>3322</v>
      </c>
      <c r="D1053" s="97" t="s">
        <v>615</v>
      </c>
      <c r="E1053" s="97" t="s">
        <v>722</v>
      </c>
      <c r="F1053" s="97" t="b">
        <v>1</v>
      </c>
      <c r="G1053" s="97" t="b">
        <v>1</v>
      </c>
      <c r="H1053" s="98">
        <f>IF(A1053:A2055="", "", COUNTIF(Check!H:H, A1052:A2055))</f>
        <v>1</v>
      </c>
      <c r="I1053" s="98"/>
      <c r="J1053" s="98"/>
      <c r="K1053" s="103"/>
      <c r="L1053" s="104"/>
      <c r="M1053" s="103"/>
      <c r="N1053" s="104"/>
      <c r="O1053" s="105"/>
      <c r="P1053" s="105"/>
      <c r="Q1053" s="98"/>
    </row>
    <row r="1054">
      <c r="A1054" s="96" t="s">
        <v>358</v>
      </c>
      <c r="B1054" s="97" t="s">
        <v>3323</v>
      </c>
      <c r="C1054" s="97" t="s">
        <v>3324</v>
      </c>
      <c r="D1054" s="97" t="s">
        <v>1177</v>
      </c>
      <c r="E1054" s="97" t="s">
        <v>789</v>
      </c>
      <c r="F1054" s="97" t="b">
        <v>0</v>
      </c>
      <c r="G1054" s="97" t="b">
        <v>0</v>
      </c>
      <c r="H1054" s="98"/>
      <c r="I1054" s="98"/>
      <c r="J1054" s="98"/>
      <c r="K1054" s="102"/>
      <c r="L1054" s="102"/>
      <c r="M1054" s="100"/>
      <c r="N1054" s="101"/>
      <c r="O1054" s="98"/>
      <c r="P1054" s="98"/>
      <c r="Q1054" s="98"/>
    </row>
    <row r="1055">
      <c r="A1055" s="96" t="s">
        <v>251</v>
      </c>
      <c r="B1055" s="97" t="s">
        <v>3325</v>
      </c>
      <c r="C1055" s="97" t="s">
        <v>3326</v>
      </c>
      <c r="D1055" s="97" t="s">
        <v>1177</v>
      </c>
      <c r="E1055" s="97" t="s">
        <v>921</v>
      </c>
      <c r="F1055" s="97" t="b">
        <v>1</v>
      </c>
      <c r="G1055" s="97" t="b">
        <v>1</v>
      </c>
      <c r="H1055" s="98">
        <f>IF(A1055:A2055="", "", COUNTIF(Check!H:H, A1054:A2055))</f>
        <v>1</v>
      </c>
      <c r="I1055" s="98"/>
      <c r="J1055" s="98"/>
      <c r="K1055" s="99"/>
      <c r="L1055" s="99"/>
      <c r="M1055" s="102"/>
      <c r="N1055" s="102"/>
      <c r="O1055" s="98"/>
      <c r="P1055" s="98"/>
      <c r="Q1055" s="98"/>
    </row>
    <row r="1056">
      <c r="A1056" s="96" t="s">
        <v>277</v>
      </c>
      <c r="B1056" s="97" t="s">
        <v>3327</v>
      </c>
      <c r="C1056" s="97" t="s">
        <v>3328</v>
      </c>
      <c r="D1056" s="97"/>
      <c r="E1056" s="97"/>
      <c r="F1056" s="97" t="b">
        <v>1</v>
      </c>
      <c r="G1056" s="97" t="b">
        <v>1</v>
      </c>
      <c r="H1056" s="98">
        <f>IF(A1056:A2055="", "", COUNTIF(Check!H:H, A1055:A2055))</f>
        <v>1</v>
      </c>
      <c r="I1056" s="98"/>
      <c r="J1056" s="98"/>
      <c r="K1056" s="102"/>
      <c r="L1056" s="102"/>
      <c r="M1056" s="102"/>
      <c r="N1056" s="102"/>
      <c r="O1056" s="98"/>
      <c r="P1056" s="98"/>
      <c r="Q1056" s="98"/>
    </row>
    <row r="1057">
      <c r="A1057" s="116">
        <v>2.0215611E7</v>
      </c>
      <c r="B1057" s="117" t="s">
        <v>3329</v>
      </c>
      <c r="C1057" s="117" t="s">
        <v>3330</v>
      </c>
      <c r="D1057" s="97"/>
      <c r="E1057" s="97"/>
      <c r="F1057" s="97" t="b">
        <v>0</v>
      </c>
      <c r="G1057" s="97" t="b">
        <v>0</v>
      </c>
      <c r="H1057" s="98">
        <f>IF(A1057:A2055="", "", COUNTIF(Check!H:H, A1056:A2055))</f>
        <v>1</v>
      </c>
      <c r="I1057" s="98"/>
      <c r="J1057" s="98"/>
      <c r="K1057" s="102"/>
      <c r="L1057" s="102"/>
      <c r="M1057" s="102"/>
      <c r="N1057" s="102"/>
      <c r="O1057" s="98"/>
      <c r="P1057" s="98"/>
      <c r="Q1057" s="98"/>
    </row>
    <row r="1058">
      <c r="A1058" s="96" t="s">
        <v>424</v>
      </c>
      <c r="B1058" s="96" t="s">
        <v>3331</v>
      </c>
      <c r="C1058" s="96" t="s">
        <v>3332</v>
      </c>
      <c r="D1058" s="96"/>
      <c r="E1058" s="97"/>
      <c r="F1058" s="97" t="b">
        <v>0</v>
      </c>
      <c r="G1058" s="97" t="b">
        <v>0</v>
      </c>
      <c r="H1058" s="98"/>
      <c r="I1058" s="98"/>
      <c r="J1058" s="98"/>
      <c r="K1058" s="102"/>
      <c r="L1058" s="102"/>
      <c r="M1058" s="102"/>
      <c r="N1058" s="102"/>
      <c r="O1058" s="98"/>
      <c r="P1058" s="98"/>
      <c r="Q1058" s="98"/>
    </row>
    <row r="1059">
      <c r="A1059" s="116" t="s">
        <v>356</v>
      </c>
      <c r="B1059" s="96" t="s">
        <v>3333</v>
      </c>
      <c r="C1059" s="96"/>
      <c r="D1059" s="96"/>
      <c r="E1059" s="97"/>
      <c r="F1059" s="97" t="b">
        <v>0</v>
      </c>
      <c r="G1059" s="97" t="b">
        <v>0</v>
      </c>
      <c r="H1059" s="98"/>
      <c r="I1059" s="98"/>
      <c r="J1059" s="98"/>
      <c r="K1059" s="102"/>
      <c r="L1059" s="102"/>
      <c r="M1059" s="102"/>
      <c r="N1059" s="102"/>
      <c r="O1059" s="98"/>
      <c r="P1059" s="98"/>
      <c r="Q1059" s="98"/>
    </row>
    <row r="1060">
      <c r="A1060" s="116" t="s">
        <v>357</v>
      </c>
      <c r="B1060" s="96" t="s">
        <v>3334</v>
      </c>
      <c r="C1060" s="96"/>
      <c r="D1060" s="96"/>
      <c r="E1060" s="97"/>
      <c r="F1060" s="97" t="b">
        <v>0</v>
      </c>
      <c r="G1060" s="97" t="b">
        <v>0</v>
      </c>
      <c r="H1060" s="98"/>
      <c r="I1060" s="98"/>
      <c r="J1060" s="98"/>
      <c r="K1060" s="102"/>
      <c r="L1060" s="102"/>
      <c r="M1060" s="102"/>
      <c r="N1060" s="102"/>
      <c r="O1060" s="98"/>
      <c r="P1060" s="98"/>
      <c r="Q1060" s="98"/>
    </row>
    <row r="1061">
      <c r="A1061" s="116" t="s">
        <v>360</v>
      </c>
      <c r="B1061" s="118" t="s">
        <v>3335</v>
      </c>
      <c r="C1061" s="118" t="s">
        <v>3336</v>
      </c>
      <c r="D1061" s="118"/>
      <c r="E1061" s="97"/>
      <c r="F1061" s="97" t="b">
        <v>0</v>
      </c>
      <c r="G1061" s="97" t="b">
        <v>0</v>
      </c>
      <c r="H1061" s="98"/>
      <c r="I1061" s="98"/>
      <c r="J1061" s="98"/>
      <c r="K1061" s="102"/>
      <c r="L1061" s="102"/>
      <c r="M1061" s="102"/>
      <c r="N1061" s="102"/>
      <c r="O1061" s="98"/>
      <c r="P1061" s="98"/>
      <c r="Q1061" s="98"/>
    </row>
    <row r="1062">
      <c r="A1062" s="116" t="s">
        <v>361</v>
      </c>
      <c r="B1062" s="118" t="s">
        <v>2393</v>
      </c>
      <c r="C1062" s="118" t="s">
        <v>3337</v>
      </c>
      <c r="D1062" s="118"/>
      <c r="E1062" s="97"/>
      <c r="F1062" s="97" t="b">
        <v>0</v>
      </c>
      <c r="G1062" s="97" t="b">
        <v>0</v>
      </c>
      <c r="H1062" s="98"/>
      <c r="I1062" s="98"/>
      <c r="J1062" s="98"/>
      <c r="K1062" s="102"/>
      <c r="L1062" s="102"/>
      <c r="M1062" s="102"/>
      <c r="N1062" s="102"/>
      <c r="O1062" s="98"/>
      <c r="P1062" s="98"/>
      <c r="Q1062" s="98"/>
    </row>
    <row r="1063">
      <c r="A1063" s="116" t="s">
        <v>572</v>
      </c>
      <c r="B1063" s="119" t="s">
        <v>3338</v>
      </c>
      <c r="C1063" s="97" t="s">
        <v>3339</v>
      </c>
      <c r="D1063" s="96"/>
      <c r="E1063" s="97"/>
      <c r="F1063" s="97" t="b">
        <v>0</v>
      </c>
      <c r="G1063" s="97" t="b">
        <v>0</v>
      </c>
      <c r="H1063" s="98"/>
      <c r="I1063" s="98"/>
      <c r="J1063" s="98"/>
      <c r="K1063" s="102"/>
      <c r="L1063" s="102"/>
      <c r="M1063" s="102"/>
      <c r="N1063" s="102"/>
      <c r="O1063" s="98"/>
      <c r="P1063" s="98"/>
      <c r="Q1063" s="98"/>
    </row>
    <row r="1064">
      <c r="A1064" s="96"/>
      <c r="B1064" s="96"/>
      <c r="C1064" s="96"/>
      <c r="D1064" s="96"/>
      <c r="E1064" s="97"/>
      <c r="F1064" s="97" t="b">
        <v>0</v>
      </c>
      <c r="G1064" s="97" t="b">
        <v>0</v>
      </c>
      <c r="H1064" s="98"/>
      <c r="I1064" s="98"/>
      <c r="J1064" s="98"/>
      <c r="K1064" s="102"/>
      <c r="L1064" s="102"/>
      <c r="M1064" s="102"/>
      <c r="N1064" s="102"/>
      <c r="O1064" s="98"/>
      <c r="P1064" s="98"/>
      <c r="Q1064" s="98"/>
    </row>
    <row r="1065">
      <c r="A1065" s="96"/>
      <c r="B1065" s="96"/>
      <c r="C1065" s="96"/>
      <c r="D1065" s="96"/>
      <c r="E1065" s="97"/>
      <c r="F1065" s="97" t="b">
        <v>0</v>
      </c>
      <c r="G1065" s="97" t="b">
        <v>0</v>
      </c>
      <c r="H1065" s="98"/>
      <c r="I1065" s="98"/>
      <c r="J1065" s="98"/>
      <c r="K1065" s="102"/>
      <c r="L1065" s="102"/>
      <c r="M1065" s="102"/>
      <c r="N1065" s="102"/>
      <c r="O1065" s="98"/>
      <c r="P1065" s="98"/>
      <c r="Q1065" s="98"/>
    </row>
    <row r="1066">
      <c r="A1066" s="96"/>
      <c r="B1066" s="96"/>
      <c r="C1066" s="96"/>
      <c r="D1066" s="96"/>
      <c r="E1066" s="97"/>
      <c r="F1066" s="97" t="b">
        <v>0</v>
      </c>
      <c r="G1066" s="97" t="b">
        <v>0</v>
      </c>
      <c r="H1066" s="98"/>
      <c r="I1066" s="98"/>
      <c r="J1066" s="98"/>
      <c r="K1066" s="102"/>
      <c r="L1066" s="102"/>
      <c r="M1066" s="102"/>
      <c r="N1066" s="102"/>
      <c r="O1066" s="98"/>
      <c r="P1066" s="98"/>
      <c r="Q1066" s="98"/>
    </row>
    <row r="1067">
      <c r="A1067" s="96"/>
      <c r="B1067" s="96"/>
      <c r="C1067" s="96"/>
      <c r="D1067" s="96"/>
      <c r="E1067" s="97"/>
      <c r="F1067" s="97" t="b">
        <v>0</v>
      </c>
      <c r="G1067" s="97" t="b">
        <v>0</v>
      </c>
      <c r="H1067" s="98"/>
      <c r="I1067" s="98"/>
      <c r="J1067" s="98"/>
      <c r="K1067" s="102"/>
      <c r="L1067" s="102"/>
      <c r="M1067" s="102"/>
      <c r="N1067" s="102"/>
      <c r="O1067" s="98"/>
      <c r="P1067" s="98"/>
      <c r="Q1067" s="98"/>
    </row>
    <row r="1068">
      <c r="A1068" s="96"/>
      <c r="B1068" s="97"/>
      <c r="C1068" s="97"/>
      <c r="D1068" s="97"/>
      <c r="E1068" s="97"/>
      <c r="F1068" s="97" t="b">
        <v>0</v>
      </c>
      <c r="G1068" s="97" t="b">
        <v>0</v>
      </c>
      <c r="H1068" s="98"/>
      <c r="I1068" s="98"/>
      <c r="J1068" s="98"/>
      <c r="K1068" s="102"/>
      <c r="L1068" s="102"/>
      <c r="M1068" s="102"/>
      <c r="N1068" s="102"/>
      <c r="O1068" s="98"/>
      <c r="P1068" s="98"/>
      <c r="Q1068" s="98"/>
    </row>
    <row r="1069">
      <c r="A1069" s="96"/>
      <c r="B1069" s="97"/>
      <c r="C1069" s="97"/>
      <c r="D1069" s="97"/>
      <c r="E1069" s="97"/>
      <c r="F1069" s="97" t="b">
        <v>0</v>
      </c>
      <c r="G1069" s="97" t="b">
        <v>0</v>
      </c>
      <c r="H1069" s="98"/>
      <c r="I1069" s="98"/>
      <c r="J1069" s="98"/>
      <c r="K1069" s="102"/>
      <c r="L1069" s="102"/>
      <c r="M1069" s="102"/>
      <c r="N1069" s="102"/>
      <c r="O1069" s="98"/>
      <c r="P1069" s="98"/>
      <c r="Q1069" s="98"/>
    </row>
    <row r="1070">
      <c r="A1070" s="96"/>
      <c r="B1070" s="97"/>
      <c r="C1070" s="97"/>
      <c r="D1070" s="97"/>
      <c r="E1070" s="97"/>
      <c r="F1070" s="97" t="b">
        <v>0</v>
      </c>
      <c r="G1070" s="97" t="b">
        <v>0</v>
      </c>
      <c r="H1070" s="98"/>
      <c r="I1070" s="98"/>
      <c r="J1070" s="98"/>
      <c r="K1070" s="102"/>
      <c r="L1070" s="102"/>
      <c r="M1070" s="102"/>
      <c r="N1070" s="102"/>
      <c r="O1070" s="98"/>
      <c r="P1070" s="98"/>
      <c r="Q1070" s="98"/>
    </row>
    <row r="1071">
      <c r="A1071" s="96"/>
      <c r="B1071" s="97"/>
      <c r="C1071" s="97"/>
      <c r="D1071" s="97"/>
      <c r="E1071" s="97"/>
      <c r="F1071" s="97" t="b">
        <v>0</v>
      </c>
      <c r="G1071" s="97" t="b">
        <v>0</v>
      </c>
      <c r="H1071" s="98"/>
      <c r="I1071" s="98"/>
      <c r="J1071" s="98"/>
      <c r="K1071" s="102"/>
      <c r="L1071" s="102"/>
      <c r="M1071" s="102"/>
      <c r="N1071" s="102"/>
      <c r="O1071" s="98"/>
      <c r="P1071" s="98"/>
      <c r="Q1071" s="98"/>
    </row>
    <row r="1072">
      <c r="A1072" s="96"/>
      <c r="B1072" s="97"/>
      <c r="C1072" s="97"/>
      <c r="D1072" s="97"/>
      <c r="E1072" s="97"/>
      <c r="F1072" s="97" t="b">
        <v>0</v>
      </c>
      <c r="G1072" s="97" t="b">
        <v>0</v>
      </c>
      <c r="H1072" s="98"/>
      <c r="I1072" s="98"/>
      <c r="J1072" s="98"/>
      <c r="K1072" s="102"/>
      <c r="L1072" s="102"/>
      <c r="M1072" s="102"/>
      <c r="N1072" s="102"/>
      <c r="O1072" s="98"/>
      <c r="P1072" s="98"/>
      <c r="Q1072" s="98"/>
    </row>
    <row r="1073">
      <c r="A1073" s="96"/>
      <c r="B1073" s="97"/>
      <c r="C1073" s="97"/>
      <c r="D1073" s="97"/>
      <c r="E1073" s="97"/>
      <c r="F1073" s="97" t="b">
        <v>0</v>
      </c>
      <c r="G1073" s="97" t="b">
        <v>0</v>
      </c>
      <c r="H1073" s="98"/>
      <c r="I1073" s="98"/>
      <c r="J1073" s="98"/>
      <c r="K1073" s="102"/>
      <c r="L1073" s="102"/>
      <c r="M1073" s="102"/>
      <c r="N1073" s="102"/>
      <c r="O1073" s="98"/>
      <c r="P1073" s="98"/>
      <c r="Q1073" s="98"/>
    </row>
    <row r="1074">
      <c r="A1074" s="96"/>
      <c r="B1074" s="97"/>
      <c r="C1074" s="97"/>
      <c r="D1074" s="97"/>
      <c r="E1074" s="97"/>
      <c r="F1074" s="97" t="b">
        <v>0</v>
      </c>
      <c r="G1074" s="97" t="b">
        <v>0</v>
      </c>
      <c r="H1074" s="98"/>
      <c r="I1074" s="98"/>
      <c r="J1074" s="98"/>
      <c r="K1074" s="102"/>
      <c r="L1074" s="102"/>
      <c r="M1074" s="102"/>
      <c r="N1074" s="102"/>
      <c r="O1074" s="98"/>
      <c r="P1074" s="98"/>
      <c r="Q1074" s="98"/>
    </row>
    <row r="1075">
      <c r="A1075" s="96"/>
      <c r="B1075" s="97"/>
      <c r="C1075" s="97"/>
      <c r="D1075" s="97"/>
      <c r="E1075" s="97"/>
      <c r="F1075" s="97" t="b">
        <v>0</v>
      </c>
      <c r="G1075" s="97" t="b">
        <v>0</v>
      </c>
      <c r="H1075" s="98"/>
      <c r="I1075" s="98"/>
      <c r="J1075" s="98"/>
      <c r="K1075" s="102"/>
      <c r="L1075" s="102"/>
      <c r="M1075" s="102"/>
      <c r="N1075" s="102"/>
      <c r="O1075" s="98"/>
      <c r="P1075" s="98"/>
      <c r="Q1075" s="98"/>
    </row>
    <row r="1076">
      <c r="A1076" s="96"/>
      <c r="B1076" s="97"/>
      <c r="C1076" s="97"/>
      <c r="D1076" s="97"/>
      <c r="E1076" s="97"/>
      <c r="F1076" s="97" t="b">
        <v>0</v>
      </c>
      <c r="G1076" s="97" t="b">
        <v>0</v>
      </c>
      <c r="H1076" s="98"/>
      <c r="I1076" s="98"/>
      <c r="J1076" s="98"/>
      <c r="K1076" s="102"/>
      <c r="L1076" s="102"/>
      <c r="M1076" s="102"/>
      <c r="N1076" s="102"/>
      <c r="O1076" s="98"/>
      <c r="P1076" s="98"/>
      <c r="Q1076" s="98"/>
    </row>
    <row r="1077">
      <c r="A1077" s="96"/>
      <c r="B1077" s="97"/>
      <c r="C1077" s="97"/>
      <c r="D1077" s="97"/>
      <c r="E1077" s="97"/>
      <c r="F1077" s="97" t="b">
        <v>0</v>
      </c>
      <c r="G1077" s="97" t="b">
        <v>0</v>
      </c>
      <c r="H1077" s="98"/>
      <c r="I1077" s="98"/>
      <c r="J1077" s="98"/>
      <c r="K1077" s="102"/>
      <c r="L1077" s="102"/>
      <c r="M1077" s="102"/>
      <c r="N1077" s="102"/>
      <c r="O1077" s="98"/>
      <c r="P1077" s="98"/>
      <c r="Q1077" s="98"/>
    </row>
    <row r="1078">
      <c r="A1078" s="96"/>
      <c r="B1078" s="97"/>
      <c r="C1078" s="97"/>
      <c r="D1078" s="97"/>
      <c r="E1078" s="97"/>
      <c r="F1078" s="97" t="b">
        <v>0</v>
      </c>
      <c r="G1078" s="97" t="b">
        <v>0</v>
      </c>
      <c r="H1078" s="98"/>
      <c r="I1078" s="98"/>
      <c r="J1078" s="98"/>
      <c r="K1078" s="102"/>
      <c r="L1078" s="102"/>
      <c r="M1078" s="102"/>
      <c r="N1078" s="102"/>
      <c r="O1078" s="98"/>
      <c r="P1078" s="98"/>
      <c r="Q1078" s="98"/>
    </row>
    <row r="1079">
      <c r="A1079" s="96"/>
      <c r="B1079" s="97"/>
      <c r="C1079" s="97"/>
      <c r="D1079" s="97"/>
      <c r="E1079" s="97"/>
      <c r="F1079" s="97" t="b">
        <v>0</v>
      </c>
      <c r="G1079" s="97" t="b">
        <v>0</v>
      </c>
      <c r="H1079" s="98"/>
      <c r="I1079" s="98"/>
      <c r="J1079" s="98"/>
      <c r="K1079" s="102"/>
      <c r="L1079" s="102"/>
      <c r="M1079" s="102"/>
      <c r="N1079" s="102"/>
      <c r="O1079" s="98"/>
      <c r="P1079" s="98"/>
      <c r="Q1079" s="98"/>
    </row>
    <row r="1080">
      <c r="A1080" s="96"/>
      <c r="B1080" s="97"/>
      <c r="C1080" s="97"/>
      <c r="D1080" s="97"/>
      <c r="E1080" s="97"/>
      <c r="F1080" s="97" t="b">
        <v>0</v>
      </c>
      <c r="G1080" s="97" t="b">
        <v>0</v>
      </c>
      <c r="H1080" s="98"/>
      <c r="I1080" s="98"/>
      <c r="J1080" s="98"/>
      <c r="K1080" s="102"/>
      <c r="L1080" s="102"/>
      <c r="M1080" s="102"/>
      <c r="N1080" s="102"/>
      <c r="O1080" s="98"/>
      <c r="P1080" s="98"/>
      <c r="Q1080" s="98"/>
    </row>
    <row r="1081">
      <c r="A1081" s="96"/>
      <c r="B1081" s="97"/>
      <c r="C1081" s="97"/>
      <c r="D1081" s="97"/>
      <c r="E1081" s="97"/>
      <c r="F1081" s="97" t="b">
        <v>0</v>
      </c>
      <c r="G1081" s="97" t="b">
        <v>0</v>
      </c>
      <c r="H1081" s="98"/>
      <c r="I1081" s="98"/>
      <c r="J1081" s="98"/>
      <c r="K1081" s="102"/>
      <c r="L1081" s="102"/>
      <c r="M1081" s="102"/>
      <c r="N1081" s="102"/>
      <c r="O1081" s="98"/>
      <c r="P1081" s="98"/>
      <c r="Q1081" s="98"/>
    </row>
    <row r="1082">
      <c r="A1082" s="96"/>
      <c r="B1082" s="97"/>
      <c r="C1082" s="97"/>
      <c r="D1082" s="97"/>
      <c r="E1082" s="97"/>
      <c r="F1082" s="97" t="b">
        <v>0</v>
      </c>
      <c r="G1082" s="97" t="b">
        <v>0</v>
      </c>
      <c r="H1082" s="98"/>
      <c r="I1082" s="98"/>
      <c r="J1082" s="98"/>
      <c r="K1082" s="102"/>
      <c r="L1082" s="102"/>
      <c r="M1082" s="102"/>
      <c r="N1082" s="102"/>
      <c r="O1082" s="98"/>
      <c r="P1082" s="98"/>
      <c r="Q1082" s="98"/>
    </row>
    <row r="1083">
      <c r="A1083" s="96"/>
      <c r="B1083" s="97"/>
      <c r="C1083" s="97"/>
      <c r="D1083" s="97"/>
      <c r="E1083" s="97"/>
      <c r="F1083" s="97" t="b">
        <v>0</v>
      </c>
      <c r="G1083" s="97" t="b">
        <v>0</v>
      </c>
      <c r="H1083" s="98"/>
      <c r="I1083" s="98"/>
      <c r="J1083" s="98"/>
      <c r="K1083" s="102"/>
      <c r="L1083" s="102"/>
      <c r="M1083" s="102"/>
      <c r="N1083" s="102"/>
      <c r="O1083" s="98"/>
      <c r="P1083" s="98"/>
      <c r="Q1083" s="98"/>
    </row>
    <row r="1084">
      <c r="A1084" s="96"/>
      <c r="B1084" s="97"/>
      <c r="C1084" s="97"/>
      <c r="D1084" s="97"/>
      <c r="E1084" s="97"/>
      <c r="F1084" s="97" t="b">
        <v>0</v>
      </c>
      <c r="G1084" s="97" t="b">
        <v>0</v>
      </c>
      <c r="H1084" s="98"/>
      <c r="I1084" s="98"/>
      <c r="J1084" s="98"/>
      <c r="K1084" s="102"/>
      <c r="L1084" s="102"/>
      <c r="M1084" s="102"/>
      <c r="N1084" s="102"/>
      <c r="O1084" s="98"/>
      <c r="P1084" s="98"/>
      <c r="Q1084" s="98"/>
    </row>
    <row r="1085">
      <c r="A1085" s="96"/>
      <c r="B1085" s="97"/>
      <c r="C1085" s="97"/>
      <c r="D1085" s="97"/>
      <c r="E1085" s="97"/>
      <c r="F1085" s="97" t="b">
        <v>0</v>
      </c>
      <c r="G1085" s="97" t="b">
        <v>0</v>
      </c>
      <c r="H1085" s="98"/>
      <c r="I1085" s="98"/>
      <c r="J1085" s="98"/>
      <c r="K1085" s="102"/>
      <c r="L1085" s="102"/>
      <c r="M1085" s="102"/>
      <c r="N1085" s="102"/>
      <c r="O1085" s="98"/>
      <c r="P1085" s="98"/>
      <c r="Q1085" s="98"/>
    </row>
    <row r="1086">
      <c r="A1086" s="96"/>
      <c r="B1086" s="97"/>
      <c r="C1086" s="97"/>
      <c r="D1086" s="97"/>
      <c r="E1086" s="97"/>
      <c r="F1086" s="97" t="b">
        <v>0</v>
      </c>
      <c r="G1086" s="97" t="b">
        <v>0</v>
      </c>
      <c r="H1086" s="98"/>
      <c r="I1086" s="98"/>
      <c r="J1086" s="98"/>
      <c r="K1086" s="102"/>
      <c r="L1086" s="102"/>
      <c r="M1086" s="102"/>
      <c r="N1086" s="102"/>
      <c r="O1086" s="98"/>
      <c r="P1086" s="98"/>
      <c r="Q1086" s="98"/>
    </row>
    <row r="1087">
      <c r="A1087" s="96"/>
      <c r="B1087" s="97"/>
      <c r="C1087" s="97"/>
      <c r="D1087" s="97"/>
      <c r="E1087" s="97"/>
      <c r="F1087" s="97" t="b">
        <v>0</v>
      </c>
      <c r="G1087" s="97" t="b">
        <v>0</v>
      </c>
      <c r="H1087" s="98"/>
      <c r="I1087" s="98"/>
      <c r="J1087" s="98"/>
      <c r="K1087" s="102"/>
      <c r="L1087" s="102"/>
      <c r="M1087" s="102"/>
      <c r="N1087" s="102"/>
      <c r="O1087" s="98"/>
      <c r="P1087" s="98"/>
      <c r="Q1087" s="98"/>
    </row>
    <row r="1088">
      <c r="A1088" s="96"/>
      <c r="B1088" s="97"/>
      <c r="C1088" s="97"/>
      <c r="D1088" s="97"/>
      <c r="E1088" s="97"/>
      <c r="F1088" s="97" t="b">
        <v>0</v>
      </c>
      <c r="G1088" s="97" t="b">
        <v>0</v>
      </c>
      <c r="H1088" s="98"/>
      <c r="I1088" s="98"/>
      <c r="J1088" s="98"/>
      <c r="K1088" s="102"/>
      <c r="L1088" s="102"/>
      <c r="M1088" s="102"/>
      <c r="N1088" s="102"/>
      <c r="O1088" s="98"/>
      <c r="P1088" s="98"/>
      <c r="Q1088" s="98"/>
    </row>
    <row r="1089">
      <c r="A1089" s="96"/>
      <c r="B1089" s="97"/>
      <c r="C1089" s="97"/>
      <c r="D1089" s="97"/>
      <c r="E1089" s="97"/>
      <c r="F1089" s="97" t="b">
        <v>0</v>
      </c>
      <c r="G1089" s="97" t="b">
        <v>0</v>
      </c>
      <c r="H1089" s="98"/>
      <c r="I1089" s="98"/>
      <c r="J1089" s="98"/>
      <c r="K1089" s="102"/>
      <c r="L1089" s="102"/>
      <c r="M1089" s="102"/>
      <c r="N1089" s="102"/>
      <c r="O1089" s="98"/>
      <c r="P1089" s="98"/>
      <c r="Q1089" s="98"/>
    </row>
    <row r="1090">
      <c r="A1090" s="96"/>
      <c r="B1090" s="97"/>
      <c r="C1090" s="97"/>
      <c r="D1090" s="97"/>
      <c r="E1090" s="97"/>
      <c r="F1090" s="97" t="b">
        <v>0</v>
      </c>
      <c r="G1090" s="97" t="b">
        <v>0</v>
      </c>
      <c r="H1090" s="98"/>
      <c r="I1090" s="98"/>
      <c r="J1090" s="98"/>
      <c r="K1090" s="102"/>
      <c r="L1090" s="102"/>
      <c r="M1090" s="102"/>
      <c r="N1090" s="102"/>
      <c r="O1090" s="98"/>
      <c r="P1090" s="98"/>
      <c r="Q1090" s="98"/>
    </row>
    <row r="1091">
      <c r="A1091" s="96"/>
      <c r="B1091" s="97"/>
      <c r="C1091" s="97"/>
      <c r="D1091" s="97"/>
      <c r="E1091" s="97"/>
      <c r="F1091" s="97" t="b">
        <v>0</v>
      </c>
      <c r="G1091" s="97" t="b">
        <v>0</v>
      </c>
      <c r="H1091" s="98"/>
      <c r="I1091" s="98"/>
      <c r="J1091" s="98"/>
      <c r="K1091" s="102"/>
      <c r="L1091" s="102"/>
      <c r="M1091" s="102"/>
      <c r="N1091" s="102"/>
      <c r="O1091" s="98"/>
      <c r="P1091" s="98"/>
      <c r="Q1091" s="98"/>
    </row>
    <row r="1092">
      <c r="A1092" s="96"/>
      <c r="B1092" s="97"/>
      <c r="C1092" s="97"/>
      <c r="D1092" s="97"/>
      <c r="E1092" s="97"/>
      <c r="F1092" s="97" t="b">
        <v>0</v>
      </c>
      <c r="G1092" s="97" t="b">
        <v>0</v>
      </c>
      <c r="H1092" s="98"/>
      <c r="I1092" s="98"/>
      <c r="J1092" s="98"/>
      <c r="K1092" s="102"/>
      <c r="L1092" s="102"/>
      <c r="M1092" s="102"/>
      <c r="N1092" s="102"/>
      <c r="O1092" s="98"/>
      <c r="P1092" s="98"/>
      <c r="Q1092" s="98"/>
    </row>
    <row r="1093">
      <c r="A1093" s="96"/>
      <c r="B1093" s="97"/>
      <c r="C1093" s="97"/>
      <c r="D1093" s="97"/>
      <c r="E1093" s="97"/>
      <c r="F1093" s="97" t="b">
        <v>0</v>
      </c>
      <c r="G1093" s="97" t="b">
        <v>0</v>
      </c>
      <c r="H1093" s="98"/>
      <c r="I1093" s="98"/>
      <c r="J1093" s="98"/>
      <c r="K1093" s="102"/>
      <c r="L1093" s="102"/>
      <c r="M1093" s="102"/>
      <c r="N1093" s="102"/>
      <c r="O1093" s="98"/>
      <c r="P1093" s="98"/>
      <c r="Q1093" s="98"/>
    </row>
    <row r="1094">
      <c r="A1094" s="96"/>
      <c r="B1094" s="97"/>
      <c r="C1094" s="97"/>
      <c r="D1094" s="97"/>
      <c r="E1094" s="97"/>
      <c r="F1094" s="97" t="b">
        <v>0</v>
      </c>
      <c r="G1094" s="97" t="b">
        <v>0</v>
      </c>
      <c r="H1094" s="98"/>
      <c r="I1094" s="98"/>
      <c r="J1094" s="98"/>
      <c r="K1094" s="102"/>
      <c r="L1094" s="102"/>
      <c r="M1094" s="102"/>
      <c r="N1094" s="102"/>
      <c r="O1094" s="98"/>
      <c r="P1094" s="98"/>
      <c r="Q1094" s="98"/>
    </row>
    <row r="1095">
      <c r="A1095" s="96"/>
      <c r="B1095" s="97"/>
      <c r="C1095" s="97"/>
      <c r="D1095" s="97"/>
      <c r="E1095" s="97"/>
      <c r="F1095" s="97" t="b">
        <v>0</v>
      </c>
      <c r="G1095" s="97" t="b">
        <v>0</v>
      </c>
      <c r="H1095" s="98"/>
      <c r="I1095" s="98"/>
      <c r="J1095" s="98"/>
      <c r="K1095" s="102"/>
      <c r="L1095" s="102"/>
      <c r="M1095" s="102"/>
      <c r="N1095" s="102"/>
      <c r="O1095" s="98"/>
      <c r="P1095" s="98"/>
      <c r="Q1095" s="98"/>
    </row>
    <row r="1096">
      <c r="A1096" s="96"/>
      <c r="B1096" s="97"/>
      <c r="C1096" s="97"/>
      <c r="D1096" s="97"/>
      <c r="E1096" s="97"/>
      <c r="F1096" s="97" t="b">
        <v>0</v>
      </c>
      <c r="G1096" s="97" t="b">
        <v>0</v>
      </c>
      <c r="H1096" s="98"/>
      <c r="I1096" s="98"/>
      <c r="J1096" s="98"/>
      <c r="K1096" s="102"/>
      <c r="L1096" s="102"/>
      <c r="M1096" s="102"/>
      <c r="N1096" s="102"/>
      <c r="O1096" s="98"/>
      <c r="P1096" s="98"/>
      <c r="Q1096" s="98"/>
    </row>
    <row r="1097">
      <c r="A1097" s="96"/>
      <c r="B1097" s="97"/>
      <c r="C1097" s="97"/>
      <c r="D1097" s="97"/>
      <c r="E1097" s="97"/>
      <c r="F1097" s="97" t="b">
        <v>0</v>
      </c>
      <c r="G1097" s="97" t="b">
        <v>0</v>
      </c>
      <c r="H1097" s="98"/>
      <c r="I1097" s="98"/>
      <c r="J1097" s="98"/>
      <c r="K1097" s="102"/>
      <c r="L1097" s="102"/>
      <c r="M1097" s="102"/>
      <c r="N1097" s="102"/>
      <c r="O1097" s="98"/>
      <c r="P1097" s="98"/>
      <c r="Q1097" s="98"/>
    </row>
    <row r="1098">
      <c r="A1098" s="96"/>
      <c r="B1098" s="97"/>
      <c r="C1098" s="97"/>
      <c r="D1098" s="97"/>
      <c r="E1098" s="97"/>
      <c r="F1098" s="97" t="b">
        <v>0</v>
      </c>
      <c r="G1098" s="97" t="b">
        <v>0</v>
      </c>
      <c r="H1098" s="98"/>
      <c r="I1098" s="98"/>
      <c r="J1098" s="98"/>
      <c r="K1098" s="102"/>
      <c r="L1098" s="102"/>
      <c r="M1098" s="102"/>
      <c r="N1098" s="102"/>
      <c r="O1098" s="98"/>
      <c r="P1098" s="98"/>
      <c r="Q1098" s="98"/>
    </row>
    <row r="1099">
      <c r="A1099" s="96"/>
      <c r="B1099" s="97"/>
      <c r="C1099" s="97"/>
      <c r="D1099" s="97"/>
      <c r="E1099" s="97"/>
      <c r="F1099" s="97" t="b">
        <v>0</v>
      </c>
      <c r="G1099" s="97" t="b">
        <v>0</v>
      </c>
      <c r="H1099" s="98"/>
      <c r="I1099" s="98"/>
      <c r="J1099" s="98"/>
      <c r="K1099" s="102"/>
      <c r="L1099" s="102"/>
      <c r="M1099" s="102"/>
      <c r="N1099" s="102"/>
      <c r="O1099" s="98"/>
      <c r="P1099" s="98"/>
      <c r="Q1099" s="98"/>
    </row>
    <row r="1100">
      <c r="A1100" s="96"/>
      <c r="B1100" s="97"/>
      <c r="C1100" s="97"/>
      <c r="D1100" s="97"/>
      <c r="E1100" s="97"/>
      <c r="F1100" s="97" t="b">
        <v>0</v>
      </c>
      <c r="G1100" s="97" t="b">
        <v>0</v>
      </c>
      <c r="H1100" s="98"/>
      <c r="I1100" s="98"/>
      <c r="J1100" s="98"/>
      <c r="K1100" s="102"/>
      <c r="L1100" s="102"/>
      <c r="M1100" s="102"/>
      <c r="N1100" s="102"/>
      <c r="O1100" s="98"/>
      <c r="P1100" s="98"/>
      <c r="Q1100" s="98"/>
    </row>
    <row r="1101">
      <c r="A1101" s="96"/>
      <c r="B1101" s="97"/>
      <c r="C1101" s="97"/>
      <c r="D1101" s="97"/>
      <c r="E1101" s="97"/>
      <c r="F1101" s="97" t="b">
        <v>0</v>
      </c>
      <c r="G1101" s="97" t="b">
        <v>0</v>
      </c>
      <c r="H1101" s="98"/>
      <c r="I1101" s="98"/>
      <c r="J1101" s="98"/>
      <c r="K1101" s="102"/>
      <c r="L1101" s="102"/>
      <c r="M1101" s="102"/>
      <c r="N1101" s="102"/>
      <c r="O1101" s="98"/>
      <c r="P1101" s="98"/>
      <c r="Q1101" s="98"/>
    </row>
    <row r="1102">
      <c r="A1102" s="96"/>
      <c r="B1102" s="97"/>
      <c r="C1102" s="97"/>
      <c r="D1102" s="97"/>
      <c r="E1102" s="97"/>
      <c r="F1102" s="97" t="b">
        <v>0</v>
      </c>
      <c r="G1102" s="97" t="b">
        <v>0</v>
      </c>
      <c r="H1102" s="98"/>
      <c r="I1102" s="98"/>
      <c r="J1102" s="98"/>
      <c r="K1102" s="102"/>
      <c r="L1102" s="102"/>
      <c r="M1102" s="102"/>
      <c r="N1102" s="102"/>
      <c r="O1102" s="98"/>
      <c r="P1102" s="98"/>
      <c r="Q1102" s="98"/>
    </row>
    <row r="1103">
      <c r="A1103" s="96"/>
      <c r="B1103" s="97"/>
      <c r="C1103" s="97"/>
      <c r="D1103" s="97"/>
      <c r="E1103" s="97"/>
      <c r="F1103" s="97" t="b">
        <v>0</v>
      </c>
      <c r="G1103" s="97" t="b">
        <v>0</v>
      </c>
      <c r="H1103" s="98"/>
      <c r="I1103" s="98"/>
      <c r="J1103" s="98"/>
      <c r="K1103" s="102"/>
      <c r="L1103" s="102"/>
      <c r="M1103" s="102"/>
      <c r="N1103" s="102"/>
      <c r="O1103" s="98"/>
      <c r="P1103" s="98"/>
      <c r="Q1103" s="98"/>
    </row>
    <row r="1104">
      <c r="A1104" s="96"/>
      <c r="B1104" s="97"/>
      <c r="C1104" s="97"/>
      <c r="D1104" s="97"/>
      <c r="E1104" s="97"/>
      <c r="F1104" s="97" t="b">
        <v>0</v>
      </c>
      <c r="G1104" s="97" t="b">
        <v>0</v>
      </c>
      <c r="H1104" s="98"/>
      <c r="I1104" s="98"/>
      <c r="J1104" s="98"/>
      <c r="K1104" s="102"/>
      <c r="L1104" s="102"/>
      <c r="M1104" s="102"/>
      <c r="N1104" s="102"/>
      <c r="O1104" s="98"/>
      <c r="P1104" s="98"/>
      <c r="Q1104" s="98"/>
    </row>
    <row r="1105">
      <c r="A1105" s="96"/>
      <c r="B1105" s="97"/>
      <c r="C1105" s="97"/>
      <c r="D1105" s="97"/>
      <c r="E1105" s="97"/>
      <c r="F1105" s="97" t="b">
        <v>0</v>
      </c>
      <c r="G1105" s="97" t="b">
        <v>0</v>
      </c>
      <c r="H1105" s="98"/>
      <c r="I1105" s="98"/>
      <c r="J1105" s="98"/>
      <c r="K1105" s="102"/>
      <c r="L1105" s="102"/>
      <c r="M1105" s="102"/>
      <c r="N1105" s="102"/>
      <c r="O1105" s="98"/>
      <c r="P1105" s="98"/>
      <c r="Q1105" s="98"/>
    </row>
    <row r="1106">
      <c r="A1106" s="96"/>
      <c r="B1106" s="97"/>
      <c r="C1106" s="97"/>
      <c r="D1106" s="97"/>
      <c r="E1106" s="97"/>
      <c r="F1106" s="97" t="b">
        <v>0</v>
      </c>
      <c r="G1106" s="97" t="b">
        <v>0</v>
      </c>
      <c r="H1106" s="98"/>
      <c r="I1106" s="98"/>
      <c r="J1106" s="98"/>
      <c r="K1106" s="102"/>
      <c r="L1106" s="102"/>
      <c r="M1106" s="102"/>
      <c r="N1106" s="102"/>
      <c r="O1106" s="98"/>
      <c r="P1106" s="98"/>
      <c r="Q1106" s="98"/>
    </row>
    <row r="1107">
      <c r="A1107" s="96"/>
      <c r="B1107" s="97"/>
      <c r="C1107" s="97"/>
      <c r="D1107" s="97"/>
      <c r="E1107" s="97"/>
      <c r="F1107" s="97" t="b">
        <v>0</v>
      </c>
      <c r="G1107" s="97" t="b">
        <v>0</v>
      </c>
      <c r="H1107" s="98"/>
      <c r="I1107" s="98"/>
      <c r="J1107" s="98"/>
      <c r="K1107" s="102"/>
      <c r="L1107" s="102"/>
      <c r="M1107" s="102"/>
      <c r="N1107" s="102"/>
      <c r="O1107" s="98"/>
      <c r="P1107" s="98"/>
      <c r="Q1107" s="98"/>
    </row>
    <row r="1108">
      <c r="A1108" s="96"/>
      <c r="B1108" s="97"/>
      <c r="C1108" s="97"/>
      <c r="D1108" s="97"/>
      <c r="E1108" s="97"/>
      <c r="F1108" s="97" t="b">
        <v>0</v>
      </c>
      <c r="G1108" s="97" t="b">
        <v>0</v>
      </c>
      <c r="H1108" s="98"/>
      <c r="I1108" s="98"/>
      <c r="J1108" s="98"/>
      <c r="K1108" s="102"/>
      <c r="L1108" s="102"/>
      <c r="M1108" s="102"/>
      <c r="N1108" s="102"/>
      <c r="O1108" s="98"/>
      <c r="P1108" s="98"/>
      <c r="Q1108" s="98"/>
    </row>
    <row r="1109">
      <c r="A1109" s="96"/>
      <c r="B1109" s="97"/>
      <c r="C1109" s="97"/>
      <c r="D1109" s="97"/>
      <c r="E1109" s="97"/>
      <c r="F1109" s="97" t="b">
        <v>0</v>
      </c>
      <c r="G1109" s="97" t="b">
        <v>0</v>
      </c>
      <c r="H1109" s="98"/>
      <c r="I1109" s="98"/>
      <c r="J1109" s="98"/>
      <c r="K1109" s="102"/>
      <c r="L1109" s="102"/>
      <c r="M1109" s="102"/>
      <c r="N1109" s="102"/>
      <c r="O1109" s="98"/>
      <c r="P1109" s="98"/>
      <c r="Q1109" s="98"/>
    </row>
    <row r="1110">
      <c r="A1110" s="96"/>
      <c r="B1110" s="97"/>
      <c r="C1110" s="97"/>
      <c r="D1110" s="97"/>
      <c r="E1110" s="97"/>
      <c r="F1110" s="97" t="b">
        <v>0</v>
      </c>
      <c r="G1110" s="97" t="b">
        <v>0</v>
      </c>
      <c r="H1110" s="98"/>
      <c r="I1110" s="98"/>
      <c r="J1110" s="98"/>
      <c r="K1110" s="102"/>
      <c r="L1110" s="102"/>
      <c r="M1110" s="102"/>
      <c r="N1110" s="102"/>
      <c r="O1110" s="98"/>
      <c r="P1110" s="98"/>
      <c r="Q1110" s="98"/>
    </row>
    <row r="1111">
      <c r="A1111" s="96"/>
      <c r="B1111" s="97"/>
      <c r="C1111" s="97"/>
      <c r="D1111" s="97"/>
      <c r="E1111" s="97"/>
      <c r="F1111" s="97" t="b">
        <v>0</v>
      </c>
      <c r="G1111" s="97" t="b">
        <v>0</v>
      </c>
      <c r="H1111" s="98"/>
      <c r="I1111" s="98"/>
      <c r="J1111" s="98"/>
      <c r="K1111" s="102"/>
      <c r="L1111" s="102"/>
      <c r="M1111" s="102"/>
      <c r="N1111" s="102"/>
      <c r="O1111" s="98"/>
      <c r="P1111" s="98"/>
      <c r="Q1111" s="98"/>
    </row>
    <row r="1112">
      <c r="A1112" s="96"/>
      <c r="B1112" s="97"/>
      <c r="C1112" s="97"/>
      <c r="D1112" s="97"/>
      <c r="E1112" s="97"/>
      <c r="F1112" s="97" t="b">
        <v>0</v>
      </c>
      <c r="G1112" s="97" t="b">
        <v>0</v>
      </c>
      <c r="H1112" s="98"/>
      <c r="I1112" s="98"/>
      <c r="J1112" s="98"/>
      <c r="K1112" s="102"/>
      <c r="L1112" s="102"/>
      <c r="M1112" s="102"/>
      <c r="N1112" s="102"/>
      <c r="O1112" s="98"/>
      <c r="P1112" s="98"/>
      <c r="Q1112" s="98"/>
    </row>
    <row r="1113">
      <c r="A1113" s="96"/>
      <c r="B1113" s="97"/>
      <c r="C1113" s="97"/>
      <c r="D1113" s="97"/>
      <c r="E1113" s="97"/>
      <c r="F1113" s="97" t="b">
        <v>0</v>
      </c>
      <c r="G1113" s="97" t="b">
        <v>0</v>
      </c>
      <c r="H1113" s="98"/>
      <c r="I1113" s="98"/>
      <c r="J1113" s="98"/>
      <c r="K1113" s="102"/>
      <c r="L1113" s="102"/>
      <c r="M1113" s="102"/>
      <c r="N1113" s="102"/>
      <c r="O1113" s="98"/>
      <c r="P1113" s="98"/>
      <c r="Q1113" s="98"/>
    </row>
    <row r="1114">
      <c r="A1114" s="96"/>
      <c r="B1114" s="97"/>
      <c r="C1114" s="97"/>
      <c r="D1114" s="97"/>
      <c r="E1114" s="97"/>
      <c r="F1114" s="97" t="b">
        <v>0</v>
      </c>
      <c r="G1114" s="97" t="b">
        <v>0</v>
      </c>
      <c r="H1114" s="98"/>
      <c r="I1114" s="98"/>
      <c r="J1114" s="98"/>
      <c r="K1114" s="102"/>
      <c r="L1114" s="102"/>
      <c r="M1114" s="102"/>
      <c r="N1114" s="102"/>
      <c r="O1114" s="98"/>
      <c r="P1114" s="98"/>
      <c r="Q1114" s="98"/>
    </row>
    <row r="1115">
      <c r="A1115" s="96"/>
      <c r="B1115" s="97"/>
      <c r="C1115" s="97"/>
      <c r="D1115" s="97"/>
      <c r="E1115" s="97"/>
      <c r="F1115" s="97" t="b">
        <v>0</v>
      </c>
      <c r="G1115" s="97" t="b">
        <v>0</v>
      </c>
      <c r="H1115" s="98"/>
      <c r="I1115" s="98"/>
      <c r="J1115" s="98"/>
      <c r="K1115" s="102"/>
      <c r="L1115" s="102"/>
      <c r="M1115" s="102"/>
      <c r="N1115" s="102"/>
      <c r="O1115" s="98"/>
      <c r="P1115" s="98"/>
      <c r="Q1115" s="98"/>
    </row>
    <row r="1116">
      <c r="A1116" s="96"/>
      <c r="B1116" s="97"/>
      <c r="C1116" s="97"/>
      <c r="D1116" s="97"/>
      <c r="E1116" s="97"/>
      <c r="F1116" s="97" t="b">
        <v>0</v>
      </c>
      <c r="G1116" s="97" t="b">
        <v>0</v>
      </c>
      <c r="H1116" s="98"/>
      <c r="I1116" s="98"/>
      <c r="J1116" s="98"/>
      <c r="K1116" s="102"/>
      <c r="L1116" s="102"/>
      <c r="M1116" s="102"/>
      <c r="N1116" s="102"/>
      <c r="O1116" s="98"/>
      <c r="P1116" s="98"/>
      <c r="Q1116" s="98"/>
    </row>
    <row r="1117">
      <c r="A1117" s="96"/>
      <c r="B1117" s="97"/>
      <c r="C1117" s="97"/>
      <c r="D1117" s="97"/>
      <c r="E1117" s="97"/>
      <c r="F1117" s="97" t="b">
        <v>0</v>
      </c>
      <c r="G1117" s="97" t="b">
        <v>0</v>
      </c>
      <c r="H1117" s="98"/>
      <c r="I1117" s="98"/>
      <c r="J1117" s="98"/>
      <c r="K1117" s="102"/>
      <c r="L1117" s="102"/>
      <c r="M1117" s="102"/>
      <c r="N1117" s="102"/>
      <c r="O1117" s="98"/>
      <c r="P1117" s="98"/>
      <c r="Q1117" s="98"/>
    </row>
    <row r="1118">
      <c r="A1118" s="96"/>
      <c r="B1118" s="97"/>
      <c r="C1118" s="97"/>
      <c r="D1118" s="97"/>
      <c r="E1118" s="97"/>
      <c r="F1118" s="97" t="b">
        <v>0</v>
      </c>
      <c r="G1118" s="97" t="b">
        <v>0</v>
      </c>
      <c r="H1118" s="98"/>
      <c r="I1118" s="98"/>
      <c r="J1118" s="98"/>
      <c r="K1118" s="102"/>
      <c r="L1118" s="102"/>
      <c r="M1118" s="102"/>
      <c r="N1118" s="102"/>
      <c r="O1118" s="98"/>
      <c r="P1118" s="98"/>
      <c r="Q1118" s="98"/>
    </row>
    <row r="1119">
      <c r="A1119" s="96"/>
      <c r="B1119" s="97"/>
      <c r="C1119" s="97"/>
      <c r="D1119" s="97"/>
      <c r="E1119" s="97"/>
      <c r="F1119" s="97" t="b">
        <v>0</v>
      </c>
      <c r="G1119" s="97" t="b">
        <v>0</v>
      </c>
      <c r="H1119" s="98"/>
      <c r="I1119" s="98"/>
      <c r="J1119" s="98"/>
      <c r="K1119" s="102"/>
      <c r="L1119" s="102"/>
      <c r="M1119" s="102"/>
      <c r="N1119" s="102"/>
      <c r="O1119" s="98"/>
      <c r="P1119" s="98"/>
      <c r="Q1119" s="98"/>
    </row>
    <row r="1120">
      <c r="A1120" s="96"/>
      <c r="B1120" s="97"/>
      <c r="C1120" s="97"/>
      <c r="D1120" s="97"/>
      <c r="E1120" s="97"/>
      <c r="F1120" s="97" t="b">
        <v>0</v>
      </c>
      <c r="G1120" s="97" t="b">
        <v>0</v>
      </c>
      <c r="H1120" s="98"/>
      <c r="I1120" s="98"/>
      <c r="J1120" s="98"/>
      <c r="K1120" s="102"/>
      <c r="L1120" s="102"/>
      <c r="M1120" s="102"/>
      <c r="N1120" s="102"/>
      <c r="O1120" s="98"/>
      <c r="P1120" s="98"/>
      <c r="Q1120" s="98"/>
    </row>
    <row r="1121">
      <c r="A1121" s="96"/>
      <c r="B1121" s="97"/>
      <c r="C1121" s="97"/>
      <c r="D1121" s="97"/>
      <c r="E1121" s="97"/>
      <c r="F1121" s="97" t="b">
        <v>0</v>
      </c>
      <c r="G1121" s="97" t="b">
        <v>0</v>
      </c>
      <c r="H1121" s="98"/>
      <c r="I1121" s="98"/>
      <c r="J1121" s="98"/>
      <c r="K1121" s="102"/>
      <c r="L1121" s="102"/>
      <c r="M1121" s="102"/>
      <c r="N1121" s="102"/>
      <c r="O1121" s="98"/>
      <c r="P1121" s="98"/>
      <c r="Q1121" s="98"/>
    </row>
    <row r="1122">
      <c r="A1122" s="96"/>
      <c r="B1122" s="97"/>
      <c r="C1122" s="97"/>
      <c r="D1122" s="97"/>
      <c r="E1122" s="97"/>
      <c r="F1122" s="97" t="b">
        <v>0</v>
      </c>
      <c r="G1122" s="97" t="b">
        <v>0</v>
      </c>
      <c r="H1122" s="98"/>
      <c r="I1122" s="98"/>
      <c r="J1122" s="98"/>
      <c r="K1122" s="102"/>
      <c r="L1122" s="102"/>
      <c r="M1122" s="102"/>
      <c r="N1122" s="102"/>
      <c r="O1122" s="98"/>
      <c r="P1122" s="98"/>
      <c r="Q1122" s="98"/>
    </row>
    <row r="1123">
      <c r="A1123" s="96"/>
      <c r="B1123" s="97"/>
      <c r="C1123" s="97"/>
      <c r="D1123" s="97"/>
      <c r="E1123" s="97"/>
      <c r="F1123" s="97" t="b">
        <v>0</v>
      </c>
      <c r="G1123" s="97" t="b">
        <v>0</v>
      </c>
      <c r="H1123" s="98"/>
      <c r="I1123" s="98"/>
      <c r="J1123" s="98"/>
      <c r="K1123" s="102"/>
      <c r="L1123" s="102"/>
      <c r="M1123" s="102"/>
      <c r="N1123" s="102"/>
      <c r="O1123" s="98"/>
      <c r="P1123" s="98"/>
      <c r="Q1123" s="98"/>
    </row>
    <row r="1124">
      <c r="A1124" s="96"/>
      <c r="B1124" s="97"/>
      <c r="C1124" s="97"/>
      <c r="D1124" s="97"/>
      <c r="E1124" s="97"/>
      <c r="F1124" s="97" t="b">
        <v>0</v>
      </c>
      <c r="G1124" s="97" t="b">
        <v>0</v>
      </c>
      <c r="H1124" s="98"/>
      <c r="I1124" s="98"/>
      <c r="J1124" s="98"/>
      <c r="K1124" s="102"/>
      <c r="L1124" s="102"/>
      <c r="M1124" s="102"/>
      <c r="N1124" s="102"/>
      <c r="O1124" s="98"/>
      <c r="P1124" s="98"/>
      <c r="Q1124" s="98"/>
    </row>
    <row r="1125">
      <c r="A1125" s="96"/>
      <c r="B1125" s="97"/>
      <c r="C1125" s="97"/>
      <c r="D1125" s="97"/>
      <c r="E1125" s="97"/>
      <c r="F1125" s="97" t="b">
        <v>0</v>
      </c>
      <c r="G1125" s="97" t="b">
        <v>0</v>
      </c>
      <c r="H1125" s="98"/>
      <c r="I1125" s="98"/>
      <c r="J1125" s="98"/>
      <c r="K1125" s="102"/>
      <c r="L1125" s="102"/>
      <c r="M1125" s="102"/>
      <c r="N1125" s="102"/>
      <c r="O1125" s="98"/>
      <c r="P1125" s="98"/>
      <c r="Q1125" s="98"/>
    </row>
    <row r="1126">
      <c r="A1126" s="96"/>
      <c r="B1126" s="97"/>
      <c r="C1126" s="97"/>
      <c r="D1126" s="97"/>
      <c r="E1126" s="97"/>
      <c r="F1126" s="97" t="b">
        <v>0</v>
      </c>
      <c r="G1126" s="97" t="b">
        <v>0</v>
      </c>
      <c r="H1126" s="98"/>
      <c r="I1126" s="98"/>
      <c r="J1126" s="98"/>
      <c r="K1126" s="102"/>
      <c r="L1126" s="102"/>
      <c r="M1126" s="102"/>
      <c r="N1126" s="102"/>
      <c r="O1126" s="98"/>
      <c r="P1126" s="98"/>
      <c r="Q1126" s="98"/>
    </row>
    <row r="1127">
      <c r="A1127" s="96"/>
      <c r="B1127" s="97"/>
      <c r="C1127" s="97"/>
      <c r="D1127" s="97"/>
      <c r="E1127" s="97"/>
      <c r="F1127" s="97" t="b">
        <v>0</v>
      </c>
      <c r="G1127" s="97" t="b">
        <v>0</v>
      </c>
      <c r="H1127" s="98"/>
      <c r="I1127" s="98"/>
      <c r="J1127" s="98"/>
      <c r="K1127" s="102"/>
      <c r="L1127" s="102"/>
      <c r="M1127" s="102"/>
      <c r="N1127" s="102"/>
      <c r="O1127" s="98"/>
      <c r="P1127" s="98"/>
      <c r="Q1127" s="98"/>
    </row>
    <row r="1128">
      <c r="A1128" s="96"/>
      <c r="B1128" s="97"/>
      <c r="C1128" s="97"/>
      <c r="D1128" s="97"/>
      <c r="E1128" s="97"/>
      <c r="F1128" s="97" t="b">
        <v>0</v>
      </c>
      <c r="G1128" s="97" t="b">
        <v>0</v>
      </c>
      <c r="H1128" s="98"/>
      <c r="I1128" s="98"/>
      <c r="J1128" s="98"/>
      <c r="K1128" s="102"/>
      <c r="L1128" s="102"/>
      <c r="M1128" s="102"/>
      <c r="N1128" s="102"/>
      <c r="O1128" s="98"/>
      <c r="P1128" s="98"/>
      <c r="Q1128" s="98"/>
    </row>
    <row r="1129">
      <c r="A1129" s="96"/>
      <c r="B1129" s="97"/>
      <c r="C1129" s="97"/>
      <c r="D1129" s="97"/>
      <c r="E1129" s="97"/>
      <c r="F1129" s="97" t="b">
        <v>0</v>
      </c>
      <c r="G1129" s="97" t="b">
        <v>0</v>
      </c>
      <c r="H1129" s="98"/>
      <c r="I1129" s="98"/>
      <c r="J1129" s="98"/>
      <c r="K1129" s="102"/>
      <c r="L1129" s="102"/>
      <c r="M1129" s="102"/>
      <c r="N1129" s="102"/>
      <c r="O1129" s="98"/>
      <c r="P1129" s="98"/>
      <c r="Q1129" s="98"/>
    </row>
    <row r="1130">
      <c r="A1130" s="96"/>
      <c r="B1130" s="97"/>
      <c r="C1130" s="97"/>
      <c r="D1130" s="97"/>
      <c r="E1130" s="97"/>
      <c r="F1130" s="97" t="b">
        <v>0</v>
      </c>
      <c r="G1130" s="97" t="b">
        <v>0</v>
      </c>
      <c r="H1130" s="98"/>
      <c r="I1130" s="98"/>
      <c r="J1130" s="98"/>
      <c r="K1130" s="102"/>
      <c r="L1130" s="102"/>
      <c r="M1130" s="102"/>
      <c r="N1130" s="102"/>
      <c r="O1130" s="98"/>
      <c r="P1130" s="98"/>
      <c r="Q1130" s="98"/>
    </row>
    <row r="1131">
      <c r="A1131" s="96"/>
      <c r="B1131" s="97"/>
      <c r="C1131" s="97"/>
      <c r="D1131" s="97"/>
      <c r="E1131" s="97"/>
      <c r="F1131" s="97" t="b">
        <v>0</v>
      </c>
      <c r="G1131" s="97" t="b">
        <v>0</v>
      </c>
      <c r="H1131" s="98"/>
      <c r="I1131" s="98"/>
      <c r="J1131" s="98"/>
      <c r="K1131" s="102"/>
      <c r="L1131" s="102"/>
      <c r="M1131" s="102"/>
      <c r="N1131" s="102"/>
      <c r="O1131" s="98"/>
      <c r="P1131" s="98"/>
      <c r="Q1131" s="98"/>
    </row>
    <row r="1132">
      <c r="A1132" s="96"/>
      <c r="B1132" s="97"/>
      <c r="C1132" s="97"/>
      <c r="D1132" s="97"/>
      <c r="E1132" s="97"/>
      <c r="F1132" s="97" t="b">
        <v>0</v>
      </c>
      <c r="G1132" s="97" t="b">
        <v>0</v>
      </c>
      <c r="H1132" s="98"/>
      <c r="I1132" s="98"/>
      <c r="J1132" s="98"/>
      <c r="K1132" s="102"/>
      <c r="L1132" s="102"/>
      <c r="M1132" s="102"/>
      <c r="N1132" s="102"/>
      <c r="O1132" s="98"/>
      <c r="P1132" s="98"/>
      <c r="Q1132" s="98"/>
    </row>
    <row r="1133">
      <c r="A1133" s="96"/>
      <c r="B1133" s="97"/>
      <c r="C1133" s="97"/>
      <c r="D1133" s="97"/>
      <c r="E1133" s="97"/>
      <c r="F1133" s="97" t="b">
        <v>0</v>
      </c>
      <c r="G1133" s="97" t="b">
        <v>0</v>
      </c>
      <c r="H1133" s="98"/>
      <c r="I1133" s="98"/>
      <c r="J1133" s="98"/>
      <c r="K1133" s="102"/>
      <c r="L1133" s="102"/>
      <c r="M1133" s="102"/>
      <c r="N1133" s="102"/>
      <c r="O1133" s="98"/>
      <c r="P1133" s="98"/>
      <c r="Q1133" s="98"/>
    </row>
    <row r="1134">
      <c r="A1134" s="96"/>
      <c r="B1134" s="97"/>
      <c r="C1134" s="97"/>
      <c r="D1134" s="97"/>
      <c r="E1134" s="97"/>
      <c r="F1134" s="97" t="b">
        <v>0</v>
      </c>
      <c r="G1134" s="97" t="b">
        <v>0</v>
      </c>
      <c r="H1134" s="98"/>
      <c r="I1134" s="98"/>
      <c r="J1134" s="98"/>
      <c r="K1134" s="102"/>
      <c r="L1134" s="102"/>
      <c r="M1134" s="102"/>
      <c r="N1134" s="102"/>
      <c r="O1134" s="98"/>
      <c r="P1134" s="98"/>
      <c r="Q1134" s="98"/>
    </row>
    <row r="1135">
      <c r="A1135" s="96"/>
      <c r="B1135" s="97"/>
      <c r="C1135" s="97"/>
      <c r="D1135" s="97"/>
      <c r="E1135" s="97"/>
      <c r="F1135" s="97" t="b">
        <v>0</v>
      </c>
      <c r="G1135" s="97" t="b">
        <v>0</v>
      </c>
      <c r="H1135" s="98"/>
      <c r="I1135" s="98"/>
      <c r="J1135" s="98"/>
      <c r="K1135" s="102"/>
      <c r="L1135" s="102"/>
      <c r="M1135" s="102"/>
      <c r="N1135" s="102"/>
      <c r="O1135" s="98"/>
      <c r="P1135" s="98"/>
      <c r="Q1135" s="98"/>
    </row>
    <row r="1136">
      <c r="A1136" s="96"/>
      <c r="B1136" s="97"/>
      <c r="C1136" s="97"/>
      <c r="D1136" s="97"/>
      <c r="E1136" s="97"/>
      <c r="F1136" s="97" t="b">
        <v>0</v>
      </c>
      <c r="G1136" s="97" t="b">
        <v>0</v>
      </c>
      <c r="H1136" s="98"/>
      <c r="I1136" s="98"/>
      <c r="J1136" s="98"/>
      <c r="K1136" s="102"/>
      <c r="L1136" s="102"/>
      <c r="M1136" s="102"/>
      <c r="N1136" s="102"/>
      <c r="O1136" s="98"/>
      <c r="P1136" s="98"/>
      <c r="Q1136" s="98"/>
    </row>
    <row r="1137">
      <c r="A1137" s="96"/>
      <c r="B1137" s="97"/>
      <c r="C1137" s="97"/>
      <c r="D1137" s="97"/>
      <c r="E1137" s="97"/>
      <c r="F1137" s="97" t="b">
        <v>0</v>
      </c>
      <c r="G1137" s="97" t="b">
        <v>0</v>
      </c>
      <c r="H1137" s="98"/>
      <c r="I1137" s="98"/>
      <c r="J1137" s="98"/>
      <c r="K1137" s="102"/>
      <c r="L1137" s="102"/>
      <c r="M1137" s="102"/>
      <c r="N1137" s="102"/>
      <c r="O1137" s="98"/>
      <c r="P1137" s="98"/>
      <c r="Q1137" s="98"/>
    </row>
    <row r="1138">
      <c r="A1138" s="96"/>
      <c r="B1138" s="97"/>
      <c r="C1138" s="97"/>
      <c r="D1138" s="97"/>
      <c r="E1138" s="97"/>
      <c r="F1138" s="97" t="b">
        <v>0</v>
      </c>
      <c r="G1138" s="97" t="b">
        <v>0</v>
      </c>
      <c r="H1138" s="98"/>
      <c r="I1138" s="98"/>
      <c r="J1138" s="98"/>
      <c r="K1138" s="102"/>
      <c r="L1138" s="102"/>
      <c r="M1138" s="102"/>
      <c r="N1138" s="102"/>
      <c r="O1138" s="98"/>
      <c r="P1138" s="98"/>
      <c r="Q1138" s="98"/>
    </row>
    <row r="1139">
      <c r="A1139" s="96"/>
      <c r="B1139" s="97"/>
      <c r="C1139" s="97"/>
      <c r="D1139" s="97"/>
      <c r="E1139" s="97"/>
      <c r="F1139" s="97" t="b">
        <v>0</v>
      </c>
      <c r="G1139" s="97" t="b">
        <v>0</v>
      </c>
      <c r="H1139" s="98"/>
      <c r="I1139" s="98"/>
      <c r="J1139" s="98"/>
      <c r="K1139" s="102"/>
      <c r="L1139" s="102"/>
      <c r="M1139" s="102"/>
      <c r="N1139" s="102"/>
      <c r="O1139" s="98"/>
      <c r="P1139" s="98"/>
      <c r="Q1139" s="98"/>
    </row>
    <row r="1140">
      <c r="A1140" s="96"/>
      <c r="B1140" s="97"/>
      <c r="C1140" s="97"/>
      <c r="D1140" s="97"/>
      <c r="E1140" s="97"/>
      <c r="F1140" s="97" t="b">
        <v>0</v>
      </c>
      <c r="G1140" s="97" t="b">
        <v>0</v>
      </c>
      <c r="H1140" s="98"/>
      <c r="I1140" s="98"/>
      <c r="J1140" s="98"/>
      <c r="K1140" s="102"/>
      <c r="L1140" s="102"/>
      <c r="M1140" s="102"/>
      <c r="N1140" s="102"/>
      <c r="O1140" s="98"/>
      <c r="P1140" s="98"/>
      <c r="Q1140" s="98"/>
    </row>
    <row r="1141">
      <c r="A1141" s="96"/>
      <c r="B1141" s="97"/>
      <c r="C1141" s="97"/>
      <c r="D1141" s="97"/>
      <c r="E1141" s="97"/>
      <c r="F1141" s="97" t="b">
        <v>0</v>
      </c>
      <c r="G1141" s="97" t="b">
        <v>0</v>
      </c>
      <c r="H1141" s="98"/>
      <c r="I1141" s="98"/>
      <c r="J1141" s="98"/>
      <c r="K1141" s="102"/>
      <c r="L1141" s="102"/>
      <c r="M1141" s="102"/>
      <c r="N1141" s="102"/>
      <c r="O1141" s="98"/>
      <c r="P1141" s="98"/>
      <c r="Q1141" s="98"/>
    </row>
    <row r="1142">
      <c r="A1142" s="96"/>
      <c r="B1142" s="97"/>
      <c r="C1142" s="97"/>
      <c r="D1142" s="97"/>
      <c r="E1142" s="97"/>
      <c r="F1142" s="97" t="b">
        <v>0</v>
      </c>
      <c r="G1142" s="97" t="b">
        <v>0</v>
      </c>
      <c r="H1142" s="98"/>
      <c r="I1142" s="98"/>
      <c r="J1142" s="98"/>
      <c r="K1142" s="102"/>
      <c r="L1142" s="102"/>
      <c r="M1142" s="102"/>
      <c r="N1142" s="102"/>
      <c r="O1142" s="98"/>
      <c r="P1142" s="98"/>
      <c r="Q1142" s="98"/>
    </row>
    <row r="1143">
      <c r="A1143" s="96"/>
      <c r="B1143" s="97"/>
      <c r="C1143" s="97"/>
      <c r="D1143" s="97"/>
      <c r="E1143" s="97"/>
      <c r="F1143" s="97" t="b">
        <v>0</v>
      </c>
      <c r="G1143" s="97" t="b">
        <v>0</v>
      </c>
      <c r="H1143" s="98"/>
      <c r="I1143" s="98"/>
      <c r="J1143" s="98"/>
      <c r="K1143" s="102"/>
      <c r="L1143" s="102"/>
      <c r="M1143" s="102"/>
      <c r="N1143" s="102"/>
      <c r="O1143" s="98"/>
      <c r="P1143" s="98"/>
      <c r="Q1143" s="98"/>
    </row>
    <row r="1144">
      <c r="A1144" s="96"/>
      <c r="B1144" s="97"/>
      <c r="C1144" s="97"/>
      <c r="D1144" s="97"/>
      <c r="E1144" s="97"/>
      <c r="F1144" s="97" t="b">
        <v>0</v>
      </c>
      <c r="G1144" s="97" t="b">
        <v>0</v>
      </c>
      <c r="H1144" s="98"/>
      <c r="I1144" s="98"/>
      <c r="J1144" s="98"/>
      <c r="K1144" s="102"/>
      <c r="L1144" s="102"/>
      <c r="M1144" s="102"/>
      <c r="N1144" s="102"/>
      <c r="O1144" s="98"/>
      <c r="P1144" s="98"/>
      <c r="Q1144" s="98"/>
    </row>
    <row r="1145">
      <c r="A1145" s="96"/>
      <c r="B1145" s="97"/>
      <c r="C1145" s="97"/>
      <c r="D1145" s="97"/>
      <c r="E1145" s="97"/>
      <c r="F1145" s="97" t="b">
        <v>0</v>
      </c>
      <c r="G1145" s="97" t="b">
        <v>0</v>
      </c>
      <c r="H1145" s="98"/>
      <c r="I1145" s="98"/>
      <c r="J1145" s="98"/>
      <c r="K1145" s="102"/>
      <c r="L1145" s="102"/>
      <c r="M1145" s="102"/>
      <c r="N1145" s="102"/>
      <c r="O1145" s="98"/>
      <c r="P1145" s="98"/>
      <c r="Q1145" s="98"/>
    </row>
    <row r="1146">
      <c r="A1146" s="96"/>
      <c r="B1146" s="97"/>
      <c r="C1146" s="97"/>
      <c r="D1146" s="97"/>
      <c r="E1146" s="97"/>
      <c r="F1146" s="97" t="b">
        <v>0</v>
      </c>
      <c r="G1146" s="97" t="b">
        <v>0</v>
      </c>
      <c r="H1146" s="98"/>
      <c r="I1146" s="98"/>
      <c r="J1146" s="98"/>
      <c r="K1146" s="102"/>
      <c r="L1146" s="102"/>
      <c r="M1146" s="102"/>
      <c r="N1146" s="102"/>
      <c r="O1146" s="98"/>
      <c r="P1146" s="98"/>
      <c r="Q1146" s="98"/>
    </row>
    <row r="1147">
      <c r="A1147" s="96"/>
      <c r="B1147" s="97"/>
      <c r="C1147" s="97"/>
      <c r="D1147" s="97"/>
      <c r="E1147" s="97"/>
      <c r="F1147" s="97" t="b">
        <v>0</v>
      </c>
      <c r="G1147" s="97" t="b">
        <v>0</v>
      </c>
      <c r="H1147" s="98"/>
      <c r="I1147" s="98"/>
      <c r="J1147" s="98"/>
      <c r="K1147" s="102"/>
      <c r="L1147" s="102"/>
      <c r="M1147" s="102"/>
      <c r="N1147" s="102"/>
      <c r="O1147" s="98"/>
      <c r="P1147" s="98"/>
      <c r="Q1147" s="98"/>
    </row>
    <row r="1148">
      <c r="A1148" s="96"/>
      <c r="B1148" s="97"/>
      <c r="C1148" s="97"/>
      <c r="D1148" s="97"/>
      <c r="E1148" s="97"/>
      <c r="F1148" s="97" t="b">
        <v>0</v>
      </c>
      <c r="G1148" s="97" t="b">
        <v>0</v>
      </c>
      <c r="H1148" s="98"/>
      <c r="I1148" s="98"/>
      <c r="J1148" s="98"/>
      <c r="K1148" s="102"/>
      <c r="L1148" s="102"/>
      <c r="M1148" s="102"/>
      <c r="N1148" s="102"/>
      <c r="O1148" s="98"/>
      <c r="P1148" s="98"/>
      <c r="Q1148" s="98"/>
    </row>
    <row r="1149">
      <c r="A1149" s="96"/>
      <c r="B1149" s="97"/>
      <c r="C1149" s="97"/>
      <c r="D1149" s="97"/>
      <c r="E1149" s="97"/>
      <c r="F1149" s="97" t="b">
        <v>0</v>
      </c>
      <c r="G1149" s="97" t="b">
        <v>0</v>
      </c>
      <c r="H1149" s="98"/>
      <c r="I1149" s="98"/>
      <c r="J1149" s="98"/>
      <c r="K1149" s="102"/>
      <c r="L1149" s="102"/>
      <c r="M1149" s="102"/>
      <c r="N1149" s="102"/>
      <c r="O1149" s="98"/>
      <c r="P1149" s="98"/>
      <c r="Q1149" s="98"/>
    </row>
    <row r="1150">
      <c r="A1150" s="96"/>
      <c r="B1150" s="97"/>
      <c r="C1150" s="97"/>
      <c r="D1150" s="97"/>
      <c r="E1150" s="97"/>
      <c r="F1150" s="97" t="b">
        <v>0</v>
      </c>
      <c r="G1150" s="97" t="b">
        <v>0</v>
      </c>
      <c r="H1150" s="98"/>
      <c r="I1150" s="98"/>
      <c r="J1150" s="98"/>
      <c r="K1150" s="102"/>
      <c r="L1150" s="102"/>
      <c r="M1150" s="102"/>
      <c r="N1150" s="102"/>
      <c r="O1150" s="98"/>
      <c r="P1150" s="98"/>
      <c r="Q1150" s="98"/>
    </row>
    <row r="1151">
      <c r="A1151" s="96"/>
      <c r="B1151" s="97"/>
      <c r="C1151" s="97"/>
      <c r="D1151" s="97"/>
      <c r="E1151" s="97"/>
      <c r="F1151" s="97" t="b">
        <v>0</v>
      </c>
      <c r="G1151" s="97" t="b">
        <v>0</v>
      </c>
      <c r="H1151" s="98"/>
      <c r="I1151" s="98"/>
      <c r="J1151" s="98"/>
      <c r="K1151" s="102"/>
      <c r="L1151" s="102"/>
      <c r="M1151" s="102"/>
      <c r="N1151" s="102"/>
      <c r="O1151" s="98"/>
      <c r="P1151" s="98"/>
      <c r="Q1151" s="98"/>
    </row>
    <row r="1152">
      <c r="A1152" s="96"/>
      <c r="B1152" s="97"/>
      <c r="C1152" s="97"/>
      <c r="D1152" s="97"/>
      <c r="E1152" s="97"/>
      <c r="F1152" s="97" t="b">
        <v>0</v>
      </c>
      <c r="G1152" s="97" t="b">
        <v>0</v>
      </c>
      <c r="H1152" s="98"/>
      <c r="I1152" s="98"/>
      <c r="J1152" s="98"/>
      <c r="K1152" s="102"/>
      <c r="L1152" s="102"/>
      <c r="M1152" s="102"/>
      <c r="N1152" s="102"/>
      <c r="O1152" s="98"/>
      <c r="P1152" s="98"/>
      <c r="Q1152" s="98"/>
    </row>
    <row r="1153">
      <c r="A1153" s="96"/>
      <c r="B1153" s="97"/>
      <c r="C1153" s="97"/>
      <c r="D1153" s="97"/>
      <c r="E1153" s="97"/>
      <c r="F1153" s="97" t="b">
        <v>0</v>
      </c>
      <c r="G1153" s="97" t="b">
        <v>0</v>
      </c>
      <c r="H1153" s="98"/>
      <c r="I1153" s="98"/>
      <c r="J1153" s="98"/>
      <c r="K1153" s="102"/>
      <c r="L1153" s="102"/>
      <c r="M1153" s="102"/>
      <c r="N1153" s="102"/>
      <c r="O1153" s="98"/>
      <c r="P1153" s="98"/>
      <c r="Q1153" s="98"/>
    </row>
    <row r="1154">
      <c r="A1154" s="96"/>
      <c r="B1154" s="97"/>
      <c r="C1154" s="97"/>
      <c r="D1154" s="97"/>
      <c r="E1154" s="97"/>
      <c r="F1154" s="97" t="b">
        <v>0</v>
      </c>
      <c r="G1154" s="97" t="b">
        <v>0</v>
      </c>
      <c r="H1154" s="98"/>
      <c r="I1154" s="98"/>
      <c r="J1154" s="98"/>
      <c r="K1154" s="102"/>
      <c r="L1154" s="102"/>
      <c r="M1154" s="102"/>
      <c r="N1154" s="102"/>
      <c r="O1154" s="98"/>
      <c r="P1154" s="98"/>
      <c r="Q1154" s="98"/>
    </row>
    <row r="1155">
      <c r="A1155" s="96"/>
      <c r="B1155" s="97"/>
      <c r="C1155" s="97"/>
      <c r="D1155" s="97"/>
      <c r="E1155" s="97"/>
      <c r="F1155" s="97" t="b">
        <v>0</v>
      </c>
      <c r="G1155" s="97" t="b">
        <v>0</v>
      </c>
      <c r="H1155" s="98"/>
      <c r="I1155" s="98"/>
      <c r="J1155" s="98"/>
      <c r="K1155" s="102"/>
      <c r="L1155" s="102"/>
      <c r="M1155" s="102"/>
      <c r="N1155" s="102"/>
      <c r="O1155" s="98"/>
      <c r="P1155" s="98"/>
      <c r="Q1155" s="98"/>
    </row>
    <row r="1156">
      <c r="A1156" s="96"/>
      <c r="B1156" s="97"/>
      <c r="C1156" s="97"/>
      <c r="D1156" s="97"/>
      <c r="E1156" s="97"/>
      <c r="F1156" s="97" t="b">
        <v>0</v>
      </c>
      <c r="G1156" s="97" t="b">
        <v>0</v>
      </c>
      <c r="H1156" s="98"/>
      <c r="I1156" s="98"/>
      <c r="J1156" s="98"/>
      <c r="K1156" s="102"/>
      <c r="L1156" s="102"/>
      <c r="M1156" s="102"/>
      <c r="N1156" s="102"/>
      <c r="O1156" s="98"/>
      <c r="P1156" s="98"/>
      <c r="Q1156" s="98"/>
    </row>
    <row r="1157">
      <c r="A1157" s="96"/>
      <c r="B1157" s="97"/>
      <c r="C1157" s="97"/>
      <c r="D1157" s="97"/>
      <c r="E1157" s="97"/>
      <c r="F1157" s="97" t="b">
        <v>0</v>
      </c>
      <c r="G1157" s="97" t="b">
        <v>0</v>
      </c>
      <c r="H1157" s="98"/>
      <c r="I1157" s="98"/>
      <c r="J1157" s="98"/>
      <c r="K1157" s="102"/>
      <c r="L1157" s="102"/>
      <c r="M1157" s="102"/>
      <c r="N1157" s="102"/>
      <c r="O1157" s="98"/>
      <c r="P1157" s="98"/>
      <c r="Q1157" s="98"/>
    </row>
    <row r="1158">
      <c r="A1158" s="96"/>
      <c r="B1158" s="97"/>
      <c r="C1158" s="97"/>
      <c r="D1158" s="97"/>
      <c r="E1158" s="97"/>
      <c r="F1158" s="97" t="b">
        <v>0</v>
      </c>
      <c r="G1158" s="97" t="b">
        <v>0</v>
      </c>
      <c r="H1158" s="98"/>
      <c r="I1158" s="98"/>
      <c r="J1158" s="98"/>
      <c r="K1158" s="102"/>
      <c r="L1158" s="102"/>
      <c r="M1158" s="102"/>
      <c r="N1158" s="102"/>
      <c r="O1158" s="98"/>
      <c r="P1158" s="98"/>
      <c r="Q1158" s="98"/>
    </row>
    <row r="1159">
      <c r="A1159" s="96"/>
      <c r="B1159" s="97"/>
      <c r="C1159" s="97"/>
      <c r="D1159" s="97"/>
      <c r="E1159" s="97"/>
      <c r="F1159" s="97" t="b">
        <v>0</v>
      </c>
      <c r="G1159" s="97" t="b">
        <v>0</v>
      </c>
      <c r="H1159" s="98"/>
      <c r="I1159" s="98"/>
      <c r="J1159" s="98"/>
      <c r="K1159" s="102"/>
      <c r="L1159" s="102"/>
      <c r="M1159" s="102"/>
      <c r="N1159" s="102"/>
      <c r="O1159" s="98"/>
      <c r="P1159" s="98"/>
      <c r="Q1159" s="98"/>
    </row>
    <row r="1160">
      <c r="A1160" s="96"/>
      <c r="B1160" s="97"/>
      <c r="C1160" s="97"/>
      <c r="D1160" s="97"/>
      <c r="E1160" s="97"/>
      <c r="F1160" s="97" t="b">
        <v>0</v>
      </c>
      <c r="G1160" s="97" t="b">
        <v>0</v>
      </c>
      <c r="H1160" s="98"/>
      <c r="I1160" s="98"/>
      <c r="J1160" s="98"/>
      <c r="K1160" s="102"/>
      <c r="L1160" s="102"/>
      <c r="M1160" s="102"/>
      <c r="N1160" s="102"/>
      <c r="O1160" s="98"/>
      <c r="P1160" s="98"/>
      <c r="Q1160" s="98"/>
    </row>
    <row r="1161">
      <c r="A1161" s="96"/>
      <c r="B1161" s="97"/>
      <c r="C1161" s="97"/>
      <c r="D1161" s="97"/>
      <c r="E1161" s="97"/>
      <c r="F1161" s="97" t="b">
        <v>0</v>
      </c>
      <c r="G1161" s="97" t="b">
        <v>0</v>
      </c>
      <c r="H1161" s="98"/>
      <c r="I1161" s="98"/>
      <c r="J1161" s="98"/>
      <c r="K1161" s="102"/>
      <c r="L1161" s="102"/>
      <c r="M1161" s="102"/>
      <c r="N1161" s="102"/>
      <c r="O1161" s="98"/>
      <c r="P1161" s="98"/>
      <c r="Q1161" s="98"/>
    </row>
    <row r="1162">
      <c r="A1162" s="96"/>
      <c r="B1162" s="97"/>
      <c r="C1162" s="97"/>
      <c r="D1162" s="97"/>
      <c r="E1162" s="97"/>
      <c r="F1162" s="97" t="b">
        <v>0</v>
      </c>
      <c r="G1162" s="97" t="b">
        <v>0</v>
      </c>
      <c r="H1162" s="98"/>
      <c r="I1162" s="98"/>
      <c r="J1162" s="98"/>
      <c r="K1162" s="102"/>
      <c r="L1162" s="102"/>
      <c r="M1162" s="102"/>
      <c r="N1162" s="102"/>
      <c r="O1162" s="98"/>
      <c r="P1162" s="98"/>
      <c r="Q1162" s="98"/>
    </row>
    <row r="1163">
      <c r="A1163" s="96"/>
      <c r="B1163" s="97"/>
      <c r="C1163" s="97"/>
      <c r="D1163" s="97"/>
      <c r="E1163" s="97"/>
      <c r="F1163" s="97" t="b">
        <v>0</v>
      </c>
      <c r="G1163" s="97" t="b">
        <v>0</v>
      </c>
      <c r="H1163" s="98"/>
      <c r="I1163" s="98"/>
      <c r="J1163" s="98"/>
      <c r="K1163" s="102"/>
      <c r="L1163" s="102"/>
      <c r="M1163" s="102"/>
      <c r="N1163" s="102"/>
      <c r="O1163" s="98"/>
      <c r="P1163" s="98"/>
      <c r="Q1163" s="98"/>
    </row>
    <row r="1164">
      <c r="A1164" s="96"/>
      <c r="B1164" s="97"/>
      <c r="C1164" s="97"/>
      <c r="D1164" s="97"/>
      <c r="E1164" s="97"/>
      <c r="F1164" s="97" t="b">
        <v>0</v>
      </c>
      <c r="G1164" s="97" t="b">
        <v>0</v>
      </c>
      <c r="H1164" s="98"/>
      <c r="I1164" s="98"/>
      <c r="J1164" s="98"/>
      <c r="K1164" s="102"/>
      <c r="L1164" s="102"/>
      <c r="M1164" s="102"/>
      <c r="N1164" s="102"/>
      <c r="O1164" s="98"/>
      <c r="P1164" s="98"/>
      <c r="Q1164" s="98"/>
    </row>
    <row r="1165">
      <c r="A1165" s="96"/>
      <c r="B1165" s="97"/>
      <c r="C1165" s="97"/>
      <c r="D1165" s="97"/>
      <c r="E1165" s="97"/>
      <c r="F1165" s="97" t="b">
        <v>0</v>
      </c>
      <c r="G1165" s="97" t="b">
        <v>0</v>
      </c>
      <c r="H1165" s="98"/>
      <c r="I1165" s="98"/>
      <c r="J1165" s="98"/>
      <c r="K1165" s="102"/>
      <c r="L1165" s="102"/>
      <c r="M1165" s="102"/>
      <c r="N1165" s="102"/>
      <c r="O1165" s="98"/>
      <c r="P1165" s="98"/>
      <c r="Q1165" s="98"/>
    </row>
    <row r="1166">
      <c r="A1166" s="96"/>
      <c r="B1166" s="97"/>
      <c r="C1166" s="97"/>
      <c r="D1166" s="97"/>
      <c r="E1166" s="97"/>
      <c r="F1166" s="97" t="b">
        <v>0</v>
      </c>
      <c r="G1166" s="97" t="b">
        <v>0</v>
      </c>
      <c r="H1166" s="98"/>
      <c r="I1166" s="98"/>
      <c r="J1166" s="98"/>
      <c r="K1166" s="102"/>
      <c r="L1166" s="102"/>
      <c r="M1166" s="102"/>
      <c r="N1166" s="102"/>
      <c r="O1166" s="98"/>
      <c r="P1166" s="98"/>
      <c r="Q1166" s="98"/>
    </row>
    <row r="1167">
      <c r="A1167" s="96"/>
      <c r="B1167" s="97"/>
      <c r="C1167" s="97"/>
      <c r="D1167" s="97"/>
      <c r="E1167" s="97"/>
      <c r="F1167" s="97" t="b">
        <v>0</v>
      </c>
      <c r="G1167" s="97" t="b">
        <v>0</v>
      </c>
      <c r="H1167" s="98"/>
      <c r="I1167" s="98"/>
      <c r="J1167" s="98"/>
      <c r="K1167" s="102"/>
      <c r="L1167" s="102"/>
      <c r="M1167" s="102"/>
      <c r="N1167" s="102"/>
      <c r="O1167" s="98"/>
      <c r="P1167" s="98"/>
      <c r="Q1167" s="98"/>
    </row>
    <row r="1168">
      <c r="A1168" s="96"/>
      <c r="B1168" s="97"/>
      <c r="C1168" s="97"/>
      <c r="D1168" s="97"/>
      <c r="E1168" s="97"/>
      <c r="F1168" s="97" t="b">
        <v>0</v>
      </c>
      <c r="G1168" s="97" t="b">
        <v>0</v>
      </c>
      <c r="H1168" s="98"/>
      <c r="I1168" s="98"/>
      <c r="J1168" s="98"/>
      <c r="K1168" s="102"/>
      <c r="L1168" s="102"/>
      <c r="M1168" s="102"/>
      <c r="N1168" s="102"/>
      <c r="O1168" s="98"/>
      <c r="P1168" s="98"/>
      <c r="Q1168" s="98"/>
    </row>
    <row r="1169">
      <c r="A1169" s="96"/>
      <c r="B1169" s="97"/>
      <c r="C1169" s="97"/>
      <c r="D1169" s="97"/>
      <c r="E1169" s="97"/>
      <c r="F1169" s="97" t="b">
        <v>0</v>
      </c>
      <c r="G1169" s="97" t="b">
        <v>0</v>
      </c>
      <c r="H1169" s="98"/>
      <c r="I1169" s="98"/>
      <c r="J1169" s="98"/>
      <c r="K1169" s="102"/>
      <c r="L1169" s="102"/>
      <c r="M1169" s="102"/>
      <c r="N1169" s="102"/>
      <c r="O1169" s="98"/>
      <c r="P1169" s="98"/>
      <c r="Q1169" s="98"/>
    </row>
    <row r="1170">
      <c r="A1170" s="96"/>
      <c r="B1170" s="97"/>
      <c r="C1170" s="97"/>
      <c r="D1170" s="97"/>
      <c r="E1170" s="97"/>
      <c r="F1170" s="97" t="b">
        <v>0</v>
      </c>
      <c r="G1170" s="97" t="b">
        <v>0</v>
      </c>
      <c r="H1170" s="98"/>
      <c r="I1170" s="98"/>
      <c r="J1170" s="98"/>
      <c r="K1170" s="102"/>
      <c r="L1170" s="102"/>
      <c r="M1170" s="102"/>
      <c r="N1170" s="102"/>
      <c r="O1170" s="98"/>
      <c r="P1170" s="98"/>
      <c r="Q1170" s="98"/>
    </row>
    <row r="1171">
      <c r="A1171" s="96"/>
      <c r="B1171" s="97"/>
      <c r="C1171" s="97"/>
      <c r="D1171" s="97"/>
      <c r="E1171" s="97"/>
      <c r="F1171" s="97" t="b">
        <v>0</v>
      </c>
      <c r="G1171" s="97" t="b">
        <v>0</v>
      </c>
      <c r="H1171" s="98"/>
      <c r="I1171" s="98"/>
      <c r="J1171" s="98"/>
      <c r="K1171" s="102"/>
      <c r="L1171" s="102"/>
      <c r="M1171" s="102"/>
      <c r="N1171" s="102"/>
      <c r="O1171" s="98"/>
      <c r="P1171" s="98"/>
      <c r="Q1171" s="98"/>
    </row>
    <row r="1172">
      <c r="A1172" s="96"/>
      <c r="B1172" s="97"/>
      <c r="C1172" s="97"/>
      <c r="D1172" s="97"/>
      <c r="E1172" s="97"/>
      <c r="F1172" s="97" t="b">
        <v>0</v>
      </c>
      <c r="G1172" s="97" t="b">
        <v>0</v>
      </c>
      <c r="H1172" s="98"/>
      <c r="I1172" s="98"/>
      <c r="J1172" s="98"/>
      <c r="K1172" s="102"/>
      <c r="L1172" s="102"/>
      <c r="M1172" s="102"/>
      <c r="N1172" s="102"/>
      <c r="O1172" s="98"/>
      <c r="P1172" s="98"/>
      <c r="Q1172" s="98"/>
    </row>
    <row r="1173">
      <c r="A1173" s="96"/>
      <c r="B1173" s="97"/>
      <c r="C1173" s="97"/>
      <c r="D1173" s="97"/>
      <c r="E1173" s="97"/>
      <c r="F1173" s="97" t="b">
        <v>0</v>
      </c>
      <c r="G1173" s="97" t="b">
        <v>0</v>
      </c>
      <c r="H1173" s="98"/>
      <c r="I1173" s="98"/>
      <c r="J1173" s="98"/>
      <c r="K1173" s="102"/>
      <c r="L1173" s="102"/>
      <c r="M1173" s="102"/>
      <c r="N1173" s="102"/>
      <c r="O1173" s="98"/>
      <c r="P1173" s="98"/>
      <c r="Q1173" s="98"/>
    </row>
    <row r="1174">
      <c r="A1174" s="96"/>
      <c r="B1174" s="97"/>
      <c r="C1174" s="97"/>
      <c r="D1174" s="97"/>
      <c r="E1174" s="97"/>
      <c r="F1174" s="97" t="b">
        <v>0</v>
      </c>
      <c r="G1174" s="97" t="b">
        <v>0</v>
      </c>
      <c r="H1174" s="98"/>
      <c r="I1174" s="98"/>
      <c r="J1174" s="98"/>
      <c r="K1174" s="102"/>
      <c r="L1174" s="102"/>
      <c r="M1174" s="102"/>
      <c r="N1174" s="102"/>
      <c r="O1174" s="98"/>
      <c r="P1174" s="98"/>
      <c r="Q1174" s="98"/>
    </row>
    <row r="1175">
      <c r="A1175" s="96"/>
      <c r="B1175" s="97"/>
      <c r="C1175" s="97"/>
      <c r="D1175" s="97"/>
      <c r="E1175" s="97"/>
      <c r="F1175" s="97" t="b">
        <v>0</v>
      </c>
      <c r="G1175" s="97" t="b">
        <v>0</v>
      </c>
      <c r="H1175" s="98"/>
      <c r="I1175" s="98"/>
      <c r="J1175" s="98"/>
      <c r="K1175" s="102"/>
      <c r="L1175" s="102"/>
      <c r="M1175" s="102"/>
      <c r="N1175" s="102"/>
      <c r="O1175" s="98"/>
      <c r="P1175" s="98"/>
      <c r="Q1175" s="98"/>
    </row>
    <row r="1176">
      <c r="A1176" s="96"/>
      <c r="B1176" s="97"/>
      <c r="C1176" s="97"/>
      <c r="D1176" s="97"/>
      <c r="E1176" s="97"/>
      <c r="F1176" s="97" t="b">
        <v>0</v>
      </c>
      <c r="G1176" s="97" t="b">
        <v>0</v>
      </c>
      <c r="H1176" s="98"/>
      <c r="I1176" s="98"/>
      <c r="J1176" s="98"/>
      <c r="K1176" s="102"/>
      <c r="L1176" s="102"/>
      <c r="M1176" s="102"/>
      <c r="N1176" s="102"/>
      <c r="O1176" s="98"/>
      <c r="P1176" s="98"/>
      <c r="Q1176" s="98"/>
    </row>
    <row r="1177">
      <c r="A1177" s="96"/>
      <c r="B1177" s="97"/>
      <c r="C1177" s="97"/>
      <c r="D1177" s="97"/>
      <c r="E1177" s="97"/>
      <c r="F1177" s="97" t="b">
        <v>0</v>
      </c>
      <c r="G1177" s="97" t="b">
        <v>0</v>
      </c>
      <c r="H1177" s="98"/>
      <c r="I1177" s="98"/>
      <c r="J1177" s="98"/>
      <c r="K1177" s="102"/>
      <c r="L1177" s="102"/>
      <c r="M1177" s="102"/>
      <c r="N1177" s="102"/>
      <c r="O1177" s="98"/>
      <c r="P1177" s="98"/>
      <c r="Q1177" s="98"/>
    </row>
    <row r="1178">
      <c r="A1178" s="96"/>
      <c r="B1178" s="97"/>
      <c r="C1178" s="97"/>
      <c r="D1178" s="97"/>
      <c r="E1178" s="97"/>
      <c r="F1178" s="97" t="b">
        <v>0</v>
      </c>
      <c r="G1178" s="97" t="b">
        <v>0</v>
      </c>
      <c r="H1178" s="98"/>
      <c r="I1178" s="98"/>
      <c r="J1178" s="98"/>
      <c r="K1178" s="102"/>
      <c r="L1178" s="102"/>
      <c r="M1178" s="102"/>
      <c r="N1178" s="102"/>
      <c r="O1178" s="98"/>
      <c r="P1178" s="98"/>
      <c r="Q1178" s="98"/>
    </row>
    <row r="1179">
      <c r="A1179" s="96"/>
      <c r="B1179" s="97"/>
      <c r="C1179" s="97"/>
      <c r="D1179" s="97"/>
      <c r="E1179" s="97"/>
      <c r="F1179" s="97" t="b">
        <v>0</v>
      </c>
      <c r="G1179" s="97" t="b">
        <v>0</v>
      </c>
      <c r="H1179" s="98"/>
      <c r="I1179" s="98"/>
      <c r="J1179" s="98"/>
      <c r="K1179" s="102"/>
      <c r="L1179" s="102"/>
      <c r="M1179" s="102"/>
      <c r="N1179" s="102"/>
      <c r="O1179" s="98"/>
      <c r="P1179" s="98"/>
      <c r="Q1179" s="98"/>
    </row>
    <row r="1180">
      <c r="A1180" s="96"/>
      <c r="B1180" s="97"/>
      <c r="C1180" s="97"/>
      <c r="D1180" s="97"/>
      <c r="E1180" s="97"/>
      <c r="F1180" s="97" t="b">
        <v>0</v>
      </c>
      <c r="G1180" s="97" t="b">
        <v>0</v>
      </c>
      <c r="H1180" s="98"/>
      <c r="I1180" s="98"/>
      <c r="J1180" s="98"/>
      <c r="K1180" s="102"/>
      <c r="L1180" s="102"/>
      <c r="M1180" s="102"/>
      <c r="N1180" s="102"/>
      <c r="O1180" s="98"/>
      <c r="P1180" s="98"/>
      <c r="Q1180" s="98"/>
    </row>
    <row r="1181">
      <c r="A1181" s="96"/>
      <c r="B1181" s="97"/>
      <c r="C1181" s="97"/>
      <c r="D1181" s="97"/>
      <c r="E1181" s="97"/>
      <c r="F1181" s="97" t="b">
        <v>0</v>
      </c>
      <c r="G1181" s="97" t="b">
        <v>0</v>
      </c>
      <c r="H1181" s="98"/>
      <c r="I1181" s="98"/>
      <c r="J1181" s="98"/>
      <c r="K1181" s="102"/>
      <c r="L1181" s="102"/>
      <c r="M1181" s="102"/>
      <c r="N1181" s="102"/>
      <c r="O1181" s="98"/>
      <c r="P1181" s="98"/>
      <c r="Q1181" s="98"/>
    </row>
    <row r="1182">
      <c r="A1182" s="96"/>
      <c r="B1182" s="97"/>
      <c r="C1182" s="97"/>
      <c r="D1182" s="97"/>
      <c r="E1182" s="97"/>
      <c r="F1182" s="97" t="b">
        <v>0</v>
      </c>
      <c r="G1182" s="97" t="b">
        <v>0</v>
      </c>
      <c r="H1182" s="98"/>
      <c r="I1182" s="98"/>
      <c r="J1182" s="98"/>
      <c r="K1182" s="102"/>
      <c r="L1182" s="102"/>
      <c r="M1182" s="102"/>
      <c r="N1182" s="102"/>
      <c r="O1182" s="98"/>
      <c r="P1182" s="98"/>
      <c r="Q1182" s="98"/>
    </row>
    <row r="1183">
      <c r="A1183" s="96"/>
      <c r="B1183" s="97"/>
      <c r="C1183" s="97"/>
      <c r="D1183" s="97"/>
      <c r="E1183" s="97"/>
      <c r="F1183" s="97" t="b">
        <v>0</v>
      </c>
      <c r="G1183" s="97" t="b">
        <v>0</v>
      </c>
      <c r="H1183" s="98"/>
      <c r="I1183" s="98"/>
      <c r="J1183" s="98"/>
      <c r="K1183" s="102"/>
      <c r="L1183" s="102"/>
      <c r="M1183" s="102"/>
      <c r="N1183" s="102"/>
      <c r="O1183" s="98"/>
      <c r="P1183" s="98"/>
      <c r="Q1183" s="98"/>
    </row>
    <row r="1184">
      <c r="A1184" s="96"/>
      <c r="B1184" s="97"/>
      <c r="C1184" s="97"/>
      <c r="D1184" s="97"/>
      <c r="E1184" s="97"/>
      <c r="F1184" s="97" t="b">
        <v>0</v>
      </c>
      <c r="G1184" s="97" t="b">
        <v>0</v>
      </c>
      <c r="H1184" s="98"/>
      <c r="I1184" s="98"/>
      <c r="J1184" s="98"/>
      <c r="K1184" s="102"/>
      <c r="L1184" s="102"/>
      <c r="M1184" s="102"/>
      <c r="N1184" s="102"/>
      <c r="O1184" s="98"/>
      <c r="P1184" s="98"/>
      <c r="Q1184" s="98"/>
    </row>
    <row r="1185">
      <c r="A1185" s="96"/>
      <c r="B1185" s="97"/>
      <c r="C1185" s="97"/>
      <c r="D1185" s="97"/>
      <c r="E1185" s="97"/>
      <c r="F1185" s="97" t="b">
        <v>0</v>
      </c>
      <c r="G1185" s="97" t="b">
        <v>0</v>
      </c>
      <c r="H1185" s="98"/>
      <c r="I1185" s="98"/>
      <c r="J1185" s="98"/>
      <c r="K1185" s="102"/>
      <c r="L1185" s="102"/>
      <c r="M1185" s="102"/>
      <c r="N1185" s="102"/>
      <c r="O1185" s="98"/>
      <c r="P1185" s="98"/>
      <c r="Q1185" s="98"/>
    </row>
    <row r="1186">
      <c r="A1186" s="96"/>
      <c r="B1186" s="97"/>
      <c r="C1186" s="97"/>
      <c r="D1186" s="97"/>
      <c r="E1186" s="97"/>
      <c r="F1186" s="97" t="b">
        <v>0</v>
      </c>
      <c r="G1186" s="97" t="b">
        <v>0</v>
      </c>
      <c r="H1186" s="98"/>
      <c r="I1186" s="98"/>
      <c r="J1186" s="98"/>
      <c r="K1186" s="102"/>
      <c r="L1186" s="102"/>
      <c r="M1186" s="102"/>
      <c r="N1186" s="102"/>
      <c r="O1186" s="98"/>
      <c r="P1186" s="98"/>
      <c r="Q1186" s="98"/>
    </row>
    <row r="1187">
      <c r="A1187" s="96"/>
      <c r="B1187" s="97"/>
      <c r="C1187" s="97"/>
      <c r="D1187" s="97"/>
      <c r="E1187" s="97"/>
      <c r="F1187" s="97" t="b">
        <v>0</v>
      </c>
      <c r="G1187" s="97" t="b">
        <v>0</v>
      </c>
      <c r="H1187" s="98"/>
      <c r="I1187" s="98"/>
      <c r="J1187" s="98"/>
      <c r="K1187" s="102"/>
      <c r="L1187" s="102"/>
      <c r="M1187" s="102"/>
      <c r="N1187" s="102"/>
      <c r="O1187" s="98"/>
      <c r="P1187" s="98"/>
      <c r="Q1187" s="98"/>
    </row>
    <row r="1188">
      <c r="A1188" s="96"/>
      <c r="B1188" s="97"/>
      <c r="C1188" s="97"/>
      <c r="D1188" s="97"/>
      <c r="E1188" s="97"/>
      <c r="F1188" s="97" t="b">
        <v>0</v>
      </c>
      <c r="G1188" s="97" t="b">
        <v>0</v>
      </c>
      <c r="H1188" s="98"/>
      <c r="I1188" s="98"/>
      <c r="J1188" s="98"/>
      <c r="K1188" s="102"/>
      <c r="L1188" s="102"/>
      <c r="M1188" s="102"/>
      <c r="N1188" s="102"/>
      <c r="O1188" s="98"/>
      <c r="P1188" s="98"/>
      <c r="Q1188" s="98"/>
    </row>
    <row r="1189">
      <c r="A1189" s="96"/>
      <c r="B1189" s="97"/>
      <c r="C1189" s="97"/>
      <c r="D1189" s="97"/>
      <c r="E1189" s="97"/>
      <c r="F1189" s="97" t="b">
        <v>0</v>
      </c>
      <c r="G1189" s="97" t="b">
        <v>0</v>
      </c>
      <c r="H1189" s="98"/>
      <c r="I1189" s="98"/>
      <c r="J1189" s="98"/>
      <c r="K1189" s="102"/>
      <c r="L1189" s="102"/>
      <c r="M1189" s="102"/>
      <c r="N1189" s="102"/>
      <c r="O1189" s="98"/>
      <c r="P1189" s="98"/>
      <c r="Q1189" s="98"/>
    </row>
    <row r="1190">
      <c r="A1190" s="96"/>
      <c r="B1190" s="97"/>
      <c r="C1190" s="97"/>
      <c r="D1190" s="97"/>
      <c r="E1190" s="97"/>
      <c r="F1190" s="97" t="b">
        <v>0</v>
      </c>
      <c r="G1190" s="97" t="b">
        <v>0</v>
      </c>
      <c r="H1190" s="98"/>
      <c r="I1190" s="98"/>
      <c r="J1190" s="98"/>
      <c r="K1190" s="102"/>
      <c r="L1190" s="102"/>
      <c r="M1190" s="102"/>
      <c r="N1190" s="102"/>
      <c r="O1190" s="98"/>
      <c r="P1190" s="98"/>
      <c r="Q1190" s="98"/>
    </row>
    <row r="1191">
      <c r="A1191" s="96"/>
      <c r="B1191" s="97"/>
      <c r="C1191" s="97"/>
      <c r="D1191" s="97"/>
      <c r="E1191" s="97"/>
      <c r="F1191" s="97" t="b">
        <v>0</v>
      </c>
      <c r="G1191" s="97" t="b">
        <v>0</v>
      </c>
      <c r="H1191" s="98"/>
      <c r="I1191" s="98"/>
      <c r="J1191" s="98"/>
      <c r="K1191" s="102"/>
      <c r="L1191" s="102"/>
      <c r="M1191" s="102"/>
      <c r="N1191" s="102"/>
      <c r="O1191" s="98"/>
      <c r="P1191" s="98"/>
      <c r="Q1191" s="98"/>
    </row>
    <row r="1192">
      <c r="A1192" s="96"/>
      <c r="B1192" s="97"/>
      <c r="C1192" s="97"/>
      <c r="D1192" s="97"/>
      <c r="E1192" s="97"/>
      <c r="F1192" s="97" t="b">
        <v>0</v>
      </c>
      <c r="G1192" s="97" t="b">
        <v>0</v>
      </c>
      <c r="H1192" s="98"/>
      <c r="I1192" s="98"/>
      <c r="J1192" s="98"/>
      <c r="K1192" s="102"/>
      <c r="L1192" s="102"/>
      <c r="M1192" s="102"/>
      <c r="N1192" s="102"/>
      <c r="O1192" s="98"/>
      <c r="P1192" s="98"/>
      <c r="Q1192" s="98"/>
    </row>
    <row r="1193">
      <c r="A1193" s="96"/>
      <c r="B1193" s="97"/>
      <c r="C1193" s="97"/>
      <c r="D1193" s="97"/>
      <c r="E1193" s="97"/>
      <c r="F1193" s="97" t="b">
        <v>0</v>
      </c>
      <c r="G1193" s="97" t="b">
        <v>0</v>
      </c>
      <c r="H1193" s="98"/>
      <c r="I1193" s="98"/>
      <c r="J1193" s="98"/>
      <c r="K1193" s="102"/>
      <c r="L1193" s="102"/>
      <c r="M1193" s="102"/>
      <c r="N1193" s="102"/>
      <c r="O1193" s="98"/>
      <c r="P1193" s="98"/>
      <c r="Q1193" s="98"/>
    </row>
    <row r="1194">
      <c r="A1194" s="96"/>
      <c r="B1194" s="97"/>
      <c r="C1194" s="97"/>
      <c r="D1194" s="97"/>
      <c r="E1194" s="97"/>
      <c r="F1194" s="97" t="b">
        <v>0</v>
      </c>
      <c r="G1194" s="97" t="b">
        <v>0</v>
      </c>
      <c r="H1194" s="98"/>
      <c r="I1194" s="98"/>
      <c r="J1194" s="98"/>
      <c r="K1194" s="102"/>
      <c r="L1194" s="102"/>
      <c r="M1194" s="102"/>
      <c r="N1194" s="102"/>
      <c r="O1194" s="98"/>
      <c r="P1194" s="98"/>
      <c r="Q1194" s="98"/>
    </row>
    <row r="1195">
      <c r="A1195" s="96"/>
      <c r="B1195" s="97"/>
      <c r="C1195" s="97"/>
      <c r="D1195" s="97"/>
      <c r="E1195" s="97"/>
      <c r="F1195" s="97" t="b">
        <v>0</v>
      </c>
      <c r="G1195" s="97" t="b">
        <v>0</v>
      </c>
      <c r="H1195" s="98"/>
      <c r="I1195" s="98"/>
      <c r="J1195" s="98"/>
      <c r="K1195" s="102"/>
      <c r="L1195" s="102"/>
      <c r="M1195" s="102"/>
      <c r="N1195" s="102"/>
      <c r="O1195" s="98"/>
      <c r="P1195" s="98"/>
      <c r="Q1195" s="98"/>
    </row>
    <row r="1196">
      <c r="A1196" s="96"/>
      <c r="B1196" s="97"/>
      <c r="C1196" s="97"/>
      <c r="D1196" s="97"/>
      <c r="E1196" s="97"/>
      <c r="F1196" s="97" t="b">
        <v>0</v>
      </c>
      <c r="G1196" s="97" t="b">
        <v>0</v>
      </c>
      <c r="H1196" s="98"/>
      <c r="I1196" s="98"/>
      <c r="J1196" s="98"/>
      <c r="K1196" s="102"/>
      <c r="L1196" s="102"/>
      <c r="M1196" s="102"/>
      <c r="N1196" s="102"/>
      <c r="O1196" s="98"/>
      <c r="P1196" s="98"/>
      <c r="Q1196" s="98"/>
    </row>
    <row r="1197">
      <c r="A1197" s="96"/>
      <c r="B1197" s="97"/>
      <c r="C1197" s="97"/>
      <c r="D1197" s="97"/>
      <c r="E1197" s="97"/>
      <c r="F1197" s="97" t="b">
        <v>0</v>
      </c>
      <c r="G1197" s="97" t="b">
        <v>0</v>
      </c>
      <c r="H1197" s="98"/>
      <c r="I1197" s="98"/>
      <c r="J1197" s="98"/>
      <c r="K1197" s="102"/>
      <c r="L1197" s="102"/>
      <c r="M1197" s="102"/>
      <c r="N1197" s="102"/>
      <c r="O1197" s="98"/>
      <c r="P1197" s="98"/>
      <c r="Q1197" s="98"/>
    </row>
    <row r="1198">
      <c r="A1198" s="96"/>
      <c r="B1198" s="97"/>
      <c r="C1198" s="97"/>
      <c r="D1198" s="97"/>
      <c r="E1198" s="97"/>
      <c r="F1198" s="97" t="b">
        <v>0</v>
      </c>
      <c r="G1198" s="97" t="b">
        <v>0</v>
      </c>
      <c r="H1198" s="98"/>
      <c r="I1198" s="98"/>
      <c r="J1198" s="98"/>
      <c r="K1198" s="102"/>
      <c r="L1198" s="102"/>
      <c r="M1198" s="102"/>
      <c r="N1198" s="102"/>
      <c r="O1198" s="98"/>
      <c r="P1198" s="98"/>
      <c r="Q1198" s="98"/>
    </row>
    <row r="1199">
      <c r="A1199" s="96"/>
      <c r="B1199" s="97"/>
      <c r="C1199" s="97"/>
      <c r="D1199" s="97"/>
      <c r="E1199" s="97"/>
      <c r="F1199" s="97" t="b">
        <v>0</v>
      </c>
      <c r="G1199" s="97" t="b">
        <v>0</v>
      </c>
      <c r="H1199" s="98"/>
      <c r="I1199" s="98"/>
      <c r="J1199" s="98"/>
      <c r="K1199" s="102"/>
      <c r="L1199" s="102"/>
      <c r="M1199" s="102"/>
      <c r="N1199" s="102"/>
      <c r="O1199" s="98"/>
      <c r="P1199" s="98"/>
      <c r="Q1199" s="98"/>
    </row>
    <row r="1200">
      <c r="A1200" s="96"/>
      <c r="B1200" s="97"/>
      <c r="C1200" s="97"/>
      <c r="D1200" s="97"/>
      <c r="E1200" s="97"/>
      <c r="F1200" s="97" t="b">
        <v>0</v>
      </c>
      <c r="G1200" s="97" t="b">
        <v>0</v>
      </c>
      <c r="H1200" s="98"/>
      <c r="I1200" s="98"/>
      <c r="J1200" s="98"/>
      <c r="K1200" s="102"/>
      <c r="L1200" s="102"/>
      <c r="M1200" s="102"/>
      <c r="N1200" s="102"/>
      <c r="O1200" s="98"/>
      <c r="P1200" s="98"/>
      <c r="Q1200" s="98"/>
    </row>
    <row r="1201">
      <c r="A1201" s="96"/>
      <c r="B1201" s="97"/>
      <c r="C1201" s="97"/>
      <c r="D1201" s="97"/>
      <c r="E1201" s="97"/>
      <c r="F1201" s="97" t="b">
        <v>0</v>
      </c>
      <c r="G1201" s="97" t="b">
        <v>0</v>
      </c>
      <c r="H1201" s="98"/>
      <c r="I1201" s="98"/>
      <c r="J1201" s="98"/>
      <c r="K1201" s="102"/>
      <c r="L1201" s="102"/>
      <c r="M1201" s="102"/>
      <c r="N1201" s="102"/>
      <c r="O1201" s="98"/>
      <c r="P1201" s="98"/>
      <c r="Q1201" s="98"/>
    </row>
    <row r="1202">
      <c r="A1202" s="96"/>
      <c r="B1202" s="97"/>
      <c r="C1202" s="97"/>
      <c r="D1202" s="97"/>
      <c r="E1202" s="97"/>
      <c r="F1202" s="97" t="b">
        <v>0</v>
      </c>
      <c r="G1202" s="97" t="b">
        <v>0</v>
      </c>
      <c r="H1202" s="98"/>
      <c r="I1202" s="98"/>
      <c r="J1202" s="98"/>
      <c r="K1202" s="102"/>
      <c r="L1202" s="102"/>
      <c r="M1202" s="102"/>
      <c r="N1202" s="102"/>
      <c r="O1202" s="98"/>
      <c r="P1202" s="98"/>
      <c r="Q1202" s="98"/>
    </row>
    <row r="1203">
      <c r="A1203" s="96"/>
      <c r="B1203" s="97"/>
      <c r="C1203" s="97"/>
      <c r="D1203" s="97"/>
      <c r="E1203" s="97"/>
      <c r="F1203" s="97" t="b">
        <v>0</v>
      </c>
      <c r="G1203" s="97" t="b">
        <v>0</v>
      </c>
      <c r="H1203" s="98"/>
      <c r="I1203" s="98"/>
      <c r="J1203" s="98"/>
      <c r="K1203" s="102"/>
      <c r="L1203" s="102"/>
      <c r="M1203" s="102"/>
      <c r="N1203" s="102"/>
      <c r="O1203" s="98"/>
      <c r="P1203" s="98"/>
      <c r="Q1203" s="98"/>
    </row>
    <row r="1204">
      <c r="A1204" s="96"/>
      <c r="B1204" s="97"/>
      <c r="C1204" s="97"/>
      <c r="D1204" s="97"/>
      <c r="E1204" s="97"/>
      <c r="F1204" s="97" t="b">
        <v>0</v>
      </c>
      <c r="G1204" s="97" t="b">
        <v>0</v>
      </c>
      <c r="H1204" s="98"/>
      <c r="I1204" s="98"/>
      <c r="J1204" s="98"/>
      <c r="K1204" s="102"/>
      <c r="L1204" s="102"/>
      <c r="M1204" s="102"/>
      <c r="N1204" s="102"/>
      <c r="O1204" s="98"/>
      <c r="P1204" s="98"/>
      <c r="Q1204" s="98"/>
    </row>
    <row r="1205">
      <c r="A1205" s="96"/>
      <c r="B1205" s="97"/>
      <c r="C1205" s="97"/>
      <c r="D1205" s="97"/>
      <c r="E1205" s="97"/>
      <c r="F1205" s="97" t="b">
        <v>0</v>
      </c>
      <c r="G1205" s="97" t="b">
        <v>0</v>
      </c>
      <c r="H1205" s="98"/>
      <c r="I1205" s="98"/>
      <c r="J1205" s="98"/>
      <c r="K1205" s="102"/>
      <c r="L1205" s="102"/>
      <c r="M1205" s="102"/>
      <c r="N1205" s="102"/>
      <c r="O1205" s="98"/>
      <c r="P1205" s="98"/>
      <c r="Q1205" s="98"/>
    </row>
    <row r="1206">
      <c r="A1206" s="96"/>
      <c r="B1206" s="97"/>
      <c r="C1206" s="97"/>
      <c r="D1206" s="97"/>
      <c r="E1206" s="97"/>
      <c r="F1206" s="97" t="b">
        <v>0</v>
      </c>
      <c r="G1206" s="97" t="b">
        <v>0</v>
      </c>
      <c r="H1206" s="98"/>
      <c r="I1206" s="98"/>
      <c r="J1206" s="98"/>
      <c r="K1206" s="102"/>
      <c r="L1206" s="102"/>
      <c r="M1206" s="102"/>
      <c r="N1206" s="102"/>
      <c r="O1206" s="98"/>
      <c r="P1206" s="98"/>
      <c r="Q1206" s="98"/>
    </row>
    <row r="1207">
      <c r="A1207" s="96"/>
      <c r="B1207" s="97"/>
      <c r="C1207" s="97"/>
      <c r="D1207" s="97"/>
      <c r="E1207" s="97"/>
      <c r="F1207" s="97" t="b">
        <v>0</v>
      </c>
      <c r="G1207" s="97" t="b">
        <v>0</v>
      </c>
      <c r="H1207" s="98"/>
      <c r="I1207" s="98"/>
      <c r="J1207" s="98"/>
      <c r="K1207" s="102"/>
      <c r="L1207" s="102"/>
      <c r="M1207" s="102"/>
      <c r="N1207" s="102"/>
      <c r="O1207" s="98"/>
      <c r="P1207" s="98"/>
      <c r="Q1207" s="98"/>
    </row>
    <row r="1208">
      <c r="A1208" s="96"/>
      <c r="B1208" s="97"/>
      <c r="C1208" s="97"/>
      <c r="D1208" s="97"/>
      <c r="E1208" s="97"/>
      <c r="F1208" s="97" t="b">
        <v>0</v>
      </c>
      <c r="G1208" s="97" t="b">
        <v>0</v>
      </c>
      <c r="H1208" s="98"/>
      <c r="I1208" s="98"/>
      <c r="J1208" s="98"/>
      <c r="K1208" s="102"/>
      <c r="L1208" s="102"/>
      <c r="M1208" s="102"/>
      <c r="N1208" s="102"/>
      <c r="O1208" s="98"/>
      <c r="P1208" s="98"/>
      <c r="Q1208" s="98"/>
    </row>
    <row r="1209">
      <c r="A1209" s="96"/>
      <c r="B1209" s="97"/>
      <c r="C1209" s="97"/>
      <c r="D1209" s="97"/>
      <c r="E1209" s="97"/>
      <c r="F1209" s="97" t="b">
        <v>0</v>
      </c>
      <c r="G1209" s="97" t="b">
        <v>0</v>
      </c>
      <c r="H1209" s="98"/>
      <c r="I1209" s="98"/>
      <c r="J1209" s="98"/>
      <c r="K1209" s="102"/>
      <c r="L1209" s="102"/>
      <c r="M1209" s="102"/>
      <c r="N1209" s="102"/>
      <c r="O1209" s="98"/>
      <c r="P1209" s="98"/>
      <c r="Q1209" s="98"/>
    </row>
    <row r="1210">
      <c r="A1210" s="96"/>
      <c r="B1210" s="97"/>
      <c r="C1210" s="97"/>
      <c r="D1210" s="97"/>
      <c r="E1210" s="97"/>
      <c r="F1210" s="97" t="b">
        <v>0</v>
      </c>
      <c r="G1210" s="97" t="b">
        <v>0</v>
      </c>
      <c r="H1210" s="98"/>
      <c r="I1210" s="98"/>
      <c r="J1210" s="98"/>
      <c r="K1210" s="102"/>
      <c r="L1210" s="102"/>
      <c r="M1210" s="102"/>
      <c r="N1210" s="102"/>
      <c r="O1210" s="98"/>
      <c r="P1210" s="98"/>
      <c r="Q1210" s="98"/>
    </row>
    <row r="1211">
      <c r="A1211" s="96"/>
      <c r="B1211" s="97"/>
      <c r="C1211" s="97"/>
      <c r="D1211" s="97"/>
      <c r="E1211" s="97"/>
      <c r="F1211" s="97" t="b">
        <v>0</v>
      </c>
      <c r="G1211" s="97" t="b">
        <v>0</v>
      </c>
      <c r="H1211" s="98"/>
      <c r="I1211" s="98"/>
      <c r="J1211" s="98"/>
      <c r="K1211" s="102"/>
      <c r="L1211" s="102"/>
      <c r="M1211" s="102"/>
      <c r="N1211" s="102"/>
      <c r="O1211" s="98"/>
      <c r="P1211" s="98"/>
      <c r="Q1211" s="98"/>
    </row>
    <row r="1212">
      <c r="A1212" s="96"/>
      <c r="B1212" s="97"/>
      <c r="C1212" s="97"/>
      <c r="D1212" s="97"/>
      <c r="E1212" s="97"/>
      <c r="F1212" s="97" t="b">
        <v>0</v>
      </c>
      <c r="G1212" s="97" t="b">
        <v>0</v>
      </c>
      <c r="H1212" s="98"/>
      <c r="I1212" s="98"/>
      <c r="J1212" s="98"/>
      <c r="K1212" s="102"/>
      <c r="L1212" s="102"/>
      <c r="M1212" s="102"/>
      <c r="N1212" s="102"/>
      <c r="O1212" s="98"/>
      <c r="P1212" s="98"/>
      <c r="Q1212" s="98"/>
    </row>
    <row r="1213">
      <c r="A1213" s="96"/>
      <c r="B1213" s="97"/>
      <c r="C1213" s="97"/>
      <c r="D1213" s="97"/>
      <c r="E1213" s="97"/>
      <c r="F1213" s="97" t="b">
        <v>0</v>
      </c>
      <c r="G1213" s="97" t="b">
        <v>0</v>
      </c>
      <c r="H1213" s="98"/>
      <c r="I1213" s="98"/>
      <c r="J1213" s="98"/>
      <c r="K1213" s="102"/>
      <c r="L1213" s="102"/>
      <c r="M1213" s="102"/>
      <c r="N1213" s="102"/>
      <c r="O1213" s="98"/>
      <c r="P1213" s="98"/>
      <c r="Q1213" s="98"/>
    </row>
    <row r="1214">
      <c r="A1214" s="96"/>
      <c r="B1214" s="97"/>
      <c r="C1214" s="97"/>
      <c r="D1214" s="97"/>
      <c r="E1214" s="97"/>
      <c r="F1214" s="97" t="b">
        <v>0</v>
      </c>
      <c r="G1214" s="97" t="b">
        <v>0</v>
      </c>
      <c r="H1214" s="98"/>
      <c r="I1214" s="98"/>
      <c r="J1214" s="98"/>
      <c r="K1214" s="102"/>
      <c r="L1214" s="102"/>
      <c r="M1214" s="102"/>
      <c r="N1214" s="102"/>
      <c r="O1214" s="98"/>
      <c r="P1214" s="98"/>
      <c r="Q1214" s="98"/>
    </row>
    <row r="1215">
      <c r="A1215" s="96"/>
      <c r="B1215" s="97"/>
      <c r="C1215" s="97"/>
      <c r="D1215" s="97"/>
      <c r="E1215" s="97"/>
      <c r="F1215" s="97" t="b">
        <v>0</v>
      </c>
      <c r="G1215" s="97" t="b">
        <v>0</v>
      </c>
      <c r="H1215" s="98"/>
      <c r="I1215" s="98"/>
      <c r="J1215" s="98"/>
      <c r="K1215" s="102"/>
      <c r="L1215" s="102"/>
      <c r="M1215" s="102"/>
      <c r="N1215" s="102"/>
      <c r="O1215" s="98"/>
      <c r="P1215" s="98"/>
      <c r="Q1215" s="98"/>
    </row>
    <row r="1216">
      <c r="A1216" s="96"/>
      <c r="B1216" s="97"/>
      <c r="C1216" s="97"/>
      <c r="D1216" s="97"/>
      <c r="E1216" s="97"/>
      <c r="F1216" s="97" t="b">
        <v>0</v>
      </c>
      <c r="G1216" s="97" t="b">
        <v>0</v>
      </c>
      <c r="H1216" s="98"/>
      <c r="I1216" s="98"/>
      <c r="J1216" s="98"/>
      <c r="K1216" s="102"/>
      <c r="L1216" s="102"/>
      <c r="M1216" s="102"/>
      <c r="N1216" s="102"/>
      <c r="O1216" s="98"/>
      <c r="P1216" s="98"/>
      <c r="Q1216" s="98"/>
    </row>
    <row r="1217">
      <c r="A1217" s="96"/>
      <c r="B1217" s="97"/>
      <c r="C1217" s="97"/>
      <c r="D1217" s="97"/>
      <c r="E1217" s="97"/>
      <c r="F1217" s="97" t="b">
        <v>0</v>
      </c>
      <c r="G1217" s="97" t="b">
        <v>0</v>
      </c>
      <c r="H1217" s="98"/>
      <c r="I1217" s="98"/>
      <c r="J1217" s="98"/>
      <c r="K1217" s="102"/>
      <c r="L1217" s="102"/>
      <c r="M1217" s="102"/>
      <c r="N1217" s="102"/>
      <c r="O1217" s="98"/>
      <c r="P1217" s="98"/>
      <c r="Q1217" s="98"/>
    </row>
    <row r="1218">
      <c r="A1218" s="96"/>
      <c r="B1218" s="97"/>
      <c r="C1218" s="97"/>
      <c r="D1218" s="97"/>
      <c r="E1218" s="97"/>
      <c r="F1218" s="97" t="b">
        <v>0</v>
      </c>
      <c r="G1218" s="97" t="b">
        <v>0</v>
      </c>
      <c r="H1218" s="98"/>
      <c r="I1218" s="98"/>
      <c r="J1218" s="98"/>
      <c r="K1218" s="102"/>
      <c r="L1218" s="102"/>
      <c r="M1218" s="102"/>
      <c r="N1218" s="102"/>
      <c r="O1218" s="98"/>
      <c r="P1218" s="98"/>
      <c r="Q1218" s="98"/>
    </row>
    <row r="1219">
      <c r="A1219" s="96"/>
      <c r="B1219" s="97"/>
      <c r="C1219" s="97"/>
      <c r="D1219" s="97"/>
      <c r="E1219" s="97"/>
      <c r="F1219" s="97" t="b">
        <v>0</v>
      </c>
      <c r="G1219" s="97" t="b">
        <v>0</v>
      </c>
      <c r="H1219" s="98"/>
      <c r="I1219" s="98"/>
      <c r="J1219" s="98"/>
      <c r="K1219" s="102"/>
      <c r="L1219" s="102"/>
      <c r="M1219" s="102"/>
      <c r="N1219" s="102"/>
      <c r="O1219" s="98"/>
      <c r="P1219" s="98"/>
      <c r="Q1219" s="98"/>
    </row>
    <row r="1220">
      <c r="A1220" s="96"/>
      <c r="B1220" s="97"/>
      <c r="C1220" s="97"/>
      <c r="D1220" s="97"/>
      <c r="E1220" s="97"/>
      <c r="F1220" s="97" t="b">
        <v>0</v>
      </c>
      <c r="G1220" s="97" t="b">
        <v>0</v>
      </c>
      <c r="H1220" s="98"/>
      <c r="I1220" s="98"/>
      <c r="J1220" s="98"/>
      <c r="K1220" s="102"/>
      <c r="L1220" s="102"/>
      <c r="M1220" s="102"/>
      <c r="N1220" s="102"/>
      <c r="O1220" s="98"/>
      <c r="P1220" s="98"/>
      <c r="Q1220" s="98"/>
    </row>
    <row r="1221">
      <c r="A1221" s="96"/>
      <c r="B1221" s="97"/>
      <c r="C1221" s="97"/>
      <c r="D1221" s="97"/>
      <c r="E1221" s="97"/>
      <c r="F1221" s="97" t="b">
        <v>0</v>
      </c>
      <c r="G1221" s="97" t="b">
        <v>0</v>
      </c>
      <c r="H1221" s="98"/>
      <c r="I1221" s="98"/>
      <c r="J1221" s="98"/>
      <c r="K1221" s="102"/>
      <c r="L1221" s="102"/>
      <c r="M1221" s="102"/>
      <c r="N1221" s="102"/>
      <c r="O1221" s="98"/>
      <c r="P1221" s="98"/>
      <c r="Q1221" s="98"/>
    </row>
    <row r="1222">
      <c r="A1222" s="96"/>
      <c r="B1222" s="97"/>
      <c r="C1222" s="97"/>
      <c r="D1222" s="97"/>
      <c r="E1222" s="97"/>
      <c r="F1222" s="97" t="b">
        <v>0</v>
      </c>
      <c r="G1222" s="97" t="b">
        <v>0</v>
      </c>
      <c r="H1222" s="98"/>
      <c r="I1222" s="98"/>
      <c r="J1222" s="98"/>
      <c r="K1222" s="102"/>
      <c r="L1222" s="102"/>
      <c r="M1222" s="102"/>
      <c r="N1222" s="102"/>
      <c r="O1222" s="98"/>
      <c r="P1222" s="98"/>
      <c r="Q1222" s="98"/>
    </row>
    <row r="1223">
      <c r="A1223" s="96"/>
      <c r="B1223" s="97"/>
      <c r="C1223" s="97"/>
      <c r="D1223" s="97"/>
      <c r="E1223" s="97"/>
      <c r="F1223" s="97" t="b">
        <v>0</v>
      </c>
      <c r="G1223" s="97" t="b">
        <v>0</v>
      </c>
      <c r="H1223" s="98"/>
      <c r="I1223" s="98"/>
      <c r="J1223" s="98"/>
      <c r="K1223" s="102"/>
      <c r="L1223" s="102"/>
      <c r="M1223" s="102"/>
      <c r="N1223" s="102"/>
      <c r="O1223" s="98"/>
      <c r="P1223" s="98"/>
      <c r="Q1223" s="98"/>
    </row>
    <row r="1224">
      <c r="A1224" s="96"/>
      <c r="B1224" s="97"/>
      <c r="C1224" s="97"/>
      <c r="D1224" s="97"/>
      <c r="E1224" s="97"/>
      <c r="F1224" s="97" t="b">
        <v>0</v>
      </c>
      <c r="G1224" s="97" t="b">
        <v>0</v>
      </c>
      <c r="H1224" s="98"/>
      <c r="I1224" s="98"/>
      <c r="J1224" s="98"/>
      <c r="K1224" s="102"/>
      <c r="L1224" s="102"/>
      <c r="M1224" s="102"/>
      <c r="N1224" s="102"/>
      <c r="O1224" s="98"/>
      <c r="P1224" s="98"/>
      <c r="Q1224" s="98"/>
    </row>
    <row r="1225">
      <c r="A1225" s="96"/>
      <c r="B1225" s="97"/>
      <c r="C1225" s="97"/>
      <c r="D1225" s="97"/>
      <c r="E1225" s="97"/>
      <c r="F1225" s="97" t="b">
        <v>0</v>
      </c>
      <c r="G1225" s="97" t="b">
        <v>0</v>
      </c>
      <c r="H1225" s="98"/>
      <c r="I1225" s="98"/>
      <c r="J1225" s="98"/>
      <c r="K1225" s="102"/>
      <c r="L1225" s="102"/>
      <c r="M1225" s="102"/>
      <c r="N1225" s="102"/>
      <c r="O1225" s="98"/>
      <c r="P1225" s="98"/>
      <c r="Q1225" s="98"/>
    </row>
    <row r="1226">
      <c r="A1226" s="96"/>
      <c r="B1226" s="97"/>
      <c r="C1226" s="97"/>
      <c r="D1226" s="97"/>
      <c r="E1226" s="97"/>
      <c r="F1226" s="97" t="b">
        <v>0</v>
      </c>
      <c r="G1226" s="97" t="b">
        <v>0</v>
      </c>
      <c r="H1226" s="98"/>
      <c r="I1226" s="98"/>
      <c r="J1226" s="98"/>
      <c r="K1226" s="102"/>
      <c r="L1226" s="102"/>
      <c r="M1226" s="102"/>
      <c r="N1226" s="102"/>
      <c r="O1226" s="98"/>
      <c r="P1226" s="98"/>
      <c r="Q1226" s="98"/>
    </row>
    <row r="1227">
      <c r="A1227" s="96"/>
      <c r="B1227" s="97"/>
      <c r="C1227" s="97"/>
      <c r="D1227" s="97"/>
      <c r="E1227" s="97"/>
      <c r="F1227" s="97" t="b">
        <v>0</v>
      </c>
      <c r="G1227" s="97" t="b">
        <v>0</v>
      </c>
      <c r="H1227" s="98"/>
      <c r="I1227" s="98"/>
      <c r="J1227" s="98"/>
      <c r="K1227" s="102"/>
      <c r="L1227" s="102"/>
      <c r="M1227" s="102"/>
      <c r="N1227" s="102"/>
      <c r="O1227" s="98"/>
      <c r="P1227" s="98"/>
      <c r="Q1227" s="98"/>
    </row>
    <row r="1228">
      <c r="A1228" s="96"/>
      <c r="B1228" s="97"/>
      <c r="C1228" s="97"/>
      <c r="D1228" s="97"/>
      <c r="E1228" s="97"/>
      <c r="F1228" s="97" t="b">
        <v>0</v>
      </c>
      <c r="G1228" s="97" t="b">
        <v>0</v>
      </c>
      <c r="H1228" s="98"/>
      <c r="I1228" s="98"/>
      <c r="J1228" s="98"/>
      <c r="K1228" s="102"/>
      <c r="L1228" s="102"/>
      <c r="M1228" s="102"/>
      <c r="N1228" s="102"/>
      <c r="O1228" s="98"/>
      <c r="P1228" s="98"/>
      <c r="Q1228" s="98"/>
    </row>
    <row r="1229">
      <c r="A1229" s="96"/>
      <c r="B1229" s="97"/>
      <c r="C1229" s="97"/>
      <c r="D1229" s="97"/>
      <c r="E1229" s="97"/>
      <c r="F1229" s="97" t="b">
        <v>0</v>
      </c>
      <c r="G1229" s="97" t="b">
        <v>0</v>
      </c>
      <c r="H1229" s="98"/>
      <c r="I1229" s="98"/>
      <c r="J1229" s="98"/>
      <c r="K1229" s="102"/>
      <c r="L1229" s="102"/>
      <c r="M1229" s="102"/>
      <c r="N1229" s="102"/>
      <c r="O1229" s="98"/>
      <c r="P1229" s="98"/>
      <c r="Q1229" s="98"/>
    </row>
    <row r="1230">
      <c r="A1230" s="96"/>
      <c r="B1230" s="97"/>
      <c r="C1230" s="97"/>
      <c r="D1230" s="97"/>
      <c r="E1230" s="97"/>
      <c r="F1230" s="97" t="b">
        <v>0</v>
      </c>
      <c r="G1230" s="97" t="b">
        <v>0</v>
      </c>
      <c r="H1230" s="98"/>
      <c r="I1230" s="98"/>
      <c r="J1230" s="98"/>
      <c r="K1230" s="102"/>
      <c r="L1230" s="102"/>
      <c r="M1230" s="102"/>
      <c r="N1230" s="102"/>
      <c r="O1230" s="98"/>
      <c r="P1230" s="98"/>
      <c r="Q1230" s="98"/>
    </row>
    <row r="1231">
      <c r="A1231" s="96"/>
      <c r="B1231" s="97"/>
      <c r="C1231" s="97"/>
      <c r="D1231" s="97"/>
      <c r="E1231" s="97"/>
      <c r="F1231" s="97" t="b">
        <v>0</v>
      </c>
      <c r="G1231" s="97" t="b">
        <v>0</v>
      </c>
      <c r="H1231" s="98"/>
      <c r="I1231" s="98"/>
      <c r="J1231" s="98"/>
      <c r="K1231" s="102"/>
      <c r="L1231" s="102"/>
      <c r="M1231" s="102"/>
      <c r="N1231" s="102"/>
      <c r="O1231" s="98"/>
      <c r="P1231" s="98"/>
      <c r="Q1231" s="98"/>
    </row>
    <row r="1232">
      <c r="A1232" s="96"/>
      <c r="B1232" s="97"/>
      <c r="C1232" s="97"/>
      <c r="D1232" s="97"/>
      <c r="E1232" s="97"/>
      <c r="F1232" s="97" t="b">
        <v>0</v>
      </c>
      <c r="G1232" s="97" t="b">
        <v>0</v>
      </c>
      <c r="H1232" s="98"/>
      <c r="I1232" s="98"/>
      <c r="J1232" s="98"/>
      <c r="K1232" s="102"/>
      <c r="L1232" s="102"/>
      <c r="M1232" s="102"/>
      <c r="N1232" s="102"/>
      <c r="O1232" s="98"/>
      <c r="P1232" s="98"/>
      <c r="Q1232" s="98"/>
    </row>
    <row r="1233">
      <c r="A1233" s="96"/>
      <c r="B1233" s="97"/>
      <c r="C1233" s="97"/>
      <c r="D1233" s="97"/>
      <c r="E1233" s="97"/>
      <c r="F1233" s="97" t="b">
        <v>0</v>
      </c>
      <c r="G1233" s="97" t="b">
        <v>0</v>
      </c>
      <c r="H1233" s="98"/>
      <c r="I1233" s="98"/>
      <c r="J1233" s="98"/>
      <c r="K1233" s="102"/>
      <c r="L1233" s="102"/>
      <c r="M1233" s="102"/>
      <c r="N1233" s="102"/>
      <c r="O1233" s="98"/>
      <c r="P1233" s="98"/>
      <c r="Q1233" s="98"/>
    </row>
    <row r="1234">
      <c r="A1234" s="96"/>
      <c r="B1234" s="97"/>
      <c r="C1234" s="97"/>
      <c r="D1234" s="97"/>
      <c r="E1234" s="97"/>
      <c r="F1234" s="97" t="b">
        <v>0</v>
      </c>
      <c r="G1234" s="97" t="b">
        <v>0</v>
      </c>
      <c r="H1234" s="98"/>
      <c r="I1234" s="98"/>
      <c r="J1234" s="98"/>
      <c r="K1234" s="102"/>
      <c r="L1234" s="102"/>
      <c r="M1234" s="102"/>
      <c r="N1234" s="102"/>
      <c r="O1234" s="98"/>
      <c r="P1234" s="98"/>
      <c r="Q1234" s="98"/>
    </row>
    <row r="1235">
      <c r="A1235" s="96"/>
      <c r="B1235" s="97"/>
      <c r="C1235" s="97"/>
      <c r="D1235" s="97"/>
      <c r="E1235" s="97"/>
      <c r="F1235" s="97" t="b">
        <v>0</v>
      </c>
      <c r="G1235" s="97" t="b">
        <v>0</v>
      </c>
      <c r="H1235" s="98"/>
      <c r="I1235" s="98"/>
      <c r="J1235" s="98"/>
      <c r="K1235" s="102"/>
      <c r="L1235" s="102"/>
      <c r="M1235" s="102"/>
      <c r="N1235" s="102"/>
      <c r="O1235" s="98"/>
      <c r="P1235" s="98"/>
      <c r="Q1235" s="98"/>
    </row>
    <row r="1236">
      <c r="A1236" s="96"/>
      <c r="B1236" s="97"/>
      <c r="C1236" s="97"/>
      <c r="D1236" s="97"/>
      <c r="E1236" s="97"/>
      <c r="F1236" s="97" t="b">
        <v>0</v>
      </c>
      <c r="G1236" s="97" t="b">
        <v>0</v>
      </c>
      <c r="H1236" s="98"/>
      <c r="I1236" s="98"/>
      <c r="J1236" s="98"/>
      <c r="K1236" s="102"/>
      <c r="L1236" s="102"/>
      <c r="M1236" s="102"/>
      <c r="N1236" s="102"/>
      <c r="O1236" s="98"/>
      <c r="P1236" s="98"/>
      <c r="Q1236" s="98"/>
    </row>
    <row r="1237">
      <c r="A1237" s="96"/>
      <c r="B1237" s="97"/>
      <c r="C1237" s="97"/>
      <c r="D1237" s="97"/>
      <c r="E1237" s="97"/>
      <c r="F1237" s="97" t="b">
        <v>0</v>
      </c>
      <c r="G1237" s="97" t="b">
        <v>0</v>
      </c>
      <c r="H1237" s="98"/>
      <c r="I1237" s="98"/>
      <c r="J1237" s="98"/>
      <c r="K1237" s="102"/>
      <c r="L1237" s="102"/>
      <c r="M1237" s="102"/>
      <c r="N1237" s="102"/>
      <c r="O1237" s="98"/>
      <c r="P1237" s="98"/>
      <c r="Q1237" s="98"/>
    </row>
    <row r="1238">
      <c r="A1238" s="96"/>
      <c r="B1238" s="97"/>
      <c r="C1238" s="97"/>
      <c r="D1238" s="97"/>
      <c r="E1238" s="97"/>
      <c r="F1238" s="97" t="b">
        <v>0</v>
      </c>
      <c r="G1238" s="97" t="b">
        <v>0</v>
      </c>
      <c r="H1238" s="98"/>
      <c r="I1238" s="98"/>
      <c r="J1238" s="98"/>
      <c r="K1238" s="102"/>
      <c r="L1238" s="102"/>
      <c r="M1238" s="102"/>
      <c r="N1238" s="102"/>
      <c r="O1238" s="98"/>
      <c r="P1238" s="98"/>
      <c r="Q1238" s="98"/>
    </row>
    <row r="1239">
      <c r="A1239" s="96"/>
      <c r="B1239" s="97"/>
      <c r="C1239" s="97"/>
      <c r="D1239" s="97"/>
      <c r="E1239" s="97"/>
      <c r="F1239" s="97" t="b">
        <v>0</v>
      </c>
      <c r="G1239" s="97" t="b">
        <v>0</v>
      </c>
      <c r="H1239" s="98"/>
      <c r="I1239" s="98"/>
      <c r="J1239" s="98"/>
      <c r="K1239" s="102"/>
      <c r="L1239" s="102"/>
      <c r="M1239" s="102"/>
      <c r="N1239" s="102"/>
      <c r="O1239" s="98"/>
      <c r="P1239" s="98"/>
      <c r="Q1239" s="98"/>
    </row>
    <row r="1240">
      <c r="A1240" s="96"/>
      <c r="B1240" s="97"/>
      <c r="C1240" s="97"/>
      <c r="D1240" s="97"/>
      <c r="E1240" s="97"/>
      <c r="F1240" s="97" t="b">
        <v>0</v>
      </c>
      <c r="G1240" s="97" t="b">
        <v>0</v>
      </c>
      <c r="H1240" s="98"/>
      <c r="I1240" s="98"/>
      <c r="J1240" s="98"/>
      <c r="K1240" s="102"/>
      <c r="L1240" s="102"/>
      <c r="M1240" s="102"/>
      <c r="N1240" s="102"/>
      <c r="O1240" s="98"/>
      <c r="P1240" s="98"/>
      <c r="Q1240" s="98"/>
    </row>
    <row r="1241">
      <c r="A1241" s="96"/>
      <c r="B1241" s="97"/>
      <c r="C1241" s="97"/>
      <c r="D1241" s="97"/>
      <c r="E1241" s="97"/>
      <c r="F1241" s="97" t="b">
        <v>0</v>
      </c>
      <c r="G1241" s="97" t="b">
        <v>0</v>
      </c>
      <c r="H1241" s="98"/>
      <c r="I1241" s="98"/>
      <c r="J1241" s="98"/>
      <c r="K1241" s="102"/>
      <c r="L1241" s="102"/>
      <c r="M1241" s="102"/>
      <c r="N1241" s="102"/>
      <c r="O1241" s="98"/>
      <c r="P1241" s="98"/>
      <c r="Q1241" s="98"/>
    </row>
    <row r="1242">
      <c r="A1242" s="96"/>
      <c r="B1242" s="97"/>
      <c r="C1242" s="97"/>
      <c r="D1242" s="97"/>
      <c r="E1242" s="97"/>
      <c r="F1242" s="97" t="b">
        <v>0</v>
      </c>
      <c r="G1242" s="97" t="b">
        <v>0</v>
      </c>
      <c r="H1242" s="98"/>
      <c r="I1242" s="98"/>
      <c r="J1242" s="98"/>
      <c r="K1242" s="102"/>
      <c r="L1242" s="102"/>
      <c r="M1242" s="102"/>
      <c r="N1242" s="102"/>
      <c r="O1242" s="98"/>
      <c r="P1242" s="98"/>
      <c r="Q1242" s="98"/>
    </row>
    <row r="1243">
      <c r="A1243" s="96"/>
      <c r="B1243" s="97"/>
      <c r="C1243" s="97"/>
      <c r="D1243" s="97"/>
      <c r="E1243" s="97"/>
      <c r="F1243" s="97" t="b">
        <v>0</v>
      </c>
      <c r="G1243" s="97" t="b">
        <v>0</v>
      </c>
      <c r="H1243" s="98"/>
      <c r="I1243" s="98"/>
      <c r="J1243" s="98"/>
      <c r="K1243" s="102"/>
      <c r="L1243" s="102"/>
      <c r="M1243" s="102"/>
      <c r="N1243" s="102"/>
      <c r="O1243" s="98"/>
      <c r="P1243" s="98"/>
      <c r="Q1243" s="98"/>
    </row>
    <row r="1244">
      <c r="A1244" s="96"/>
      <c r="B1244" s="97"/>
      <c r="C1244" s="97"/>
      <c r="D1244" s="97"/>
      <c r="E1244" s="97"/>
      <c r="F1244" s="97" t="b">
        <v>0</v>
      </c>
      <c r="G1244" s="97" t="b">
        <v>0</v>
      </c>
      <c r="H1244" s="98"/>
      <c r="I1244" s="98"/>
      <c r="J1244" s="98"/>
      <c r="K1244" s="102"/>
      <c r="L1244" s="102"/>
      <c r="M1244" s="102"/>
      <c r="N1244" s="102"/>
      <c r="O1244" s="98"/>
      <c r="P1244" s="98"/>
      <c r="Q1244" s="98"/>
    </row>
    <row r="1245">
      <c r="A1245" s="96"/>
      <c r="B1245" s="97"/>
      <c r="C1245" s="97"/>
      <c r="D1245" s="97"/>
      <c r="E1245" s="97"/>
      <c r="F1245" s="97" t="b">
        <v>0</v>
      </c>
      <c r="G1245" s="97" t="b">
        <v>0</v>
      </c>
      <c r="H1245" s="98"/>
      <c r="I1245" s="98"/>
      <c r="J1245" s="98"/>
      <c r="K1245" s="102"/>
      <c r="L1245" s="102"/>
      <c r="M1245" s="102"/>
      <c r="N1245" s="102"/>
      <c r="O1245" s="98"/>
      <c r="P1245" s="98"/>
      <c r="Q1245" s="98"/>
    </row>
    <row r="1246">
      <c r="A1246" s="96"/>
      <c r="B1246" s="97"/>
      <c r="C1246" s="97"/>
      <c r="D1246" s="97"/>
      <c r="E1246" s="97"/>
      <c r="F1246" s="97" t="b">
        <v>0</v>
      </c>
      <c r="G1246" s="97" t="b">
        <v>0</v>
      </c>
      <c r="H1246" s="98"/>
      <c r="I1246" s="98"/>
      <c r="J1246" s="98"/>
      <c r="K1246" s="102"/>
      <c r="L1246" s="102"/>
      <c r="M1246" s="102"/>
      <c r="N1246" s="102"/>
      <c r="O1246" s="98"/>
      <c r="P1246" s="98"/>
      <c r="Q1246" s="98"/>
    </row>
    <row r="1247">
      <c r="A1247" s="96"/>
      <c r="B1247" s="97"/>
      <c r="C1247" s="97"/>
      <c r="D1247" s="97"/>
      <c r="E1247" s="97"/>
      <c r="F1247" s="97" t="b">
        <v>0</v>
      </c>
      <c r="G1247" s="97" t="b">
        <v>0</v>
      </c>
      <c r="H1247" s="98"/>
      <c r="I1247" s="98"/>
      <c r="J1247" s="98"/>
      <c r="K1247" s="102"/>
      <c r="L1247" s="102"/>
      <c r="M1247" s="102"/>
      <c r="N1247" s="102"/>
      <c r="O1247" s="98"/>
      <c r="P1247" s="98"/>
      <c r="Q1247" s="98"/>
    </row>
    <row r="1248">
      <c r="A1248" s="96"/>
      <c r="B1248" s="97"/>
      <c r="C1248" s="97"/>
      <c r="D1248" s="97"/>
      <c r="E1248" s="97"/>
      <c r="F1248" s="97" t="b">
        <v>0</v>
      </c>
      <c r="G1248" s="97" t="b">
        <v>0</v>
      </c>
      <c r="H1248" s="98"/>
      <c r="I1248" s="98"/>
      <c r="J1248" s="98"/>
      <c r="K1248" s="102"/>
      <c r="L1248" s="102"/>
      <c r="M1248" s="102"/>
      <c r="N1248" s="102"/>
      <c r="O1248" s="98"/>
      <c r="P1248" s="98"/>
      <c r="Q1248" s="98"/>
    </row>
    <row r="1249">
      <c r="A1249" s="96"/>
      <c r="B1249" s="97"/>
      <c r="C1249" s="97"/>
      <c r="D1249" s="97"/>
      <c r="E1249" s="97"/>
      <c r="F1249" s="97" t="b">
        <v>0</v>
      </c>
      <c r="G1249" s="97" t="b">
        <v>0</v>
      </c>
      <c r="H1249" s="98"/>
      <c r="I1249" s="98"/>
      <c r="J1249" s="98"/>
      <c r="K1249" s="102"/>
      <c r="L1249" s="102"/>
      <c r="M1249" s="102"/>
      <c r="N1249" s="102"/>
      <c r="O1249" s="98"/>
      <c r="P1249" s="98"/>
      <c r="Q1249" s="98"/>
    </row>
    <row r="1250">
      <c r="A1250" s="96"/>
      <c r="B1250" s="97"/>
      <c r="C1250" s="97"/>
      <c r="D1250" s="97"/>
      <c r="E1250" s="97"/>
      <c r="F1250" s="97" t="b">
        <v>0</v>
      </c>
      <c r="G1250" s="97" t="b">
        <v>0</v>
      </c>
      <c r="H1250" s="98"/>
      <c r="I1250" s="98"/>
      <c r="J1250" s="98"/>
      <c r="K1250" s="102"/>
      <c r="L1250" s="102"/>
      <c r="M1250" s="102"/>
      <c r="N1250" s="102"/>
      <c r="O1250" s="98"/>
      <c r="P1250" s="98"/>
      <c r="Q1250" s="98"/>
    </row>
    <row r="1251">
      <c r="A1251" s="96"/>
      <c r="B1251" s="97"/>
      <c r="C1251" s="97"/>
      <c r="D1251" s="97"/>
      <c r="E1251" s="97"/>
      <c r="F1251" s="97" t="b">
        <v>0</v>
      </c>
      <c r="G1251" s="97" t="b">
        <v>0</v>
      </c>
      <c r="H1251" s="98"/>
      <c r="I1251" s="98"/>
      <c r="J1251" s="98"/>
      <c r="K1251" s="102"/>
      <c r="L1251" s="102"/>
      <c r="M1251" s="102"/>
      <c r="N1251" s="102"/>
      <c r="O1251" s="98"/>
      <c r="P1251" s="98"/>
      <c r="Q1251" s="98"/>
    </row>
    <row r="1252">
      <c r="A1252" s="96"/>
      <c r="B1252" s="97"/>
      <c r="C1252" s="97"/>
      <c r="D1252" s="97"/>
      <c r="E1252" s="97"/>
      <c r="F1252" s="97" t="b">
        <v>0</v>
      </c>
      <c r="G1252" s="97" t="b">
        <v>0</v>
      </c>
      <c r="H1252" s="98"/>
      <c r="I1252" s="98"/>
      <c r="J1252" s="98"/>
      <c r="K1252" s="102"/>
      <c r="L1252" s="102"/>
      <c r="M1252" s="102"/>
      <c r="N1252" s="102"/>
      <c r="O1252" s="98"/>
      <c r="P1252" s="98"/>
      <c r="Q1252" s="98"/>
    </row>
    <row r="1253">
      <c r="A1253" s="96"/>
      <c r="B1253" s="97"/>
      <c r="C1253" s="97"/>
      <c r="D1253" s="97"/>
      <c r="E1253" s="97"/>
      <c r="F1253" s="97" t="b">
        <v>0</v>
      </c>
      <c r="G1253" s="97" t="b">
        <v>0</v>
      </c>
      <c r="H1253" s="98"/>
      <c r="I1253" s="98"/>
      <c r="J1253" s="98"/>
      <c r="K1253" s="102"/>
      <c r="L1253" s="102"/>
      <c r="M1253" s="102"/>
      <c r="N1253" s="102"/>
      <c r="O1253" s="98"/>
      <c r="P1253" s="98"/>
      <c r="Q1253" s="98"/>
    </row>
    <row r="1254">
      <c r="A1254" s="96"/>
      <c r="B1254" s="97"/>
      <c r="C1254" s="97"/>
      <c r="D1254" s="97"/>
      <c r="E1254" s="97"/>
      <c r="F1254" s="97" t="b">
        <v>0</v>
      </c>
      <c r="G1254" s="97" t="b">
        <v>0</v>
      </c>
      <c r="H1254" s="98"/>
      <c r="I1254" s="98"/>
      <c r="J1254" s="98"/>
      <c r="K1254" s="102"/>
      <c r="L1254" s="102"/>
      <c r="M1254" s="102"/>
      <c r="N1254" s="102"/>
      <c r="O1254" s="98"/>
      <c r="P1254" s="98"/>
      <c r="Q1254" s="98"/>
    </row>
    <row r="1255">
      <c r="A1255" s="96"/>
      <c r="B1255" s="97"/>
      <c r="C1255" s="97"/>
      <c r="D1255" s="97"/>
      <c r="E1255" s="97"/>
      <c r="F1255" s="97" t="b">
        <v>0</v>
      </c>
      <c r="G1255" s="97" t="b">
        <v>0</v>
      </c>
      <c r="H1255" s="98"/>
      <c r="I1255" s="98"/>
      <c r="J1255" s="98"/>
      <c r="K1255" s="102"/>
      <c r="L1255" s="102"/>
      <c r="M1255" s="102"/>
      <c r="N1255" s="102"/>
      <c r="O1255" s="98"/>
      <c r="P1255" s="98"/>
      <c r="Q1255" s="98"/>
    </row>
    <row r="1256">
      <c r="A1256" s="96"/>
      <c r="B1256" s="97"/>
      <c r="C1256" s="97"/>
      <c r="D1256" s="97"/>
      <c r="E1256" s="97"/>
      <c r="F1256" s="97" t="b">
        <v>0</v>
      </c>
      <c r="G1256" s="97" t="b">
        <v>0</v>
      </c>
      <c r="H1256" s="98"/>
      <c r="I1256" s="98"/>
      <c r="J1256" s="98"/>
      <c r="K1256" s="102"/>
      <c r="L1256" s="102"/>
      <c r="M1256" s="102"/>
      <c r="N1256" s="102"/>
      <c r="O1256" s="98"/>
      <c r="P1256" s="98"/>
      <c r="Q1256" s="98"/>
    </row>
    <row r="1257">
      <c r="A1257" s="96"/>
      <c r="B1257" s="97"/>
      <c r="C1257" s="97"/>
      <c r="D1257" s="97"/>
      <c r="E1257" s="97"/>
      <c r="F1257" s="97" t="b">
        <v>0</v>
      </c>
      <c r="G1257" s="97" t="b">
        <v>0</v>
      </c>
      <c r="H1257" s="98"/>
      <c r="I1257" s="98"/>
      <c r="J1257" s="98"/>
      <c r="K1257" s="102"/>
      <c r="L1257" s="102"/>
      <c r="M1257" s="102"/>
      <c r="N1257" s="102"/>
      <c r="O1257" s="98"/>
      <c r="P1257" s="98"/>
      <c r="Q1257" s="98"/>
    </row>
    <row r="1258">
      <c r="A1258" s="96"/>
      <c r="B1258" s="97"/>
      <c r="C1258" s="97"/>
      <c r="D1258" s="97"/>
      <c r="E1258" s="97"/>
      <c r="F1258" s="97" t="b">
        <v>0</v>
      </c>
      <c r="G1258" s="97" t="b">
        <v>0</v>
      </c>
      <c r="H1258" s="98"/>
      <c r="I1258" s="98"/>
      <c r="J1258" s="98"/>
      <c r="K1258" s="102"/>
      <c r="L1258" s="102"/>
      <c r="M1258" s="102"/>
      <c r="N1258" s="102"/>
      <c r="O1258" s="98"/>
      <c r="P1258" s="98"/>
      <c r="Q1258" s="98"/>
    </row>
    <row r="1259">
      <c r="A1259" s="96"/>
      <c r="B1259" s="97"/>
      <c r="C1259" s="97"/>
      <c r="D1259" s="97"/>
      <c r="E1259" s="97"/>
      <c r="F1259" s="97" t="b">
        <v>0</v>
      </c>
      <c r="G1259" s="97" t="b">
        <v>0</v>
      </c>
      <c r="H1259" s="98"/>
      <c r="I1259" s="98"/>
      <c r="J1259" s="98"/>
      <c r="K1259" s="102"/>
      <c r="L1259" s="102"/>
      <c r="M1259" s="102"/>
      <c r="N1259" s="102"/>
      <c r="O1259" s="98"/>
      <c r="P1259" s="98"/>
      <c r="Q1259" s="98"/>
    </row>
    <row r="1260">
      <c r="A1260" s="96"/>
      <c r="B1260" s="97"/>
      <c r="C1260" s="97"/>
      <c r="D1260" s="97"/>
      <c r="E1260" s="97"/>
      <c r="F1260" s="97" t="b">
        <v>0</v>
      </c>
      <c r="G1260" s="97" t="b">
        <v>0</v>
      </c>
      <c r="H1260" s="98"/>
      <c r="I1260" s="98"/>
      <c r="J1260" s="98"/>
      <c r="K1260" s="102"/>
      <c r="L1260" s="102"/>
      <c r="M1260" s="102"/>
      <c r="N1260" s="102"/>
      <c r="O1260" s="98"/>
      <c r="P1260" s="98"/>
      <c r="Q1260" s="98"/>
    </row>
    <row r="1261">
      <c r="A1261" s="96"/>
      <c r="B1261" s="97"/>
      <c r="C1261" s="97"/>
      <c r="D1261" s="97"/>
      <c r="E1261" s="97"/>
      <c r="F1261" s="97" t="b">
        <v>0</v>
      </c>
      <c r="G1261" s="97" t="b">
        <v>0</v>
      </c>
      <c r="H1261" s="98"/>
      <c r="I1261" s="98"/>
      <c r="J1261" s="98"/>
      <c r="K1261" s="102"/>
      <c r="L1261" s="102"/>
      <c r="M1261" s="102"/>
      <c r="N1261" s="102"/>
      <c r="O1261" s="98"/>
      <c r="P1261" s="98"/>
      <c r="Q1261" s="98"/>
    </row>
    <row r="1262">
      <c r="A1262" s="96"/>
      <c r="B1262" s="97"/>
      <c r="C1262" s="97"/>
      <c r="D1262" s="97"/>
      <c r="E1262" s="97"/>
      <c r="F1262" s="97" t="b">
        <v>0</v>
      </c>
      <c r="G1262" s="97" t="b">
        <v>0</v>
      </c>
      <c r="H1262" s="98"/>
      <c r="I1262" s="98"/>
      <c r="J1262" s="98"/>
      <c r="K1262" s="102"/>
      <c r="L1262" s="102"/>
      <c r="M1262" s="102"/>
      <c r="N1262" s="102"/>
      <c r="O1262" s="98"/>
      <c r="P1262" s="98"/>
      <c r="Q1262" s="98"/>
    </row>
    <row r="1263">
      <c r="A1263" s="96"/>
      <c r="B1263" s="97"/>
      <c r="C1263" s="97"/>
      <c r="D1263" s="97"/>
      <c r="E1263" s="97"/>
      <c r="F1263" s="97" t="b">
        <v>0</v>
      </c>
      <c r="G1263" s="97" t="b">
        <v>0</v>
      </c>
      <c r="H1263" s="98"/>
      <c r="I1263" s="98"/>
      <c r="J1263" s="98"/>
      <c r="K1263" s="102"/>
      <c r="L1263" s="102"/>
      <c r="M1263" s="102"/>
      <c r="N1263" s="102"/>
      <c r="O1263" s="98"/>
      <c r="P1263" s="98"/>
      <c r="Q1263" s="98"/>
    </row>
    <row r="1264">
      <c r="A1264" s="96"/>
      <c r="B1264" s="97"/>
      <c r="C1264" s="97"/>
      <c r="D1264" s="97"/>
      <c r="E1264" s="97"/>
      <c r="F1264" s="97" t="b">
        <v>0</v>
      </c>
      <c r="G1264" s="97" t="b">
        <v>0</v>
      </c>
      <c r="H1264" s="98"/>
      <c r="I1264" s="98"/>
      <c r="J1264" s="98"/>
      <c r="K1264" s="102"/>
      <c r="L1264" s="102"/>
      <c r="M1264" s="102"/>
      <c r="N1264" s="102"/>
      <c r="O1264" s="98"/>
      <c r="P1264" s="98"/>
      <c r="Q1264" s="98"/>
    </row>
    <row r="1265">
      <c r="A1265" s="96"/>
      <c r="B1265" s="97"/>
      <c r="C1265" s="97"/>
      <c r="D1265" s="97"/>
      <c r="E1265" s="97"/>
      <c r="F1265" s="97" t="b">
        <v>0</v>
      </c>
      <c r="G1265" s="97" t="b">
        <v>0</v>
      </c>
      <c r="H1265" s="98"/>
      <c r="I1265" s="98"/>
      <c r="J1265" s="98"/>
      <c r="K1265" s="102"/>
      <c r="L1265" s="102"/>
      <c r="M1265" s="102"/>
      <c r="N1265" s="102"/>
      <c r="O1265" s="98"/>
      <c r="P1265" s="98"/>
      <c r="Q1265" s="98"/>
    </row>
    <row r="1266">
      <c r="A1266" s="96"/>
      <c r="B1266" s="97"/>
      <c r="C1266" s="97"/>
      <c r="D1266" s="97"/>
      <c r="E1266" s="97"/>
      <c r="F1266" s="97" t="b">
        <v>0</v>
      </c>
      <c r="G1266" s="97" t="b">
        <v>0</v>
      </c>
      <c r="H1266" s="98"/>
      <c r="I1266" s="98"/>
      <c r="J1266" s="98"/>
      <c r="K1266" s="102"/>
      <c r="L1266" s="102"/>
      <c r="M1266" s="102"/>
      <c r="N1266" s="102"/>
      <c r="O1266" s="98"/>
      <c r="P1266" s="98"/>
      <c r="Q1266" s="98"/>
    </row>
    <row r="1267">
      <c r="A1267" s="96"/>
      <c r="B1267" s="97"/>
      <c r="C1267" s="97"/>
      <c r="D1267" s="97"/>
      <c r="E1267" s="97"/>
      <c r="F1267" s="97" t="b">
        <v>0</v>
      </c>
      <c r="G1267" s="97" t="b">
        <v>0</v>
      </c>
      <c r="H1267" s="98"/>
      <c r="I1267" s="98"/>
      <c r="J1267" s="98"/>
      <c r="K1267" s="102"/>
      <c r="L1267" s="102"/>
      <c r="M1267" s="102"/>
      <c r="N1267" s="102"/>
      <c r="O1267" s="98"/>
      <c r="P1267" s="98"/>
      <c r="Q1267" s="98"/>
    </row>
    <row r="1268">
      <c r="A1268" s="96"/>
      <c r="B1268" s="97"/>
      <c r="C1268" s="97"/>
      <c r="D1268" s="97"/>
      <c r="E1268" s="97"/>
      <c r="F1268" s="97" t="b">
        <v>0</v>
      </c>
      <c r="G1268" s="97" t="b">
        <v>0</v>
      </c>
      <c r="H1268" s="98"/>
      <c r="I1268" s="98"/>
      <c r="J1268" s="98"/>
      <c r="K1268" s="102"/>
      <c r="L1268" s="102"/>
      <c r="M1268" s="102"/>
      <c r="N1268" s="102"/>
      <c r="O1268" s="98"/>
      <c r="P1268" s="98"/>
      <c r="Q1268" s="98"/>
    </row>
    <row r="1269">
      <c r="A1269" s="96"/>
      <c r="B1269" s="97"/>
      <c r="C1269" s="97"/>
      <c r="D1269" s="97"/>
      <c r="E1269" s="97"/>
      <c r="F1269" s="97" t="b">
        <v>0</v>
      </c>
      <c r="G1269" s="97" t="b">
        <v>0</v>
      </c>
      <c r="H1269" s="98"/>
      <c r="I1269" s="98"/>
      <c r="J1269" s="98"/>
      <c r="K1269" s="102"/>
      <c r="L1269" s="102"/>
      <c r="M1269" s="102"/>
      <c r="N1269" s="102"/>
      <c r="O1269" s="98"/>
      <c r="P1269" s="98"/>
      <c r="Q1269" s="98"/>
    </row>
    <row r="1270">
      <c r="A1270" s="96"/>
      <c r="B1270" s="97"/>
      <c r="C1270" s="97"/>
      <c r="D1270" s="97"/>
      <c r="E1270" s="97"/>
      <c r="F1270" s="97" t="b">
        <v>0</v>
      </c>
      <c r="G1270" s="97" t="b">
        <v>0</v>
      </c>
      <c r="H1270" s="98"/>
      <c r="I1270" s="98"/>
      <c r="J1270" s="98"/>
      <c r="K1270" s="102"/>
      <c r="L1270" s="102"/>
      <c r="M1270" s="102"/>
      <c r="N1270" s="102"/>
      <c r="O1270" s="98"/>
      <c r="P1270" s="98"/>
      <c r="Q1270" s="98"/>
    </row>
    <row r="1271">
      <c r="A1271" s="96"/>
      <c r="B1271" s="97"/>
      <c r="C1271" s="97"/>
      <c r="D1271" s="97"/>
      <c r="E1271" s="97"/>
      <c r="F1271" s="97" t="b">
        <v>0</v>
      </c>
      <c r="G1271" s="97" t="b">
        <v>0</v>
      </c>
      <c r="H1271" s="98"/>
      <c r="I1271" s="98"/>
      <c r="J1271" s="98"/>
      <c r="K1271" s="102"/>
      <c r="L1271" s="102"/>
      <c r="M1271" s="102"/>
      <c r="N1271" s="102"/>
      <c r="O1271" s="98"/>
      <c r="P1271" s="98"/>
      <c r="Q1271" s="98"/>
    </row>
    <row r="1272">
      <c r="A1272" s="96"/>
      <c r="B1272" s="97"/>
      <c r="C1272" s="97"/>
      <c r="D1272" s="97"/>
      <c r="E1272" s="97"/>
      <c r="F1272" s="97" t="b">
        <v>0</v>
      </c>
      <c r="G1272" s="97" t="b">
        <v>0</v>
      </c>
      <c r="H1272" s="98"/>
      <c r="I1272" s="98"/>
      <c r="J1272" s="98"/>
      <c r="K1272" s="102"/>
      <c r="L1272" s="102"/>
      <c r="M1272" s="102"/>
      <c r="N1272" s="102"/>
      <c r="O1272" s="98"/>
      <c r="P1272" s="98"/>
      <c r="Q1272" s="98"/>
    </row>
    <row r="1273">
      <c r="A1273" s="96"/>
      <c r="B1273" s="97"/>
      <c r="C1273" s="97"/>
      <c r="D1273" s="97"/>
      <c r="E1273" s="97"/>
      <c r="F1273" s="97" t="b">
        <v>0</v>
      </c>
      <c r="G1273" s="97" t="b">
        <v>0</v>
      </c>
      <c r="H1273" s="98"/>
      <c r="I1273" s="98"/>
      <c r="J1273" s="98"/>
      <c r="K1273" s="102"/>
      <c r="L1273" s="102"/>
      <c r="M1273" s="102"/>
      <c r="N1273" s="102"/>
      <c r="O1273" s="98"/>
      <c r="P1273" s="98"/>
      <c r="Q1273" s="98"/>
    </row>
    <row r="1274">
      <c r="A1274" s="96"/>
      <c r="B1274" s="97"/>
      <c r="C1274" s="97"/>
      <c r="D1274" s="97"/>
      <c r="E1274" s="97"/>
      <c r="F1274" s="97" t="b">
        <v>0</v>
      </c>
      <c r="G1274" s="97" t="b">
        <v>0</v>
      </c>
      <c r="H1274" s="98"/>
      <c r="I1274" s="98"/>
      <c r="J1274" s="98"/>
      <c r="K1274" s="102"/>
      <c r="L1274" s="102"/>
      <c r="M1274" s="102"/>
      <c r="N1274" s="102"/>
      <c r="O1274" s="98"/>
      <c r="P1274" s="98"/>
      <c r="Q1274" s="98"/>
    </row>
    <row r="1275">
      <c r="A1275" s="96"/>
      <c r="B1275" s="97"/>
      <c r="C1275" s="97"/>
      <c r="D1275" s="97"/>
      <c r="E1275" s="97"/>
      <c r="F1275" s="97" t="b">
        <v>0</v>
      </c>
      <c r="G1275" s="97" t="b">
        <v>0</v>
      </c>
      <c r="H1275" s="98"/>
      <c r="I1275" s="98"/>
      <c r="J1275" s="98"/>
      <c r="K1275" s="102"/>
      <c r="L1275" s="102"/>
      <c r="M1275" s="102"/>
      <c r="N1275" s="102"/>
      <c r="O1275" s="98"/>
      <c r="P1275" s="98"/>
      <c r="Q1275" s="98"/>
    </row>
    <row r="1276">
      <c r="A1276" s="96"/>
      <c r="B1276" s="97"/>
      <c r="C1276" s="97"/>
      <c r="D1276" s="97"/>
      <c r="E1276" s="97"/>
      <c r="F1276" s="97" t="b">
        <v>0</v>
      </c>
      <c r="G1276" s="97" t="b">
        <v>0</v>
      </c>
      <c r="H1276" s="98"/>
      <c r="I1276" s="98"/>
      <c r="J1276" s="98"/>
      <c r="K1276" s="102"/>
      <c r="L1276" s="102"/>
      <c r="M1276" s="102"/>
      <c r="N1276" s="102"/>
      <c r="O1276" s="98"/>
      <c r="P1276" s="98"/>
      <c r="Q1276" s="98"/>
    </row>
    <row r="1277">
      <c r="A1277" s="96"/>
      <c r="B1277" s="97"/>
      <c r="C1277" s="97"/>
      <c r="D1277" s="97"/>
      <c r="E1277" s="97"/>
      <c r="F1277" s="97" t="b">
        <v>0</v>
      </c>
      <c r="G1277" s="97" t="b">
        <v>0</v>
      </c>
      <c r="H1277" s="98"/>
      <c r="I1277" s="98"/>
      <c r="J1277" s="98"/>
      <c r="K1277" s="102"/>
      <c r="L1277" s="102"/>
      <c r="M1277" s="102"/>
      <c r="N1277" s="102"/>
      <c r="O1277" s="98"/>
      <c r="P1277" s="98"/>
      <c r="Q1277" s="98"/>
    </row>
    <row r="1278">
      <c r="A1278" s="96"/>
      <c r="B1278" s="97"/>
      <c r="C1278" s="97"/>
      <c r="D1278" s="97"/>
      <c r="E1278" s="97"/>
      <c r="F1278" s="97" t="b">
        <v>0</v>
      </c>
      <c r="G1278" s="97" t="b">
        <v>0</v>
      </c>
      <c r="H1278" s="98"/>
      <c r="I1278" s="98"/>
      <c r="J1278" s="98"/>
      <c r="K1278" s="102"/>
      <c r="L1278" s="102"/>
      <c r="M1278" s="102"/>
      <c r="N1278" s="102"/>
      <c r="O1278" s="98"/>
      <c r="P1278" s="98"/>
      <c r="Q1278" s="98"/>
    </row>
    <row r="1279">
      <c r="A1279" s="96"/>
      <c r="B1279" s="97"/>
      <c r="C1279" s="97"/>
      <c r="D1279" s="97"/>
      <c r="E1279" s="97"/>
      <c r="F1279" s="97" t="b">
        <v>0</v>
      </c>
      <c r="G1279" s="97" t="b">
        <v>0</v>
      </c>
      <c r="H1279" s="98"/>
      <c r="I1279" s="98"/>
      <c r="J1279" s="98"/>
      <c r="K1279" s="102"/>
      <c r="L1279" s="102"/>
      <c r="M1279" s="102"/>
      <c r="N1279" s="102"/>
      <c r="O1279" s="98"/>
      <c r="P1279" s="98"/>
      <c r="Q1279" s="98"/>
    </row>
    <row r="1280">
      <c r="A1280" s="96"/>
      <c r="B1280" s="97"/>
      <c r="C1280" s="97"/>
      <c r="D1280" s="97"/>
      <c r="E1280" s="97"/>
      <c r="F1280" s="97" t="b">
        <v>0</v>
      </c>
      <c r="G1280" s="97" t="b">
        <v>0</v>
      </c>
      <c r="H1280" s="98"/>
      <c r="I1280" s="98"/>
      <c r="J1280" s="98"/>
      <c r="K1280" s="102"/>
      <c r="L1280" s="102"/>
      <c r="M1280" s="102"/>
      <c r="N1280" s="102"/>
      <c r="O1280" s="98"/>
      <c r="P1280" s="98"/>
      <c r="Q1280" s="98"/>
    </row>
    <row r="1281">
      <c r="A1281" s="96"/>
      <c r="B1281" s="97"/>
      <c r="C1281" s="97"/>
      <c r="D1281" s="97"/>
      <c r="E1281" s="97"/>
      <c r="F1281" s="97" t="b">
        <v>0</v>
      </c>
      <c r="G1281" s="97" t="b">
        <v>0</v>
      </c>
      <c r="H1281" s="98"/>
      <c r="I1281" s="98"/>
      <c r="J1281" s="98"/>
      <c r="K1281" s="102"/>
      <c r="L1281" s="102"/>
      <c r="M1281" s="102"/>
      <c r="N1281" s="102"/>
      <c r="O1281" s="98"/>
      <c r="P1281" s="98"/>
      <c r="Q1281" s="98"/>
    </row>
    <row r="1282">
      <c r="A1282" s="96"/>
      <c r="B1282" s="97"/>
      <c r="C1282" s="97"/>
      <c r="D1282" s="97"/>
      <c r="E1282" s="97"/>
      <c r="F1282" s="97" t="b">
        <v>0</v>
      </c>
      <c r="G1282" s="97" t="b">
        <v>0</v>
      </c>
      <c r="H1282" s="98"/>
      <c r="I1282" s="98"/>
      <c r="J1282" s="98"/>
      <c r="K1282" s="102"/>
      <c r="L1282" s="102"/>
      <c r="M1282" s="102"/>
      <c r="N1282" s="102"/>
      <c r="O1282" s="98"/>
      <c r="P1282" s="98"/>
      <c r="Q1282" s="98"/>
    </row>
    <row r="1283">
      <c r="A1283" s="96"/>
      <c r="B1283" s="97"/>
      <c r="C1283" s="97"/>
      <c r="D1283" s="97"/>
      <c r="E1283" s="97"/>
      <c r="F1283" s="97" t="b">
        <v>0</v>
      </c>
      <c r="G1283" s="97" t="b">
        <v>0</v>
      </c>
      <c r="H1283" s="98"/>
      <c r="I1283" s="98"/>
      <c r="J1283" s="98"/>
      <c r="K1283" s="102"/>
      <c r="L1283" s="102"/>
      <c r="M1283" s="102"/>
      <c r="N1283" s="102"/>
      <c r="O1283" s="98"/>
      <c r="P1283" s="98"/>
      <c r="Q1283" s="98"/>
    </row>
    <row r="1284">
      <c r="A1284" s="96"/>
      <c r="B1284" s="97"/>
      <c r="C1284" s="97"/>
      <c r="D1284" s="97"/>
      <c r="E1284" s="97"/>
      <c r="F1284" s="97" t="b">
        <v>0</v>
      </c>
      <c r="G1284" s="97" t="b">
        <v>0</v>
      </c>
      <c r="H1284" s="98"/>
      <c r="I1284" s="98"/>
      <c r="J1284" s="98"/>
      <c r="K1284" s="102"/>
      <c r="L1284" s="102"/>
      <c r="M1284" s="102"/>
      <c r="N1284" s="102"/>
      <c r="O1284" s="98"/>
      <c r="P1284" s="98"/>
      <c r="Q1284" s="98"/>
    </row>
    <row r="1285">
      <c r="A1285" s="96"/>
      <c r="B1285" s="97"/>
      <c r="C1285" s="97"/>
      <c r="D1285" s="97"/>
      <c r="E1285" s="97"/>
      <c r="F1285" s="97" t="b">
        <v>0</v>
      </c>
      <c r="G1285" s="97" t="b">
        <v>0</v>
      </c>
      <c r="H1285" s="98"/>
      <c r="I1285" s="98"/>
      <c r="J1285" s="98"/>
      <c r="K1285" s="102"/>
      <c r="L1285" s="102"/>
      <c r="M1285" s="102"/>
      <c r="N1285" s="102"/>
      <c r="O1285" s="98"/>
      <c r="P1285" s="98"/>
      <c r="Q1285" s="98"/>
    </row>
    <row r="1286">
      <c r="A1286" s="96"/>
      <c r="B1286" s="97"/>
      <c r="C1286" s="97"/>
      <c r="D1286" s="97"/>
      <c r="E1286" s="97"/>
      <c r="F1286" s="97" t="b">
        <v>0</v>
      </c>
      <c r="G1286" s="97" t="b">
        <v>0</v>
      </c>
      <c r="H1286" s="98"/>
      <c r="I1286" s="98"/>
      <c r="J1286" s="98"/>
      <c r="K1286" s="102"/>
      <c r="L1286" s="102"/>
      <c r="M1286" s="102"/>
      <c r="N1286" s="102"/>
      <c r="O1286" s="98"/>
      <c r="P1286" s="98"/>
      <c r="Q1286" s="98"/>
    </row>
    <row r="1287">
      <c r="A1287" s="96"/>
      <c r="B1287" s="97"/>
      <c r="C1287" s="97"/>
      <c r="D1287" s="97"/>
      <c r="E1287" s="97"/>
      <c r="F1287" s="97" t="b">
        <v>0</v>
      </c>
      <c r="G1287" s="97" t="b">
        <v>0</v>
      </c>
      <c r="H1287" s="98"/>
      <c r="I1287" s="98"/>
      <c r="J1287" s="98"/>
      <c r="K1287" s="102"/>
      <c r="L1287" s="102"/>
      <c r="M1287" s="102"/>
      <c r="N1287" s="102"/>
      <c r="O1287" s="98"/>
      <c r="P1287" s="98"/>
      <c r="Q1287" s="98"/>
    </row>
    <row r="1288">
      <c r="A1288" s="96"/>
      <c r="B1288" s="97"/>
      <c r="C1288" s="97"/>
      <c r="D1288" s="97"/>
      <c r="E1288" s="97"/>
      <c r="F1288" s="97" t="b">
        <v>0</v>
      </c>
      <c r="G1288" s="97" t="b">
        <v>0</v>
      </c>
      <c r="H1288" s="98"/>
      <c r="I1288" s="98"/>
      <c r="J1288" s="98"/>
      <c r="K1288" s="102"/>
      <c r="L1288" s="102"/>
      <c r="M1288" s="102"/>
      <c r="N1288" s="102"/>
      <c r="O1288" s="98"/>
      <c r="P1288" s="98"/>
      <c r="Q1288" s="98"/>
    </row>
    <row r="1289">
      <c r="A1289" s="96"/>
      <c r="B1289" s="97"/>
      <c r="C1289" s="97"/>
      <c r="D1289" s="97"/>
      <c r="E1289" s="97"/>
      <c r="F1289" s="97" t="b">
        <v>0</v>
      </c>
      <c r="G1289" s="97" t="b">
        <v>0</v>
      </c>
      <c r="H1289" s="98"/>
      <c r="I1289" s="98"/>
      <c r="J1289" s="98"/>
      <c r="K1289" s="102"/>
      <c r="L1289" s="102"/>
      <c r="M1289" s="102"/>
      <c r="N1289" s="102"/>
      <c r="O1289" s="98"/>
      <c r="P1289" s="98"/>
      <c r="Q1289" s="98"/>
    </row>
    <row r="1290">
      <c r="A1290" s="96"/>
      <c r="B1290" s="97"/>
      <c r="C1290" s="97"/>
      <c r="D1290" s="97"/>
      <c r="E1290" s="97"/>
      <c r="F1290" s="97" t="b">
        <v>0</v>
      </c>
      <c r="G1290" s="97" t="b">
        <v>0</v>
      </c>
      <c r="H1290" s="98"/>
      <c r="I1290" s="98"/>
      <c r="J1290" s="98"/>
      <c r="K1290" s="102"/>
      <c r="L1290" s="102"/>
      <c r="M1290" s="102"/>
      <c r="N1290" s="102"/>
      <c r="O1290" s="98"/>
      <c r="P1290" s="98"/>
      <c r="Q1290" s="98"/>
    </row>
    <row r="1291">
      <c r="A1291" s="96"/>
      <c r="B1291" s="97"/>
      <c r="C1291" s="97"/>
      <c r="D1291" s="97"/>
      <c r="E1291" s="97"/>
      <c r="F1291" s="97" t="b">
        <v>0</v>
      </c>
      <c r="G1291" s="97" t="b">
        <v>0</v>
      </c>
      <c r="H1291" s="98"/>
      <c r="I1291" s="98"/>
      <c r="J1291" s="98"/>
      <c r="K1291" s="102"/>
      <c r="L1291" s="102"/>
      <c r="M1291" s="102"/>
      <c r="N1291" s="102"/>
      <c r="O1291" s="98"/>
      <c r="P1291" s="98"/>
      <c r="Q1291" s="98"/>
    </row>
    <row r="1292">
      <c r="A1292" s="96"/>
      <c r="B1292" s="97"/>
      <c r="C1292" s="97"/>
      <c r="D1292" s="97"/>
      <c r="E1292" s="97"/>
      <c r="F1292" s="97" t="b">
        <v>0</v>
      </c>
      <c r="G1292" s="97" t="b">
        <v>0</v>
      </c>
      <c r="H1292" s="98"/>
      <c r="I1292" s="98"/>
      <c r="J1292" s="98"/>
      <c r="K1292" s="102"/>
      <c r="L1292" s="102"/>
      <c r="M1292" s="102"/>
      <c r="N1292" s="102"/>
      <c r="O1292" s="98"/>
      <c r="P1292" s="98"/>
      <c r="Q1292" s="98"/>
    </row>
    <row r="1293">
      <c r="A1293" s="96"/>
      <c r="B1293" s="97"/>
      <c r="C1293" s="97"/>
      <c r="D1293" s="97"/>
      <c r="E1293" s="97"/>
      <c r="F1293" s="97" t="b">
        <v>0</v>
      </c>
      <c r="G1293" s="97" t="b">
        <v>0</v>
      </c>
      <c r="H1293" s="98"/>
      <c r="I1293" s="98"/>
      <c r="J1293" s="98"/>
      <c r="K1293" s="102"/>
      <c r="L1293" s="102"/>
      <c r="M1293" s="102"/>
      <c r="N1293" s="102"/>
      <c r="O1293" s="98"/>
      <c r="P1293" s="98"/>
      <c r="Q1293" s="98"/>
    </row>
    <row r="1294">
      <c r="A1294" s="96"/>
      <c r="B1294" s="97"/>
      <c r="C1294" s="97"/>
      <c r="D1294" s="97"/>
      <c r="E1294" s="97"/>
      <c r="F1294" s="97" t="b">
        <v>0</v>
      </c>
      <c r="G1294" s="97" t="b">
        <v>0</v>
      </c>
      <c r="H1294" s="98"/>
      <c r="I1294" s="98"/>
      <c r="J1294" s="98"/>
      <c r="K1294" s="102"/>
      <c r="L1294" s="102"/>
      <c r="M1294" s="102"/>
      <c r="N1294" s="102"/>
      <c r="O1294" s="98"/>
      <c r="P1294" s="98"/>
      <c r="Q1294" s="98"/>
    </row>
    <row r="1295">
      <c r="A1295" s="96"/>
      <c r="B1295" s="97"/>
      <c r="C1295" s="97"/>
      <c r="D1295" s="97"/>
      <c r="E1295" s="97"/>
      <c r="F1295" s="97" t="b">
        <v>0</v>
      </c>
      <c r="G1295" s="97" t="b">
        <v>0</v>
      </c>
      <c r="H1295" s="98"/>
      <c r="I1295" s="98"/>
      <c r="J1295" s="98"/>
      <c r="K1295" s="102"/>
      <c r="L1295" s="102"/>
      <c r="M1295" s="102"/>
      <c r="N1295" s="102"/>
      <c r="O1295" s="98"/>
      <c r="P1295" s="98"/>
      <c r="Q1295" s="98"/>
    </row>
    <row r="1296">
      <c r="A1296" s="96"/>
      <c r="B1296" s="97"/>
      <c r="C1296" s="97"/>
      <c r="D1296" s="97"/>
      <c r="E1296" s="97"/>
      <c r="F1296" s="97" t="b">
        <v>0</v>
      </c>
      <c r="G1296" s="97" t="b">
        <v>0</v>
      </c>
      <c r="H1296" s="98"/>
      <c r="I1296" s="98"/>
      <c r="J1296" s="98"/>
      <c r="K1296" s="102"/>
      <c r="L1296" s="102"/>
      <c r="M1296" s="102"/>
      <c r="N1296" s="102"/>
      <c r="O1296" s="98"/>
      <c r="P1296" s="98"/>
      <c r="Q1296" s="98"/>
    </row>
    <row r="1297">
      <c r="A1297" s="96"/>
      <c r="B1297" s="97"/>
      <c r="C1297" s="97"/>
      <c r="D1297" s="97"/>
      <c r="E1297" s="97"/>
      <c r="F1297" s="97" t="b">
        <v>0</v>
      </c>
      <c r="G1297" s="97" t="b">
        <v>0</v>
      </c>
      <c r="H1297" s="98"/>
      <c r="I1297" s="98"/>
      <c r="J1297" s="98"/>
      <c r="K1297" s="102"/>
      <c r="L1297" s="102"/>
      <c r="M1297" s="102"/>
      <c r="N1297" s="102"/>
      <c r="O1297" s="98"/>
      <c r="P1297" s="98"/>
      <c r="Q1297" s="98"/>
    </row>
    <row r="1298">
      <c r="A1298" s="96"/>
      <c r="B1298" s="97"/>
      <c r="C1298" s="97"/>
      <c r="D1298" s="97"/>
      <c r="E1298" s="97"/>
      <c r="F1298" s="97" t="b">
        <v>0</v>
      </c>
      <c r="G1298" s="97" t="b">
        <v>0</v>
      </c>
      <c r="H1298" s="98"/>
      <c r="I1298" s="98"/>
      <c r="J1298" s="98"/>
      <c r="K1298" s="102"/>
      <c r="L1298" s="102"/>
      <c r="M1298" s="102"/>
      <c r="N1298" s="102"/>
      <c r="O1298" s="98"/>
      <c r="P1298" s="98"/>
      <c r="Q1298" s="98"/>
    </row>
    <row r="1299">
      <c r="A1299" s="96"/>
      <c r="B1299" s="97"/>
      <c r="C1299" s="97"/>
      <c r="D1299" s="97"/>
      <c r="E1299" s="97"/>
      <c r="F1299" s="97" t="b">
        <v>0</v>
      </c>
      <c r="G1299" s="97" t="b">
        <v>0</v>
      </c>
      <c r="H1299" s="98"/>
      <c r="I1299" s="98"/>
      <c r="J1299" s="98"/>
      <c r="K1299" s="102"/>
      <c r="L1299" s="102"/>
      <c r="M1299" s="102"/>
      <c r="N1299" s="102"/>
      <c r="O1299" s="98"/>
      <c r="P1299" s="98"/>
      <c r="Q1299" s="98"/>
    </row>
    <row r="1300">
      <c r="A1300" s="96"/>
      <c r="B1300" s="97"/>
      <c r="C1300" s="97"/>
      <c r="D1300" s="97"/>
      <c r="E1300" s="97"/>
      <c r="F1300" s="97" t="b">
        <v>0</v>
      </c>
      <c r="G1300" s="97" t="b">
        <v>0</v>
      </c>
      <c r="H1300" s="98"/>
      <c r="I1300" s="98"/>
      <c r="J1300" s="98"/>
      <c r="K1300" s="102"/>
      <c r="L1300" s="102"/>
      <c r="M1300" s="102"/>
      <c r="N1300" s="102"/>
      <c r="O1300" s="98"/>
      <c r="P1300" s="98"/>
      <c r="Q1300" s="98"/>
    </row>
    <row r="1301">
      <c r="A1301" s="96"/>
      <c r="B1301" s="97"/>
      <c r="C1301" s="97"/>
      <c r="D1301" s="97"/>
      <c r="E1301" s="97"/>
      <c r="F1301" s="97" t="b">
        <v>0</v>
      </c>
      <c r="G1301" s="97" t="b">
        <v>0</v>
      </c>
      <c r="H1301" s="98"/>
      <c r="I1301" s="98"/>
      <c r="J1301" s="98"/>
      <c r="K1301" s="102"/>
      <c r="L1301" s="102"/>
      <c r="M1301" s="102"/>
      <c r="N1301" s="102"/>
      <c r="O1301" s="98"/>
      <c r="P1301" s="98"/>
      <c r="Q1301" s="98"/>
    </row>
    <row r="1302">
      <c r="A1302" s="96"/>
      <c r="B1302" s="97"/>
      <c r="C1302" s="97"/>
      <c r="D1302" s="97"/>
      <c r="E1302" s="97"/>
      <c r="F1302" s="97" t="b">
        <v>0</v>
      </c>
      <c r="G1302" s="97" t="b">
        <v>0</v>
      </c>
      <c r="H1302" s="98"/>
      <c r="I1302" s="98"/>
      <c r="J1302" s="98"/>
      <c r="K1302" s="102"/>
      <c r="L1302" s="102"/>
      <c r="M1302" s="102"/>
      <c r="N1302" s="102"/>
      <c r="O1302" s="98"/>
      <c r="P1302" s="98"/>
      <c r="Q1302" s="98"/>
    </row>
    <row r="1303">
      <c r="A1303" s="96"/>
      <c r="B1303" s="97"/>
      <c r="C1303" s="97"/>
      <c r="D1303" s="97"/>
      <c r="E1303" s="97"/>
      <c r="F1303" s="97" t="b">
        <v>0</v>
      </c>
      <c r="G1303" s="97" t="b">
        <v>0</v>
      </c>
      <c r="H1303" s="98"/>
      <c r="I1303" s="98"/>
      <c r="J1303" s="98"/>
      <c r="K1303" s="102"/>
      <c r="L1303" s="102"/>
      <c r="M1303" s="102"/>
      <c r="N1303" s="102"/>
      <c r="O1303" s="98"/>
      <c r="P1303" s="98"/>
      <c r="Q1303" s="98"/>
    </row>
    <row r="1304">
      <c r="A1304" s="96"/>
      <c r="B1304" s="97"/>
      <c r="C1304" s="97"/>
      <c r="D1304" s="97"/>
      <c r="E1304" s="97"/>
      <c r="F1304" s="97" t="b">
        <v>0</v>
      </c>
      <c r="G1304" s="97" t="b">
        <v>0</v>
      </c>
      <c r="H1304" s="98"/>
      <c r="I1304" s="98"/>
      <c r="J1304" s="98"/>
      <c r="K1304" s="102"/>
      <c r="L1304" s="102"/>
      <c r="M1304" s="102"/>
      <c r="N1304" s="102"/>
      <c r="O1304" s="98"/>
      <c r="P1304" s="98"/>
      <c r="Q1304" s="98"/>
    </row>
    <row r="1305">
      <c r="A1305" s="96"/>
      <c r="B1305" s="97"/>
      <c r="C1305" s="97"/>
      <c r="D1305" s="97"/>
      <c r="E1305" s="97"/>
      <c r="F1305" s="97" t="b">
        <v>0</v>
      </c>
      <c r="G1305" s="97" t="b">
        <v>0</v>
      </c>
      <c r="H1305" s="98"/>
      <c r="I1305" s="98"/>
      <c r="J1305" s="98"/>
      <c r="K1305" s="102"/>
      <c r="L1305" s="102"/>
      <c r="M1305" s="102"/>
      <c r="N1305" s="102"/>
      <c r="O1305" s="98"/>
      <c r="P1305" s="98"/>
      <c r="Q1305" s="98"/>
    </row>
    <row r="1306">
      <c r="A1306" s="96"/>
      <c r="B1306" s="97"/>
      <c r="C1306" s="97"/>
      <c r="D1306" s="97"/>
      <c r="E1306" s="97"/>
      <c r="F1306" s="97" t="b">
        <v>0</v>
      </c>
      <c r="G1306" s="97" t="b">
        <v>0</v>
      </c>
      <c r="H1306" s="98"/>
      <c r="I1306" s="98"/>
      <c r="J1306" s="98"/>
      <c r="K1306" s="102"/>
      <c r="L1306" s="102"/>
      <c r="M1306" s="102"/>
      <c r="N1306" s="102"/>
      <c r="O1306" s="98"/>
      <c r="P1306" s="98"/>
      <c r="Q1306" s="98"/>
    </row>
    <row r="1307">
      <c r="A1307" s="96"/>
      <c r="B1307" s="97"/>
      <c r="C1307" s="97"/>
      <c r="D1307" s="97"/>
      <c r="E1307" s="97"/>
      <c r="F1307" s="97" t="b">
        <v>0</v>
      </c>
      <c r="G1307" s="97" t="b">
        <v>0</v>
      </c>
      <c r="H1307" s="98"/>
      <c r="I1307" s="98"/>
      <c r="J1307" s="98"/>
      <c r="K1307" s="102"/>
      <c r="L1307" s="102"/>
      <c r="M1307" s="102"/>
      <c r="N1307" s="102"/>
      <c r="O1307" s="98"/>
      <c r="P1307" s="98"/>
      <c r="Q1307" s="98"/>
    </row>
    <row r="1308">
      <c r="A1308" s="96"/>
      <c r="B1308" s="97"/>
      <c r="C1308" s="97"/>
      <c r="D1308" s="97"/>
      <c r="E1308" s="97"/>
      <c r="F1308" s="97" t="b">
        <v>0</v>
      </c>
      <c r="G1308" s="97" t="b">
        <v>0</v>
      </c>
      <c r="H1308" s="98"/>
      <c r="I1308" s="98"/>
      <c r="J1308" s="98"/>
      <c r="K1308" s="102"/>
      <c r="L1308" s="102"/>
      <c r="M1308" s="102"/>
      <c r="N1308" s="102"/>
      <c r="O1308" s="98"/>
      <c r="P1308" s="98"/>
      <c r="Q1308" s="98"/>
    </row>
    <row r="1309">
      <c r="A1309" s="96"/>
      <c r="B1309" s="97"/>
      <c r="C1309" s="97"/>
      <c r="D1309" s="97"/>
      <c r="E1309" s="97"/>
      <c r="F1309" s="97" t="b">
        <v>0</v>
      </c>
      <c r="G1309" s="97" t="b">
        <v>0</v>
      </c>
      <c r="H1309" s="98"/>
      <c r="I1309" s="98"/>
      <c r="J1309" s="98"/>
      <c r="K1309" s="102"/>
      <c r="L1309" s="102"/>
      <c r="M1309" s="102"/>
      <c r="N1309" s="102"/>
      <c r="O1309" s="98"/>
      <c r="P1309" s="98"/>
      <c r="Q1309" s="98"/>
    </row>
    <row r="1310">
      <c r="A1310" s="96"/>
      <c r="B1310" s="97"/>
      <c r="C1310" s="97"/>
      <c r="D1310" s="97"/>
      <c r="E1310" s="97"/>
      <c r="F1310" s="97" t="b">
        <v>0</v>
      </c>
      <c r="G1310" s="97" t="b">
        <v>0</v>
      </c>
      <c r="H1310" s="98"/>
      <c r="I1310" s="98"/>
      <c r="J1310" s="98"/>
      <c r="K1310" s="102"/>
      <c r="L1310" s="102"/>
      <c r="M1310" s="102"/>
      <c r="N1310" s="102"/>
      <c r="O1310" s="98"/>
      <c r="P1310" s="98"/>
      <c r="Q1310" s="98"/>
    </row>
    <row r="1311">
      <c r="A1311" s="96"/>
      <c r="B1311" s="97"/>
      <c r="C1311" s="97"/>
      <c r="D1311" s="97"/>
      <c r="E1311" s="97"/>
      <c r="F1311" s="97" t="b">
        <v>0</v>
      </c>
      <c r="G1311" s="97" t="b">
        <v>0</v>
      </c>
      <c r="H1311" s="98"/>
      <c r="I1311" s="98"/>
      <c r="J1311" s="98"/>
      <c r="K1311" s="102"/>
      <c r="L1311" s="102"/>
      <c r="M1311" s="102"/>
      <c r="N1311" s="102"/>
      <c r="O1311" s="98"/>
      <c r="P1311" s="98"/>
      <c r="Q1311" s="98"/>
    </row>
    <row r="1312">
      <c r="A1312" s="96"/>
      <c r="B1312" s="97"/>
      <c r="C1312" s="97"/>
      <c r="D1312" s="97"/>
      <c r="E1312" s="97"/>
      <c r="F1312" s="97" t="b">
        <v>0</v>
      </c>
      <c r="G1312" s="97" t="b">
        <v>0</v>
      </c>
      <c r="H1312" s="98"/>
      <c r="I1312" s="98"/>
      <c r="J1312" s="98"/>
      <c r="K1312" s="102"/>
      <c r="L1312" s="102"/>
      <c r="M1312" s="102"/>
      <c r="N1312" s="102"/>
      <c r="O1312" s="98"/>
      <c r="P1312" s="98"/>
      <c r="Q1312" s="98"/>
    </row>
    <row r="1313">
      <c r="A1313" s="96"/>
      <c r="B1313" s="97"/>
      <c r="C1313" s="97"/>
      <c r="D1313" s="97"/>
      <c r="E1313" s="97"/>
      <c r="F1313" s="97" t="b">
        <v>0</v>
      </c>
      <c r="G1313" s="97" t="b">
        <v>0</v>
      </c>
      <c r="H1313" s="98"/>
      <c r="I1313" s="98"/>
      <c r="J1313" s="98"/>
      <c r="K1313" s="102"/>
      <c r="L1313" s="102"/>
      <c r="M1313" s="102"/>
      <c r="N1313" s="102"/>
      <c r="O1313" s="98"/>
      <c r="P1313" s="98"/>
      <c r="Q1313" s="98"/>
    </row>
    <row r="1314">
      <c r="A1314" s="96"/>
      <c r="B1314" s="97"/>
      <c r="C1314" s="97"/>
      <c r="D1314" s="97"/>
      <c r="E1314" s="97"/>
      <c r="F1314" s="97" t="b">
        <v>0</v>
      </c>
      <c r="G1314" s="97" t="b">
        <v>0</v>
      </c>
      <c r="H1314" s="98"/>
      <c r="I1314" s="98"/>
      <c r="J1314" s="98"/>
      <c r="K1314" s="102"/>
      <c r="L1314" s="102"/>
      <c r="M1314" s="102"/>
      <c r="N1314" s="102"/>
      <c r="O1314" s="98"/>
      <c r="P1314" s="98"/>
      <c r="Q1314" s="98"/>
    </row>
    <row r="1315">
      <c r="A1315" s="96"/>
      <c r="B1315" s="97"/>
      <c r="C1315" s="97"/>
      <c r="D1315" s="97"/>
      <c r="E1315" s="97"/>
      <c r="F1315" s="97" t="b">
        <v>0</v>
      </c>
      <c r="G1315" s="97" t="b">
        <v>0</v>
      </c>
      <c r="H1315" s="98"/>
      <c r="I1315" s="98"/>
      <c r="J1315" s="98"/>
      <c r="K1315" s="102"/>
      <c r="L1315" s="102"/>
      <c r="M1315" s="102"/>
      <c r="N1315" s="102"/>
      <c r="O1315" s="98"/>
      <c r="P1315" s="98"/>
      <c r="Q1315" s="98"/>
    </row>
    <row r="1316">
      <c r="A1316" s="96"/>
      <c r="B1316" s="97"/>
      <c r="C1316" s="97"/>
      <c r="D1316" s="97"/>
      <c r="E1316" s="97"/>
      <c r="F1316" s="97" t="b">
        <v>0</v>
      </c>
      <c r="G1316" s="97" t="b">
        <v>0</v>
      </c>
      <c r="H1316" s="98"/>
      <c r="I1316" s="98"/>
      <c r="J1316" s="98"/>
      <c r="K1316" s="102"/>
      <c r="L1316" s="102"/>
      <c r="M1316" s="102"/>
      <c r="N1316" s="102"/>
      <c r="O1316" s="98"/>
      <c r="P1316" s="98"/>
      <c r="Q1316" s="98"/>
    </row>
    <row r="1317">
      <c r="A1317" s="96"/>
      <c r="B1317" s="97"/>
      <c r="C1317" s="97"/>
      <c r="D1317" s="97"/>
      <c r="E1317" s="97"/>
      <c r="F1317" s="97" t="b">
        <v>0</v>
      </c>
      <c r="G1317" s="97" t="b">
        <v>0</v>
      </c>
      <c r="H1317" s="98"/>
      <c r="I1317" s="98"/>
      <c r="J1317" s="98"/>
      <c r="K1317" s="102"/>
      <c r="L1317" s="102"/>
      <c r="M1317" s="102"/>
      <c r="N1317" s="102"/>
      <c r="O1317" s="98"/>
      <c r="P1317" s="98"/>
      <c r="Q1317" s="98"/>
    </row>
    <row r="1318">
      <c r="A1318" s="96"/>
      <c r="B1318" s="97"/>
      <c r="C1318" s="97"/>
      <c r="D1318" s="97"/>
      <c r="E1318" s="97"/>
      <c r="F1318" s="97" t="b">
        <v>0</v>
      </c>
      <c r="G1318" s="97" t="b">
        <v>0</v>
      </c>
      <c r="H1318" s="98"/>
      <c r="I1318" s="98"/>
      <c r="J1318" s="98"/>
      <c r="K1318" s="102"/>
      <c r="L1318" s="102"/>
      <c r="M1318" s="102"/>
      <c r="N1318" s="102"/>
      <c r="O1318" s="98"/>
      <c r="P1318" s="98"/>
      <c r="Q1318" s="98"/>
    </row>
    <row r="1319">
      <c r="A1319" s="96"/>
      <c r="B1319" s="97"/>
      <c r="C1319" s="97"/>
      <c r="D1319" s="97"/>
      <c r="E1319" s="97"/>
      <c r="F1319" s="97" t="b">
        <v>0</v>
      </c>
      <c r="G1319" s="97" t="b">
        <v>0</v>
      </c>
      <c r="H1319" s="98"/>
      <c r="I1319" s="98"/>
      <c r="J1319" s="98"/>
      <c r="K1319" s="102"/>
      <c r="L1319" s="102"/>
      <c r="M1319" s="102"/>
      <c r="N1319" s="102"/>
      <c r="O1319" s="98"/>
      <c r="P1319" s="98"/>
      <c r="Q1319" s="98"/>
    </row>
    <row r="1320">
      <c r="A1320" s="96"/>
      <c r="B1320" s="97"/>
      <c r="C1320" s="97"/>
      <c r="D1320" s="97"/>
      <c r="E1320" s="97"/>
      <c r="F1320" s="97" t="b">
        <v>0</v>
      </c>
      <c r="G1320" s="97" t="b">
        <v>0</v>
      </c>
      <c r="H1320" s="98"/>
      <c r="I1320" s="98"/>
      <c r="J1320" s="98"/>
      <c r="K1320" s="102"/>
      <c r="L1320" s="102"/>
      <c r="M1320" s="102"/>
      <c r="N1320" s="102"/>
      <c r="O1320" s="98"/>
      <c r="P1320" s="98"/>
      <c r="Q1320" s="98"/>
    </row>
    <row r="1321">
      <c r="A1321" s="96"/>
      <c r="B1321" s="97"/>
      <c r="C1321" s="97"/>
      <c r="D1321" s="97"/>
      <c r="E1321" s="97"/>
      <c r="F1321" s="97" t="b">
        <v>0</v>
      </c>
      <c r="G1321" s="97" t="b">
        <v>0</v>
      </c>
      <c r="H1321" s="98"/>
      <c r="I1321" s="98"/>
      <c r="J1321" s="98"/>
      <c r="K1321" s="102"/>
      <c r="L1321" s="102"/>
      <c r="M1321" s="102"/>
      <c r="N1321" s="102"/>
      <c r="O1321" s="98"/>
      <c r="P1321" s="98"/>
      <c r="Q1321" s="98"/>
    </row>
    <row r="1322">
      <c r="A1322" s="96"/>
      <c r="B1322" s="97"/>
      <c r="C1322" s="97"/>
      <c r="D1322" s="97"/>
      <c r="E1322" s="97"/>
      <c r="F1322" s="97" t="b">
        <v>0</v>
      </c>
      <c r="G1322" s="97" t="b">
        <v>0</v>
      </c>
      <c r="H1322" s="98"/>
      <c r="I1322" s="98"/>
      <c r="J1322" s="98"/>
      <c r="K1322" s="102"/>
      <c r="L1322" s="102"/>
      <c r="M1322" s="102"/>
      <c r="N1322" s="102"/>
      <c r="O1322" s="98"/>
      <c r="P1322" s="98"/>
      <c r="Q1322" s="98"/>
    </row>
    <row r="1323">
      <c r="A1323" s="96"/>
      <c r="B1323" s="97"/>
      <c r="C1323" s="97"/>
      <c r="D1323" s="97"/>
      <c r="E1323" s="97"/>
      <c r="F1323" s="97" t="b">
        <v>0</v>
      </c>
      <c r="G1323" s="97" t="b">
        <v>0</v>
      </c>
      <c r="H1323" s="98"/>
      <c r="I1323" s="98"/>
      <c r="J1323" s="98"/>
      <c r="K1323" s="102"/>
      <c r="L1323" s="102"/>
      <c r="M1323" s="102"/>
      <c r="N1323" s="102"/>
      <c r="O1323" s="98"/>
      <c r="P1323" s="98"/>
      <c r="Q1323" s="98"/>
    </row>
    <row r="1324">
      <c r="A1324" s="96"/>
      <c r="B1324" s="97"/>
      <c r="C1324" s="97"/>
      <c r="D1324" s="97"/>
      <c r="E1324" s="97"/>
      <c r="F1324" s="97" t="b">
        <v>0</v>
      </c>
      <c r="G1324" s="97" t="b">
        <v>0</v>
      </c>
      <c r="H1324" s="98"/>
      <c r="I1324" s="98"/>
      <c r="J1324" s="98"/>
      <c r="K1324" s="102"/>
      <c r="L1324" s="102"/>
      <c r="M1324" s="102"/>
      <c r="N1324" s="102"/>
      <c r="O1324" s="98"/>
      <c r="P1324" s="98"/>
      <c r="Q1324" s="98"/>
    </row>
    <row r="1325">
      <c r="A1325" s="96"/>
      <c r="B1325" s="97"/>
      <c r="C1325" s="97"/>
      <c r="D1325" s="97"/>
      <c r="E1325" s="97"/>
      <c r="F1325" s="97" t="b">
        <v>0</v>
      </c>
      <c r="G1325" s="97" t="b">
        <v>0</v>
      </c>
      <c r="H1325" s="98"/>
      <c r="I1325" s="98"/>
      <c r="J1325" s="98"/>
      <c r="K1325" s="102"/>
      <c r="L1325" s="102"/>
      <c r="M1325" s="102"/>
      <c r="N1325" s="102"/>
      <c r="O1325" s="98"/>
      <c r="P1325" s="98"/>
      <c r="Q1325" s="98"/>
    </row>
    <row r="1326">
      <c r="A1326" s="96"/>
      <c r="B1326" s="97"/>
      <c r="C1326" s="97"/>
      <c r="D1326" s="97"/>
      <c r="E1326" s="97"/>
      <c r="F1326" s="97" t="b">
        <v>0</v>
      </c>
      <c r="G1326" s="97" t="b">
        <v>0</v>
      </c>
      <c r="H1326" s="98"/>
      <c r="I1326" s="98"/>
      <c r="J1326" s="98"/>
      <c r="K1326" s="102"/>
      <c r="L1326" s="102"/>
      <c r="M1326" s="102"/>
      <c r="N1326" s="102"/>
      <c r="O1326" s="98"/>
      <c r="P1326" s="98"/>
      <c r="Q1326" s="98"/>
    </row>
    <row r="1327">
      <c r="A1327" s="96"/>
      <c r="B1327" s="97"/>
      <c r="C1327" s="97"/>
      <c r="D1327" s="97"/>
      <c r="E1327" s="97"/>
      <c r="F1327" s="97" t="b">
        <v>0</v>
      </c>
      <c r="G1327" s="97" t="b">
        <v>0</v>
      </c>
      <c r="H1327" s="98"/>
      <c r="I1327" s="98"/>
      <c r="J1327" s="98"/>
      <c r="K1327" s="102"/>
      <c r="L1327" s="102"/>
      <c r="M1327" s="102"/>
      <c r="N1327" s="102"/>
      <c r="O1327" s="98"/>
      <c r="P1327" s="98"/>
      <c r="Q1327" s="98"/>
    </row>
    <row r="1328">
      <c r="A1328" s="96"/>
      <c r="B1328" s="97"/>
      <c r="C1328" s="97"/>
      <c r="D1328" s="97"/>
      <c r="E1328" s="97"/>
      <c r="F1328" s="97" t="b">
        <v>0</v>
      </c>
      <c r="G1328" s="97" t="b">
        <v>0</v>
      </c>
      <c r="H1328" s="98"/>
      <c r="I1328" s="98"/>
      <c r="J1328" s="98"/>
      <c r="K1328" s="102"/>
      <c r="L1328" s="102"/>
      <c r="M1328" s="102"/>
      <c r="N1328" s="102"/>
      <c r="O1328" s="98"/>
      <c r="P1328" s="98"/>
      <c r="Q1328" s="98"/>
    </row>
    <row r="1329">
      <c r="A1329" s="96"/>
      <c r="B1329" s="97"/>
      <c r="C1329" s="97"/>
      <c r="D1329" s="97"/>
      <c r="E1329" s="97"/>
      <c r="F1329" s="97" t="b">
        <v>0</v>
      </c>
      <c r="G1329" s="97" t="b">
        <v>0</v>
      </c>
      <c r="H1329" s="98"/>
      <c r="I1329" s="98"/>
      <c r="J1329" s="98"/>
      <c r="K1329" s="102"/>
      <c r="L1329" s="102"/>
      <c r="M1329" s="102"/>
      <c r="N1329" s="102"/>
      <c r="O1329" s="98"/>
      <c r="P1329" s="98"/>
      <c r="Q1329" s="98"/>
    </row>
    <row r="1330">
      <c r="A1330" s="96"/>
      <c r="B1330" s="97"/>
      <c r="C1330" s="97"/>
      <c r="D1330" s="97"/>
      <c r="E1330" s="97"/>
      <c r="F1330" s="97" t="b">
        <v>0</v>
      </c>
      <c r="G1330" s="97" t="b">
        <v>0</v>
      </c>
      <c r="H1330" s="98"/>
      <c r="I1330" s="98"/>
      <c r="J1330" s="98"/>
      <c r="K1330" s="102"/>
      <c r="L1330" s="102"/>
      <c r="M1330" s="102"/>
      <c r="N1330" s="102"/>
      <c r="O1330" s="98"/>
      <c r="P1330" s="98"/>
      <c r="Q1330" s="98"/>
    </row>
    <row r="1331">
      <c r="A1331" s="96"/>
      <c r="B1331" s="97"/>
      <c r="C1331" s="97"/>
      <c r="D1331" s="97"/>
      <c r="E1331" s="97"/>
      <c r="F1331" s="97" t="b">
        <v>0</v>
      </c>
      <c r="G1331" s="97" t="b">
        <v>0</v>
      </c>
      <c r="H1331" s="98"/>
      <c r="I1331" s="98"/>
      <c r="J1331" s="98"/>
      <c r="K1331" s="102"/>
      <c r="L1331" s="102"/>
      <c r="M1331" s="102"/>
      <c r="N1331" s="102"/>
      <c r="O1331" s="98"/>
      <c r="P1331" s="98"/>
      <c r="Q1331" s="98"/>
    </row>
    <row r="1332">
      <c r="A1332" s="96"/>
      <c r="B1332" s="97"/>
      <c r="C1332" s="97"/>
      <c r="D1332" s="97"/>
      <c r="E1332" s="97"/>
      <c r="F1332" s="97" t="b">
        <v>0</v>
      </c>
      <c r="G1332" s="97" t="b">
        <v>0</v>
      </c>
      <c r="H1332" s="98"/>
      <c r="I1332" s="98"/>
      <c r="J1332" s="98"/>
      <c r="K1332" s="102"/>
      <c r="L1332" s="102"/>
      <c r="M1332" s="102"/>
      <c r="N1332" s="102"/>
      <c r="O1332" s="98"/>
      <c r="P1332" s="98"/>
      <c r="Q1332" s="98"/>
    </row>
    <row r="1333">
      <c r="A1333" s="96"/>
      <c r="B1333" s="97"/>
      <c r="C1333" s="97"/>
      <c r="D1333" s="97"/>
      <c r="E1333" s="97"/>
      <c r="F1333" s="97" t="b">
        <v>0</v>
      </c>
      <c r="G1333" s="97" t="b">
        <v>0</v>
      </c>
      <c r="H1333" s="98"/>
      <c r="I1333" s="98"/>
      <c r="J1333" s="98"/>
      <c r="K1333" s="102"/>
      <c r="L1333" s="102"/>
      <c r="M1333" s="102"/>
      <c r="N1333" s="102"/>
      <c r="O1333" s="98"/>
      <c r="P1333" s="98"/>
      <c r="Q1333" s="98"/>
    </row>
    <row r="1334">
      <c r="A1334" s="96"/>
      <c r="B1334" s="97"/>
      <c r="C1334" s="97"/>
      <c r="D1334" s="97"/>
      <c r="E1334" s="97"/>
      <c r="F1334" s="97" t="b">
        <v>0</v>
      </c>
      <c r="G1334" s="97" t="b">
        <v>0</v>
      </c>
      <c r="H1334" s="98"/>
      <c r="I1334" s="98"/>
      <c r="J1334" s="98"/>
      <c r="K1334" s="102"/>
      <c r="L1334" s="102"/>
      <c r="M1334" s="102"/>
      <c r="N1334" s="102"/>
      <c r="O1334" s="98"/>
      <c r="P1334" s="98"/>
      <c r="Q1334" s="98"/>
    </row>
    <row r="1335">
      <c r="A1335" s="96"/>
      <c r="B1335" s="97"/>
      <c r="C1335" s="97"/>
      <c r="D1335" s="97"/>
      <c r="E1335" s="97"/>
      <c r="F1335" s="97" t="b">
        <v>0</v>
      </c>
      <c r="G1335" s="97" t="b">
        <v>0</v>
      </c>
      <c r="H1335" s="98"/>
      <c r="I1335" s="98"/>
      <c r="J1335" s="98"/>
      <c r="K1335" s="102"/>
      <c r="L1335" s="102"/>
      <c r="M1335" s="102"/>
      <c r="N1335" s="102"/>
      <c r="O1335" s="98"/>
      <c r="P1335" s="98"/>
      <c r="Q1335" s="98"/>
    </row>
    <row r="1336">
      <c r="A1336" s="96"/>
      <c r="B1336" s="97"/>
      <c r="C1336" s="97"/>
      <c r="D1336" s="97"/>
      <c r="E1336" s="97"/>
      <c r="F1336" s="97" t="b">
        <v>0</v>
      </c>
      <c r="G1336" s="97" t="b">
        <v>0</v>
      </c>
      <c r="H1336" s="98"/>
      <c r="I1336" s="98"/>
      <c r="J1336" s="98"/>
      <c r="K1336" s="102"/>
      <c r="L1336" s="102"/>
      <c r="M1336" s="102"/>
      <c r="N1336" s="102"/>
      <c r="O1336" s="98"/>
      <c r="P1336" s="98"/>
      <c r="Q1336" s="98"/>
    </row>
    <row r="1337">
      <c r="A1337" s="96"/>
      <c r="B1337" s="97"/>
      <c r="C1337" s="97"/>
      <c r="D1337" s="97"/>
      <c r="E1337" s="97"/>
      <c r="F1337" s="97" t="b">
        <v>0</v>
      </c>
      <c r="G1337" s="97" t="b">
        <v>0</v>
      </c>
      <c r="H1337" s="98"/>
      <c r="I1337" s="98"/>
      <c r="J1337" s="98"/>
      <c r="K1337" s="102"/>
      <c r="L1337" s="102"/>
      <c r="M1337" s="102"/>
      <c r="N1337" s="102"/>
      <c r="O1337" s="98"/>
      <c r="P1337" s="98"/>
      <c r="Q1337" s="98"/>
    </row>
    <row r="1338">
      <c r="A1338" s="96"/>
      <c r="B1338" s="97"/>
      <c r="C1338" s="97"/>
      <c r="D1338" s="97"/>
      <c r="E1338" s="97"/>
      <c r="F1338" s="97" t="b">
        <v>0</v>
      </c>
      <c r="G1338" s="97" t="b">
        <v>0</v>
      </c>
      <c r="H1338" s="98"/>
      <c r="I1338" s="98"/>
      <c r="J1338" s="98"/>
      <c r="K1338" s="102"/>
      <c r="L1338" s="102"/>
      <c r="M1338" s="102"/>
      <c r="N1338" s="102"/>
      <c r="O1338" s="98"/>
      <c r="P1338" s="98"/>
      <c r="Q1338" s="98"/>
    </row>
    <row r="1339">
      <c r="A1339" s="96"/>
      <c r="B1339" s="97"/>
      <c r="C1339" s="97"/>
      <c r="D1339" s="97"/>
      <c r="E1339" s="97"/>
      <c r="F1339" s="97" t="b">
        <v>0</v>
      </c>
      <c r="G1339" s="97" t="b">
        <v>0</v>
      </c>
      <c r="H1339" s="98"/>
      <c r="I1339" s="98"/>
      <c r="J1339" s="98"/>
      <c r="K1339" s="102"/>
      <c r="L1339" s="102"/>
      <c r="M1339" s="102"/>
      <c r="N1339" s="102"/>
      <c r="O1339" s="98"/>
      <c r="P1339" s="98"/>
      <c r="Q1339" s="98"/>
    </row>
    <row r="1340">
      <c r="A1340" s="96"/>
      <c r="B1340" s="97"/>
      <c r="C1340" s="97"/>
      <c r="D1340" s="97"/>
      <c r="E1340" s="97"/>
      <c r="F1340" s="97" t="b">
        <v>0</v>
      </c>
      <c r="G1340" s="97" t="b">
        <v>0</v>
      </c>
      <c r="H1340" s="98"/>
      <c r="I1340" s="98"/>
      <c r="J1340" s="98"/>
      <c r="K1340" s="102"/>
      <c r="L1340" s="102"/>
      <c r="M1340" s="102"/>
      <c r="N1340" s="102"/>
      <c r="O1340" s="98"/>
      <c r="P1340" s="98"/>
      <c r="Q1340" s="98"/>
    </row>
    <row r="1341">
      <c r="A1341" s="96"/>
      <c r="B1341" s="97"/>
      <c r="C1341" s="97"/>
      <c r="D1341" s="97"/>
      <c r="E1341" s="97"/>
      <c r="F1341" s="97" t="b">
        <v>0</v>
      </c>
      <c r="G1341" s="97" t="b">
        <v>0</v>
      </c>
      <c r="H1341" s="98"/>
      <c r="I1341" s="98"/>
      <c r="J1341" s="98"/>
      <c r="K1341" s="102"/>
      <c r="L1341" s="102"/>
      <c r="M1341" s="102"/>
      <c r="N1341" s="102"/>
      <c r="O1341" s="98"/>
      <c r="P1341" s="98"/>
      <c r="Q1341" s="98"/>
    </row>
    <row r="1342">
      <c r="A1342" s="96"/>
      <c r="B1342" s="97"/>
      <c r="C1342" s="97"/>
      <c r="D1342" s="97"/>
      <c r="E1342" s="97"/>
      <c r="F1342" s="97" t="b">
        <v>0</v>
      </c>
      <c r="G1342" s="97" t="b">
        <v>0</v>
      </c>
      <c r="H1342" s="98"/>
      <c r="I1342" s="98"/>
      <c r="J1342" s="98"/>
      <c r="K1342" s="102"/>
      <c r="L1342" s="102"/>
      <c r="M1342" s="102"/>
      <c r="N1342" s="102"/>
      <c r="O1342" s="98"/>
      <c r="P1342" s="98"/>
      <c r="Q1342" s="98"/>
    </row>
    <row r="1343">
      <c r="A1343" s="96"/>
      <c r="B1343" s="97"/>
      <c r="C1343" s="97"/>
      <c r="D1343" s="97"/>
      <c r="E1343" s="97"/>
      <c r="F1343" s="97" t="b">
        <v>0</v>
      </c>
      <c r="G1343" s="97" t="b">
        <v>0</v>
      </c>
      <c r="H1343" s="98"/>
      <c r="I1343" s="98"/>
      <c r="J1343" s="98"/>
      <c r="K1343" s="102"/>
      <c r="L1343" s="102"/>
      <c r="M1343" s="102"/>
      <c r="N1343" s="102"/>
      <c r="O1343" s="98"/>
      <c r="P1343" s="98"/>
      <c r="Q1343" s="98"/>
    </row>
    <row r="1344">
      <c r="A1344" s="96"/>
      <c r="B1344" s="97"/>
      <c r="C1344" s="97"/>
      <c r="D1344" s="97"/>
      <c r="E1344" s="97"/>
      <c r="F1344" s="97" t="b">
        <v>0</v>
      </c>
      <c r="G1344" s="97" t="b">
        <v>0</v>
      </c>
      <c r="H1344" s="98"/>
      <c r="I1344" s="98"/>
      <c r="J1344" s="98"/>
      <c r="K1344" s="102"/>
      <c r="L1344" s="102"/>
      <c r="M1344" s="102"/>
      <c r="N1344" s="102"/>
      <c r="O1344" s="98"/>
      <c r="P1344" s="98"/>
      <c r="Q1344" s="98"/>
    </row>
    <row r="1345">
      <c r="A1345" s="96"/>
      <c r="B1345" s="97"/>
      <c r="C1345" s="97"/>
      <c r="D1345" s="97"/>
      <c r="E1345" s="97"/>
      <c r="F1345" s="97" t="b">
        <v>0</v>
      </c>
      <c r="G1345" s="97" t="b">
        <v>0</v>
      </c>
      <c r="H1345" s="98"/>
      <c r="I1345" s="98"/>
      <c r="J1345" s="98"/>
      <c r="K1345" s="102"/>
      <c r="L1345" s="102"/>
      <c r="M1345" s="102"/>
      <c r="N1345" s="102"/>
      <c r="O1345" s="98"/>
      <c r="P1345" s="98"/>
      <c r="Q1345" s="98"/>
    </row>
    <row r="1346">
      <c r="A1346" s="96"/>
      <c r="B1346" s="97"/>
      <c r="C1346" s="97"/>
      <c r="D1346" s="97"/>
      <c r="E1346" s="97"/>
      <c r="F1346" s="97" t="b">
        <v>0</v>
      </c>
      <c r="G1346" s="97" t="b">
        <v>0</v>
      </c>
      <c r="H1346" s="98"/>
      <c r="I1346" s="98"/>
      <c r="J1346" s="98"/>
      <c r="K1346" s="102"/>
      <c r="L1346" s="102"/>
      <c r="M1346" s="102"/>
      <c r="N1346" s="102"/>
      <c r="O1346" s="98"/>
      <c r="P1346" s="98"/>
      <c r="Q1346" s="98"/>
    </row>
    <row r="1347">
      <c r="A1347" s="96"/>
      <c r="B1347" s="97"/>
      <c r="C1347" s="97"/>
      <c r="D1347" s="97"/>
      <c r="E1347" s="97"/>
      <c r="F1347" s="97" t="b">
        <v>0</v>
      </c>
      <c r="G1347" s="97" t="b">
        <v>0</v>
      </c>
      <c r="H1347" s="98"/>
      <c r="I1347" s="98"/>
      <c r="J1347" s="98"/>
      <c r="K1347" s="102"/>
      <c r="L1347" s="102"/>
      <c r="M1347" s="102"/>
      <c r="N1347" s="102"/>
      <c r="O1347" s="98"/>
      <c r="P1347" s="98"/>
      <c r="Q1347" s="98"/>
    </row>
    <row r="1348">
      <c r="A1348" s="96"/>
      <c r="B1348" s="97"/>
      <c r="C1348" s="97"/>
      <c r="D1348" s="97"/>
      <c r="E1348" s="97"/>
      <c r="F1348" s="97" t="b">
        <v>0</v>
      </c>
      <c r="G1348" s="97" t="b">
        <v>0</v>
      </c>
      <c r="H1348" s="98"/>
      <c r="I1348" s="98"/>
      <c r="J1348" s="98"/>
      <c r="K1348" s="102"/>
      <c r="L1348" s="102"/>
      <c r="M1348" s="102"/>
      <c r="N1348" s="102"/>
      <c r="O1348" s="98"/>
      <c r="P1348" s="98"/>
      <c r="Q1348" s="98"/>
    </row>
    <row r="1349">
      <c r="A1349" s="96"/>
      <c r="B1349" s="97"/>
      <c r="C1349" s="97"/>
      <c r="D1349" s="97"/>
      <c r="E1349" s="97"/>
      <c r="F1349" s="97" t="b">
        <v>0</v>
      </c>
      <c r="G1349" s="97" t="b">
        <v>0</v>
      </c>
      <c r="H1349" s="98"/>
      <c r="I1349" s="98"/>
      <c r="J1349" s="98"/>
      <c r="K1349" s="102"/>
      <c r="L1349" s="102"/>
      <c r="M1349" s="102"/>
      <c r="N1349" s="102"/>
      <c r="O1349" s="98"/>
      <c r="P1349" s="98"/>
      <c r="Q1349" s="98"/>
    </row>
    <row r="1350">
      <c r="A1350" s="96"/>
      <c r="B1350" s="97"/>
      <c r="C1350" s="97"/>
      <c r="D1350" s="97"/>
      <c r="E1350" s="97"/>
      <c r="F1350" s="97" t="b">
        <v>0</v>
      </c>
      <c r="G1350" s="97" t="b">
        <v>0</v>
      </c>
      <c r="H1350" s="98"/>
      <c r="I1350" s="98"/>
      <c r="J1350" s="98"/>
      <c r="K1350" s="102"/>
      <c r="L1350" s="102"/>
      <c r="M1350" s="102"/>
      <c r="N1350" s="102"/>
      <c r="O1350" s="98"/>
      <c r="P1350" s="98"/>
      <c r="Q1350" s="98"/>
    </row>
    <row r="1351">
      <c r="A1351" s="96"/>
      <c r="B1351" s="97"/>
      <c r="C1351" s="97"/>
      <c r="D1351" s="97"/>
      <c r="E1351" s="97"/>
      <c r="F1351" s="97" t="b">
        <v>0</v>
      </c>
      <c r="G1351" s="97" t="b">
        <v>0</v>
      </c>
      <c r="H1351" s="98"/>
      <c r="I1351" s="98"/>
      <c r="J1351" s="98"/>
      <c r="K1351" s="102"/>
      <c r="L1351" s="102"/>
      <c r="M1351" s="102"/>
      <c r="N1351" s="102"/>
      <c r="O1351" s="98"/>
      <c r="P1351" s="98"/>
      <c r="Q1351" s="98"/>
    </row>
    <row r="1352">
      <c r="A1352" s="96"/>
      <c r="B1352" s="97"/>
      <c r="C1352" s="97"/>
      <c r="D1352" s="97"/>
      <c r="E1352" s="97"/>
      <c r="F1352" s="97" t="b">
        <v>0</v>
      </c>
      <c r="G1352" s="97" t="b">
        <v>0</v>
      </c>
      <c r="H1352" s="98"/>
      <c r="I1352" s="98"/>
      <c r="J1352" s="98"/>
      <c r="K1352" s="102"/>
      <c r="L1352" s="102"/>
      <c r="M1352" s="102"/>
      <c r="N1352" s="102"/>
      <c r="O1352" s="98"/>
      <c r="P1352" s="98"/>
      <c r="Q1352" s="98"/>
    </row>
    <row r="1353">
      <c r="A1353" s="96"/>
      <c r="B1353" s="97"/>
      <c r="C1353" s="97"/>
      <c r="D1353" s="97"/>
      <c r="E1353" s="97"/>
      <c r="F1353" s="97" t="b">
        <v>0</v>
      </c>
      <c r="G1353" s="97" t="b">
        <v>0</v>
      </c>
      <c r="H1353" s="98"/>
      <c r="I1353" s="98"/>
      <c r="J1353" s="98"/>
      <c r="K1353" s="102"/>
      <c r="L1353" s="102"/>
      <c r="M1353" s="102"/>
      <c r="N1353" s="102"/>
      <c r="O1353" s="98"/>
      <c r="P1353" s="98"/>
      <c r="Q1353" s="98"/>
    </row>
    <row r="1354">
      <c r="A1354" s="96"/>
      <c r="B1354" s="97"/>
      <c r="C1354" s="97"/>
      <c r="D1354" s="97"/>
      <c r="E1354" s="97"/>
      <c r="F1354" s="97" t="b">
        <v>0</v>
      </c>
      <c r="G1354" s="97" t="b">
        <v>0</v>
      </c>
      <c r="H1354" s="98"/>
      <c r="I1354" s="98"/>
      <c r="J1354" s="98"/>
      <c r="K1354" s="102"/>
      <c r="L1354" s="102"/>
      <c r="M1354" s="102"/>
      <c r="N1354" s="102"/>
      <c r="O1354" s="98"/>
      <c r="P1354" s="98"/>
      <c r="Q1354" s="98"/>
    </row>
    <row r="1355">
      <c r="A1355" s="96"/>
      <c r="B1355" s="97"/>
      <c r="C1355" s="97"/>
      <c r="D1355" s="97"/>
      <c r="E1355" s="97"/>
      <c r="F1355" s="97" t="b">
        <v>0</v>
      </c>
      <c r="G1355" s="97" t="b">
        <v>0</v>
      </c>
      <c r="H1355" s="98"/>
      <c r="I1355" s="98"/>
      <c r="J1355" s="98"/>
      <c r="K1355" s="102"/>
      <c r="L1355" s="102"/>
      <c r="M1355" s="102"/>
      <c r="N1355" s="102"/>
      <c r="O1355" s="98"/>
      <c r="P1355" s="98"/>
      <c r="Q1355" s="98"/>
    </row>
    <row r="1356">
      <c r="A1356" s="96"/>
      <c r="B1356" s="97"/>
      <c r="C1356" s="97"/>
      <c r="D1356" s="97"/>
      <c r="E1356" s="97"/>
      <c r="F1356" s="97" t="b">
        <v>0</v>
      </c>
      <c r="G1356" s="97" t="b">
        <v>0</v>
      </c>
      <c r="H1356" s="98"/>
      <c r="I1356" s="98"/>
      <c r="J1356" s="98"/>
      <c r="K1356" s="102"/>
      <c r="L1356" s="102"/>
      <c r="M1356" s="102"/>
      <c r="N1356" s="102"/>
      <c r="O1356" s="98"/>
      <c r="P1356" s="98"/>
      <c r="Q1356" s="98"/>
    </row>
    <row r="1357">
      <c r="A1357" s="96"/>
      <c r="B1357" s="97"/>
      <c r="C1357" s="97"/>
      <c r="D1357" s="97"/>
      <c r="E1357" s="97"/>
      <c r="F1357" s="97" t="b">
        <v>0</v>
      </c>
      <c r="G1357" s="97" t="b">
        <v>0</v>
      </c>
      <c r="H1357" s="98"/>
      <c r="I1357" s="98"/>
      <c r="J1357" s="98"/>
      <c r="K1357" s="102"/>
      <c r="L1357" s="102"/>
      <c r="M1357" s="102"/>
      <c r="N1357" s="102"/>
      <c r="O1357" s="98"/>
      <c r="P1357" s="98"/>
      <c r="Q1357" s="98"/>
    </row>
    <row r="1358">
      <c r="A1358" s="96"/>
      <c r="B1358" s="97"/>
      <c r="C1358" s="97"/>
      <c r="D1358" s="97"/>
      <c r="E1358" s="97"/>
      <c r="F1358" s="97" t="b">
        <v>0</v>
      </c>
      <c r="G1358" s="97" t="b">
        <v>0</v>
      </c>
      <c r="H1358" s="98"/>
      <c r="I1358" s="98"/>
      <c r="J1358" s="98"/>
      <c r="K1358" s="102"/>
      <c r="L1358" s="102"/>
      <c r="M1358" s="102"/>
      <c r="N1358" s="102"/>
      <c r="O1358" s="98"/>
      <c r="P1358" s="98"/>
      <c r="Q1358" s="98"/>
    </row>
    <row r="1359">
      <c r="A1359" s="96"/>
      <c r="B1359" s="97"/>
      <c r="C1359" s="97"/>
      <c r="D1359" s="97"/>
      <c r="E1359" s="97"/>
      <c r="F1359" s="97" t="b">
        <v>0</v>
      </c>
      <c r="G1359" s="97" t="b">
        <v>0</v>
      </c>
      <c r="H1359" s="98"/>
      <c r="I1359" s="98"/>
      <c r="J1359" s="98"/>
      <c r="K1359" s="102"/>
      <c r="L1359" s="102"/>
      <c r="M1359" s="102"/>
      <c r="N1359" s="102"/>
      <c r="O1359" s="98"/>
      <c r="P1359" s="98"/>
      <c r="Q1359" s="98"/>
    </row>
    <row r="1360">
      <c r="A1360" s="96"/>
      <c r="B1360" s="97"/>
      <c r="C1360" s="97"/>
      <c r="D1360" s="97"/>
      <c r="E1360" s="97"/>
      <c r="F1360" s="97" t="b">
        <v>0</v>
      </c>
      <c r="G1360" s="97" t="b">
        <v>0</v>
      </c>
      <c r="H1360" s="98"/>
      <c r="I1360" s="98"/>
      <c r="J1360" s="98"/>
      <c r="K1360" s="102"/>
      <c r="L1360" s="102"/>
      <c r="M1360" s="102"/>
      <c r="N1360" s="102"/>
      <c r="O1360" s="98"/>
      <c r="P1360" s="98"/>
      <c r="Q1360" s="98"/>
    </row>
    <row r="1361">
      <c r="A1361" s="96"/>
      <c r="B1361" s="97"/>
      <c r="C1361" s="97"/>
      <c r="D1361" s="97"/>
      <c r="E1361" s="97"/>
      <c r="F1361" s="97" t="b">
        <v>0</v>
      </c>
      <c r="G1361" s="97" t="b">
        <v>0</v>
      </c>
      <c r="H1361" s="98"/>
      <c r="I1361" s="98"/>
      <c r="J1361" s="98"/>
      <c r="K1361" s="102"/>
      <c r="L1361" s="102"/>
      <c r="M1361" s="102"/>
      <c r="N1361" s="102"/>
      <c r="O1361" s="98"/>
      <c r="P1361" s="98"/>
      <c r="Q1361" s="98"/>
    </row>
    <row r="1362">
      <c r="A1362" s="96"/>
      <c r="B1362" s="97"/>
      <c r="C1362" s="97"/>
      <c r="D1362" s="97"/>
      <c r="E1362" s="97"/>
      <c r="F1362" s="97" t="b">
        <v>0</v>
      </c>
      <c r="G1362" s="97" t="b">
        <v>0</v>
      </c>
      <c r="H1362" s="98"/>
      <c r="I1362" s="98"/>
      <c r="J1362" s="98"/>
      <c r="K1362" s="102"/>
      <c r="L1362" s="102"/>
      <c r="M1362" s="102"/>
      <c r="N1362" s="102"/>
      <c r="O1362" s="98"/>
      <c r="P1362" s="98"/>
      <c r="Q1362" s="98"/>
    </row>
    <row r="1363">
      <c r="A1363" s="96"/>
      <c r="B1363" s="97"/>
      <c r="C1363" s="97"/>
      <c r="D1363" s="97"/>
      <c r="E1363" s="97"/>
      <c r="F1363" s="97" t="b">
        <v>0</v>
      </c>
      <c r="G1363" s="97" t="b">
        <v>0</v>
      </c>
      <c r="H1363" s="98"/>
      <c r="I1363" s="98"/>
      <c r="J1363" s="98"/>
      <c r="K1363" s="102"/>
      <c r="L1363" s="102"/>
      <c r="M1363" s="102"/>
      <c r="N1363" s="102"/>
      <c r="O1363" s="98"/>
      <c r="P1363" s="98"/>
      <c r="Q1363" s="98"/>
    </row>
    <row r="1364">
      <c r="A1364" s="96"/>
      <c r="B1364" s="97"/>
      <c r="C1364" s="97"/>
      <c r="D1364" s="97"/>
      <c r="E1364" s="97"/>
      <c r="F1364" s="97" t="b">
        <v>0</v>
      </c>
      <c r="G1364" s="97" t="b">
        <v>0</v>
      </c>
      <c r="H1364" s="98"/>
      <c r="I1364" s="98"/>
      <c r="J1364" s="98"/>
      <c r="K1364" s="102"/>
      <c r="L1364" s="102"/>
      <c r="M1364" s="102"/>
      <c r="N1364" s="102"/>
      <c r="O1364" s="98"/>
      <c r="P1364" s="98"/>
      <c r="Q1364" s="98"/>
    </row>
    <row r="1365">
      <c r="A1365" s="96"/>
      <c r="B1365" s="97"/>
      <c r="C1365" s="97"/>
      <c r="D1365" s="97"/>
      <c r="E1365" s="97"/>
      <c r="F1365" s="97" t="b">
        <v>0</v>
      </c>
      <c r="G1365" s="97" t="b">
        <v>0</v>
      </c>
      <c r="H1365" s="98"/>
      <c r="I1365" s="98"/>
      <c r="J1365" s="98"/>
      <c r="K1365" s="102"/>
      <c r="L1365" s="102"/>
      <c r="M1365" s="102"/>
      <c r="N1365" s="102"/>
      <c r="O1365" s="98"/>
      <c r="P1365" s="98"/>
      <c r="Q1365" s="98"/>
    </row>
    <row r="1366">
      <c r="A1366" s="96"/>
      <c r="B1366" s="97"/>
      <c r="C1366" s="97"/>
      <c r="D1366" s="97"/>
      <c r="E1366" s="97"/>
      <c r="F1366" s="97" t="b">
        <v>0</v>
      </c>
      <c r="G1366" s="97" t="b">
        <v>0</v>
      </c>
      <c r="H1366" s="98"/>
      <c r="I1366" s="98"/>
      <c r="J1366" s="98"/>
      <c r="K1366" s="102"/>
      <c r="L1366" s="102"/>
      <c r="M1366" s="102"/>
      <c r="N1366" s="102"/>
      <c r="O1366" s="98"/>
      <c r="P1366" s="98"/>
      <c r="Q1366" s="98"/>
    </row>
    <row r="1367">
      <c r="A1367" s="96"/>
      <c r="B1367" s="97"/>
      <c r="C1367" s="97"/>
      <c r="D1367" s="97"/>
      <c r="E1367" s="97"/>
      <c r="F1367" s="97" t="b">
        <v>0</v>
      </c>
      <c r="G1367" s="97" t="b">
        <v>0</v>
      </c>
      <c r="H1367" s="98"/>
      <c r="I1367" s="98"/>
      <c r="J1367" s="98"/>
      <c r="K1367" s="102"/>
      <c r="L1367" s="102"/>
      <c r="M1367" s="102"/>
      <c r="N1367" s="102"/>
      <c r="O1367" s="98"/>
      <c r="P1367" s="98"/>
      <c r="Q1367" s="98"/>
    </row>
    <row r="1368">
      <c r="A1368" s="96"/>
      <c r="B1368" s="97"/>
      <c r="C1368" s="97"/>
      <c r="D1368" s="97"/>
      <c r="E1368" s="97"/>
      <c r="F1368" s="97" t="b">
        <v>0</v>
      </c>
      <c r="G1368" s="97" t="b">
        <v>0</v>
      </c>
      <c r="H1368" s="98"/>
      <c r="I1368" s="98"/>
      <c r="J1368" s="98"/>
      <c r="K1368" s="102"/>
      <c r="L1368" s="102"/>
      <c r="M1368" s="102"/>
      <c r="N1368" s="102"/>
      <c r="O1368" s="98"/>
      <c r="P1368" s="98"/>
      <c r="Q1368" s="98"/>
    </row>
    <row r="1369">
      <c r="A1369" s="96"/>
      <c r="B1369" s="97"/>
      <c r="C1369" s="97"/>
      <c r="D1369" s="97"/>
      <c r="E1369" s="97"/>
      <c r="F1369" s="97" t="b">
        <v>0</v>
      </c>
      <c r="G1369" s="97" t="b">
        <v>0</v>
      </c>
      <c r="H1369" s="98"/>
      <c r="I1369" s="98"/>
      <c r="J1369" s="98"/>
      <c r="K1369" s="102"/>
      <c r="L1369" s="102"/>
      <c r="M1369" s="102"/>
      <c r="N1369" s="102"/>
      <c r="O1369" s="98"/>
      <c r="P1369" s="98"/>
      <c r="Q1369" s="98"/>
    </row>
    <row r="1370">
      <c r="A1370" s="96"/>
      <c r="B1370" s="97"/>
      <c r="C1370" s="97"/>
      <c r="D1370" s="97"/>
      <c r="E1370" s="97"/>
      <c r="F1370" s="97" t="b">
        <v>0</v>
      </c>
      <c r="G1370" s="97" t="b">
        <v>0</v>
      </c>
      <c r="H1370" s="98"/>
      <c r="I1370" s="98"/>
      <c r="J1370" s="98"/>
      <c r="K1370" s="102"/>
      <c r="L1370" s="102"/>
      <c r="M1370" s="102"/>
      <c r="N1370" s="102"/>
      <c r="O1370" s="98"/>
      <c r="P1370" s="98"/>
      <c r="Q1370" s="98"/>
    </row>
    <row r="1371">
      <c r="A1371" s="96"/>
      <c r="B1371" s="97"/>
      <c r="C1371" s="97"/>
      <c r="D1371" s="97"/>
      <c r="E1371" s="97"/>
      <c r="F1371" s="97" t="b">
        <v>0</v>
      </c>
      <c r="G1371" s="97" t="b">
        <v>0</v>
      </c>
      <c r="H1371" s="98"/>
      <c r="I1371" s="98"/>
      <c r="J1371" s="98"/>
      <c r="K1371" s="102"/>
      <c r="L1371" s="102"/>
      <c r="M1371" s="102"/>
      <c r="N1371" s="102"/>
      <c r="O1371" s="98"/>
      <c r="P1371" s="98"/>
      <c r="Q1371" s="98"/>
    </row>
    <row r="1372">
      <c r="A1372" s="96"/>
      <c r="B1372" s="97"/>
      <c r="C1372" s="97"/>
      <c r="D1372" s="97"/>
      <c r="E1372" s="97"/>
      <c r="F1372" s="97" t="b">
        <v>0</v>
      </c>
      <c r="G1372" s="97" t="b">
        <v>0</v>
      </c>
      <c r="H1372" s="98"/>
      <c r="I1372" s="98"/>
      <c r="J1372" s="98"/>
      <c r="K1372" s="102"/>
      <c r="L1372" s="102"/>
      <c r="M1372" s="102"/>
      <c r="N1372" s="102"/>
      <c r="O1372" s="98"/>
      <c r="P1372" s="98"/>
      <c r="Q1372" s="98"/>
    </row>
    <row r="1373">
      <c r="A1373" s="96"/>
      <c r="B1373" s="97"/>
      <c r="C1373" s="97"/>
      <c r="D1373" s="97"/>
      <c r="E1373" s="97"/>
      <c r="F1373" s="97" t="b">
        <v>0</v>
      </c>
      <c r="G1373" s="97" t="b">
        <v>0</v>
      </c>
      <c r="H1373" s="98"/>
      <c r="I1373" s="98"/>
      <c r="J1373" s="98"/>
      <c r="K1373" s="102"/>
      <c r="L1373" s="102"/>
      <c r="M1373" s="102"/>
      <c r="N1373" s="102"/>
      <c r="O1373" s="98"/>
      <c r="P1373" s="98"/>
      <c r="Q1373" s="98"/>
    </row>
    <row r="1374">
      <c r="A1374" s="96"/>
      <c r="B1374" s="97"/>
      <c r="C1374" s="97"/>
      <c r="D1374" s="97"/>
      <c r="E1374" s="97"/>
      <c r="F1374" s="97" t="b">
        <v>0</v>
      </c>
      <c r="G1374" s="97" t="b">
        <v>0</v>
      </c>
      <c r="H1374" s="98"/>
      <c r="I1374" s="98"/>
      <c r="J1374" s="98"/>
      <c r="K1374" s="102"/>
      <c r="L1374" s="102"/>
      <c r="M1374" s="102"/>
      <c r="N1374" s="102"/>
      <c r="O1374" s="98"/>
      <c r="P1374" s="98"/>
      <c r="Q1374" s="98"/>
    </row>
    <row r="1375">
      <c r="A1375" s="96"/>
      <c r="B1375" s="97"/>
      <c r="C1375" s="97"/>
      <c r="D1375" s="97"/>
      <c r="E1375" s="97"/>
      <c r="F1375" s="97" t="b">
        <v>0</v>
      </c>
      <c r="G1375" s="97" t="b">
        <v>0</v>
      </c>
      <c r="H1375" s="98"/>
      <c r="I1375" s="98"/>
      <c r="J1375" s="98"/>
      <c r="K1375" s="102"/>
      <c r="L1375" s="102"/>
      <c r="M1375" s="102"/>
      <c r="N1375" s="102"/>
      <c r="O1375" s="98"/>
      <c r="P1375" s="98"/>
      <c r="Q1375" s="98"/>
    </row>
    <row r="1376">
      <c r="A1376" s="96"/>
      <c r="B1376" s="97"/>
      <c r="C1376" s="97"/>
      <c r="D1376" s="97"/>
      <c r="E1376" s="97"/>
      <c r="F1376" s="97" t="b">
        <v>0</v>
      </c>
      <c r="G1376" s="97" t="b">
        <v>0</v>
      </c>
      <c r="H1376" s="98"/>
      <c r="I1376" s="98"/>
      <c r="J1376" s="98"/>
      <c r="K1376" s="102"/>
      <c r="L1376" s="102"/>
      <c r="M1376" s="102"/>
      <c r="N1376" s="102"/>
      <c r="O1376" s="98"/>
      <c r="P1376" s="98"/>
      <c r="Q1376" s="98"/>
    </row>
    <row r="1377">
      <c r="A1377" s="96"/>
      <c r="B1377" s="97"/>
      <c r="C1377" s="97"/>
      <c r="D1377" s="97"/>
      <c r="E1377" s="97"/>
      <c r="F1377" s="97" t="b">
        <v>0</v>
      </c>
      <c r="G1377" s="97" t="b">
        <v>0</v>
      </c>
      <c r="H1377" s="98"/>
      <c r="I1377" s="98"/>
      <c r="J1377" s="98"/>
      <c r="K1377" s="102"/>
      <c r="L1377" s="102"/>
      <c r="M1377" s="102"/>
      <c r="N1377" s="102"/>
      <c r="O1377" s="98"/>
      <c r="P1377" s="98"/>
      <c r="Q1377" s="98"/>
    </row>
    <row r="1378">
      <c r="A1378" s="96"/>
      <c r="B1378" s="97"/>
      <c r="C1378" s="97"/>
      <c r="D1378" s="97"/>
      <c r="E1378" s="97"/>
      <c r="F1378" s="97" t="b">
        <v>0</v>
      </c>
      <c r="G1378" s="97" t="b">
        <v>0</v>
      </c>
      <c r="H1378" s="98"/>
      <c r="I1378" s="98"/>
      <c r="J1378" s="98"/>
      <c r="K1378" s="102"/>
      <c r="L1378" s="102"/>
      <c r="M1378" s="102"/>
      <c r="N1378" s="102"/>
      <c r="O1378" s="98"/>
      <c r="P1378" s="98"/>
      <c r="Q1378" s="98"/>
    </row>
    <row r="1379">
      <c r="A1379" s="96"/>
      <c r="B1379" s="97"/>
      <c r="C1379" s="97"/>
      <c r="D1379" s="97"/>
      <c r="E1379" s="97"/>
      <c r="F1379" s="97" t="b">
        <v>0</v>
      </c>
      <c r="G1379" s="97" t="b">
        <v>0</v>
      </c>
      <c r="H1379" s="98"/>
      <c r="I1379" s="98"/>
      <c r="J1379" s="98"/>
      <c r="K1379" s="102"/>
      <c r="L1379" s="102"/>
      <c r="M1379" s="102"/>
      <c r="N1379" s="102"/>
      <c r="O1379" s="98"/>
      <c r="P1379" s="98"/>
      <c r="Q1379" s="98"/>
    </row>
    <row r="1380">
      <c r="A1380" s="96"/>
      <c r="B1380" s="97"/>
      <c r="C1380" s="97"/>
      <c r="D1380" s="97"/>
      <c r="E1380" s="97"/>
      <c r="F1380" s="97" t="b">
        <v>0</v>
      </c>
      <c r="G1380" s="97" t="b">
        <v>0</v>
      </c>
      <c r="H1380" s="98"/>
      <c r="I1380" s="98"/>
      <c r="J1380" s="98"/>
      <c r="K1380" s="102"/>
      <c r="L1380" s="102"/>
      <c r="M1380" s="102"/>
      <c r="N1380" s="102"/>
      <c r="O1380" s="98"/>
      <c r="P1380" s="98"/>
      <c r="Q1380" s="98"/>
    </row>
    <row r="1381">
      <c r="A1381" s="96"/>
      <c r="B1381" s="97"/>
      <c r="C1381" s="97"/>
      <c r="D1381" s="97"/>
      <c r="E1381" s="97"/>
      <c r="F1381" s="97" t="b">
        <v>0</v>
      </c>
      <c r="G1381" s="97" t="b">
        <v>0</v>
      </c>
      <c r="H1381" s="98"/>
      <c r="I1381" s="98"/>
      <c r="J1381" s="98"/>
      <c r="K1381" s="102"/>
      <c r="L1381" s="102"/>
      <c r="M1381" s="102"/>
      <c r="N1381" s="102"/>
      <c r="O1381" s="98"/>
      <c r="P1381" s="98"/>
      <c r="Q1381" s="98"/>
    </row>
    <row r="1382">
      <c r="A1382" s="96"/>
      <c r="B1382" s="97"/>
      <c r="C1382" s="97"/>
      <c r="D1382" s="97"/>
      <c r="E1382" s="97"/>
      <c r="F1382" s="97" t="b">
        <v>0</v>
      </c>
      <c r="G1382" s="97" t="b">
        <v>0</v>
      </c>
      <c r="H1382" s="98"/>
      <c r="I1382" s="98"/>
      <c r="J1382" s="98"/>
      <c r="K1382" s="102"/>
      <c r="L1382" s="102"/>
      <c r="M1382" s="102"/>
      <c r="N1382" s="102"/>
      <c r="O1382" s="98"/>
      <c r="P1382" s="98"/>
      <c r="Q1382" s="98"/>
    </row>
    <row r="1383">
      <c r="A1383" s="96"/>
      <c r="B1383" s="97"/>
      <c r="C1383" s="97"/>
      <c r="D1383" s="97"/>
      <c r="E1383" s="97"/>
      <c r="F1383" s="97" t="b">
        <v>0</v>
      </c>
      <c r="G1383" s="97" t="b">
        <v>0</v>
      </c>
      <c r="H1383" s="98"/>
      <c r="I1383" s="98"/>
      <c r="J1383" s="98"/>
      <c r="K1383" s="102"/>
      <c r="L1383" s="102"/>
      <c r="M1383" s="102"/>
      <c r="N1383" s="102"/>
      <c r="O1383" s="98"/>
      <c r="P1383" s="98"/>
      <c r="Q1383" s="98"/>
    </row>
    <row r="1384">
      <c r="A1384" s="96"/>
      <c r="B1384" s="97"/>
      <c r="C1384" s="97"/>
      <c r="D1384" s="97"/>
      <c r="E1384" s="97"/>
      <c r="F1384" s="97" t="b">
        <v>0</v>
      </c>
      <c r="G1384" s="97" t="b">
        <v>0</v>
      </c>
      <c r="H1384" s="98"/>
      <c r="I1384" s="98"/>
      <c r="J1384" s="98"/>
      <c r="K1384" s="102"/>
      <c r="L1384" s="102"/>
      <c r="M1384" s="102"/>
      <c r="N1384" s="102"/>
      <c r="O1384" s="98"/>
      <c r="P1384" s="98"/>
      <c r="Q1384" s="98"/>
    </row>
    <row r="1385">
      <c r="A1385" s="96"/>
      <c r="B1385" s="97"/>
      <c r="C1385" s="97"/>
      <c r="D1385" s="97"/>
      <c r="E1385" s="97"/>
      <c r="F1385" s="97" t="b">
        <v>0</v>
      </c>
      <c r="G1385" s="97" t="b">
        <v>0</v>
      </c>
      <c r="H1385" s="98"/>
      <c r="I1385" s="98"/>
      <c r="J1385" s="98"/>
      <c r="K1385" s="102"/>
      <c r="L1385" s="102"/>
      <c r="M1385" s="102"/>
      <c r="N1385" s="102"/>
      <c r="O1385" s="98"/>
      <c r="P1385" s="98"/>
      <c r="Q1385" s="98"/>
    </row>
    <row r="1386">
      <c r="A1386" s="96"/>
      <c r="B1386" s="97"/>
      <c r="C1386" s="97"/>
      <c r="D1386" s="97"/>
      <c r="E1386" s="97"/>
      <c r="F1386" s="97" t="b">
        <v>0</v>
      </c>
      <c r="G1386" s="97" t="b">
        <v>0</v>
      </c>
      <c r="H1386" s="98"/>
      <c r="I1386" s="98"/>
      <c r="J1386" s="98"/>
      <c r="K1386" s="102"/>
      <c r="L1386" s="102"/>
      <c r="M1386" s="102"/>
      <c r="N1386" s="102"/>
      <c r="O1386" s="98"/>
      <c r="P1386" s="98"/>
      <c r="Q1386" s="98"/>
    </row>
    <row r="1387">
      <c r="A1387" s="96"/>
      <c r="B1387" s="97"/>
      <c r="C1387" s="97"/>
      <c r="D1387" s="97"/>
      <c r="E1387" s="97"/>
      <c r="F1387" s="97" t="b">
        <v>0</v>
      </c>
      <c r="G1387" s="97" t="b">
        <v>0</v>
      </c>
      <c r="H1387" s="98"/>
      <c r="I1387" s="98"/>
      <c r="J1387" s="98"/>
      <c r="K1387" s="102"/>
      <c r="L1387" s="102"/>
      <c r="M1387" s="102"/>
      <c r="N1387" s="102"/>
      <c r="O1387" s="98"/>
      <c r="P1387" s="98"/>
      <c r="Q1387" s="98"/>
    </row>
    <row r="1388">
      <c r="A1388" s="96"/>
      <c r="B1388" s="97"/>
      <c r="C1388" s="97"/>
      <c r="D1388" s="97"/>
      <c r="E1388" s="97"/>
      <c r="F1388" s="97" t="b">
        <v>0</v>
      </c>
      <c r="G1388" s="97" t="b">
        <v>0</v>
      </c>
      <c r="H1388" s="98"/>
      <c r="I1388" s="98"/>
      <c r="J1388" s="98"/>
      <c r="K1388" s="102"/>
      <c r="L1388" s="102"/>
      <c r="M1388" s="102"/>
      <c r="N1388" s="102"/>
      <c r="O1388" s="98"/>
      <c r="P1388" s="98"/>
      <c r="Q1388" s="98"/>
    </row>
    <row r="1389">
      <c r="A1389" s="96"/>
      <c r="B1389" s="97"/>
      <c r="C1389" s="97"/>
      <c r="D1389" s="97"/>
      <c r="E1389" s="97"/>
      <c r="F1389" s="97" t="b">
        <v>0</v>
      </c>
      <c r="G1389" s="97" t="b">
        <v>0</v>
      </c>
      <c r="H1389" s="98"/>
      <c r="I1389" s="98"/>
      <c r="J1389" s="98"/>
      <c r="K1389" s="102"/>
      <c r="L1389" s="102"/>
      <c r="M1389" s="102"/>
      <c r="N1389" s="102"/>
      <c r="O1389" s="98"/>
      <c r="P1389" s="98"/>
      <c r="Q1389" s="98"/>
    </row>
    <row r="1390">
      <c r="A1390" s="96"/>
      <c r="B1390" s="97"/>
      <c r="C1390" s="97"/>
      <c r="D1390" s="97"/>
      <c r="E1390" s="97"/>
      <c r="F1390" s="97" t="b">
        <v>0</v>
      </c>
      <c r="G1390" s="97" t="b">
        <v>0</v>
      </c>
      <c r="H1390" s="98"/>
      <c r="I1390" s="98"/>
      <c r="J1390" s="98"/>
      <c r="K1390" s="102"/>
      <c r="L1390" s="102"/>
      <c r="M1390" s="102"/>
      <c r="N1390" s="102"/>
      <c r="O1390" s="98"/>
      <c r="P1390" s="98"/>
      <c r="Q1390" s="98"/>
    </row>
    <row r="1391">
      <c r="A1391" s="96"/>
      <c r="B1391" s="97"/>
      <c r="C1391" s="97"/>
      <c r="D1391" s="97"/>
      <c r="E1391" s="97"/>
      <c r="F1391" s="97" t="b">
        <v>0</v>
      </c>
      <c r="G1391" s="97" t="b">
        <v>0</v>
      </c>
      <c r="H1391" s="98"/>
      <c r="I1391" s="98"/>
      <c r="J1391" s="98"/>
      <c r="K1391" s="102"/>
      <c r="L1391" s="102"/>
      <c r="M1391" s="102"/>
      <c r="N1391" s="102"/>
      <c r="O1391" s="98"/>
      <c r="P1391" s="98"/>
      <c r="Q1391" s="98"/>
    </row>
    <row r="1392">
      <c r="A1392" s="96"/>
      <c r="B1392" s="97"/>
      <c r="C1392" s="97"/>
      <c r="D1392" s="97"/>
      <c r="E1392" s="97"/>
      <c r="F1392" s="97" t="b">
        <v>0</v>
      </c>
      <c r="G1392" s="97" t="b">
        <v>0</v>
      </c>
      <c r="H1392" s="98"/>
      <c r="I1392" s="98"/>
      <c r="J1392" s="98"/>
      <c r="K1392" s="102"/>
      <c r="L1392" s="102"/>
      <c r="M1392" s="102"/>
      <c r="N1392" s="102"/>
      <c r="O1392" s="98"/>
      <c r="P1392" s="98"/>
      <c r="Q1392" s="98"/>
    </row>
    <row r="1393">
      <c r="A1393" s="96"/>
      <c r="B1393" s="97"/>
      <c r="C1393" s="97"/>
      <c r="D1393" s="97"/>
      <c r="E1393" s="97"/>
      <c r="F1393" s="97" t="b">
        <v>0</v>
      </c>
      <c r="G1393" s="97" t="b">
        <v>0</v>
      </c>
      <c r="H1393" s="98"/>
      <c r="I1393" s="98"/>
      <c r="J1393" s="98"/>
      <c r="K1393" s="102"/>
      <c r="L1393" s="102"/>
      <c r="M1393" s="102"/>
      <c r="N1393" s="102"/>
      <c r="O1393" s="98"/>
      <c r="P1393" s="98"/>
      <c r="Q1393" s="98"/>
    </row>
    <row r="1394">
      <c r="A1394" s="96"/>
      <c r="B1394" s="97"/>
      <c r="C1394" s="97"/>
      <c r="D1394" s="97"/>
      <c r="E1394" s="97"/>
      <c r="F1394" s="97" t="b">
        <v>0</v>
      </c>
      <c r="G1394" s="97" t="b">
        <v>0</v>
      </c>
      <c r="H1394" s="98"/>
      <c r="I1394" s="98"/>
      <c r="J1394" s="98"/>
      <c r="K1394" s="102"/>
      <c r="L1394" s="102"/>
      <c r="M1394" s="102"/>
      <c r="N1394" s="102"/>
      <c r="O1394" s="98"/>
      <c r="P1394" s="98"/>
      <c r="Q1394" s="98"/>
    </row>
    <row r="1395">
      <c r="A1395" s="96"/>
      <c r="B1395" s="97"/>
      <c r="C1395" s="97"/>
      <c r="D1395" s="97"/>
      <c r="E1395" s="97"/>
      <c r="F1395" s="97" t="b">
        <v>0</v>
      </c>
      <c r="G1395" s="97" t="b">
        <v>0</v>
      </c>
      <c r="H1395" s="98"/>
      <c r="I1395" s="98"/>
      <c r="J1395" s="98"/>
      <c r="K1395" s="102"/>
      <c r="L1395" s="102"/>
      <c r="M1395" s="102"/>
      <c r="N1395" s="102"/>
      <c r="O1395" s="98"/>
      <c r="P1395" s="98"/>
      <c r="Q1395" s="98"/>
    </row>
    <row r="1396">
      <c r="A1396" s="96"/>
      <c r="B1396" s="97"/>
      <c r="C1396" s="97"/>
      <c r="D1396" s="97"/>
      <c r="E1396" s="97"/>
      <c r="F1396" s="97" t="b">
        <v>0</v>
      </c>
      <c r="G1396" s="97" t="b">
        <v>0</v>
      </c>
      <c r="H1396" s="98"/>
      <c r="I1396" s="98"/>
      <c r="J1396" s="98"/>
      <c r="K1396" s="102"/>
      <c r="L1396" s="102"/>
      <c r="M1396" s="102"/>
      <c r="N1396" s="102"/>
      <c r="O1396" s="98"/>
      <c r="P1396" s="98"/>
      <c r="Q1396" s="98"/>
    </row>
    <row r="1397">
      <c r="A1397" s="96"/>
      <c r="B1397" s="97"/>
      <c r="C1397" s="97"/>
      <c r="D1397" s="97"/>
      <c r="E1397" s="97"/>
      <c r="F1397" s="97" t="b">
        <v>0</v>
      </c>
      <c r="G1397" s="97" t="b">
        <v>0</v>
      </c>
      <c r="H1397" s="98"/>
      <c r="I1397" s="98"/>
      <c r="J1397" s="98"/>
      <c r="K1397" s="102"/>
      <c r="L1397" s="102"/>
      <c r="M1397" s="102"/>
      <c r="N1397" s="102"/>
      <c r="O1397" s="98"/>
      <c r="P1397" s="98"/>
      <c r="Q1397" s="98"/>
    </row>
    <row r="1398">
      <c r="A1398" s="96"/>
      <c r="B1398" s="97"/>
      <c r="C1398" s="97"/>
      <c r="D1398" s="97"/>
      <c r="E1398" s="97"/>
      <c r="F1398" s="97" t="b">
        <v>0</v>
      </c>
      <c r="G1398" s="97" t="b">
        <v>0</v>
      </c>
      <c r="H1398" s="98"/>
      <c r="I1398" s="98"/>
      <c r="J1398" s="98"/>
      <c r="K1398" s="102"/>
      <c r="L1398" s="102"/>
      <c r="M1398" s="102"/>
      <c r="N1398" s="102"/>
      <c r="O1398" s="98"/>
      <c r="P1398" s="98"/>
      <c r="Q1398" s="98"/>
    </row>
    <row r="1399">
      <c r="A1399" s="96"/>
      <c r="B1399" s="97"/>
      <c r="C1399" s="97"/>
      <c r="D1399" s="97"/>
      <c r="E1399" s="97"/>
      <c r="F1399" s="97" t="b">
        <v>0</v>
      </c>
      <c r="G1399" s="97" t="b">
        <v>0</v>
      </c>
      <c r="H1399" s="98"/>
      <c r="I1399" s="98"/>
      <c r="J1399" s="98"/>
      <c r="K1399" s="102"/>
      <c r="L1399" s="102"/>
      <c r="M1399" s="102"/>
      <c r="N1399" s="102"/>
      <c r="O1399" s="98"/>
      <c r="P1399" s="98"/>
      <c r="Q1399" s="98"/>
    </row>
    <row r="1400">
      <c r="A1400" s="96"/>
      <c r="B1400" s="97"/>
      <c r="C1400" s="97"/>
      <c r="D1400" s="97"/>
      <c r="E1400" s="97"/>
      <c r="F1400" s="97" t="b">
        <v>0</v>
      </c>
      <c r="G1400" s="97" t="b">
        <v>0</v>
      </c>
      <c r="H1400" s="98"/>
      <c r="I1400" s="98"/>
      <c r="J1400" s="98"/>
      <c r="K1400" s="102"/>
      <c r="L1400" s="102"/>
      <c r="M1400" s="102"/>
      <c r="N1400" s="102"/>
      <c r="O1400" s="98"/>
      <c r="P1400" s="98"/>
      <c r="Q1400" s="98"/>
    </row>
    <row r="1401">
      <c r="A1401" s="96"/>
      <c r="B1401" s="97"/>
      <c r="C1401" s="97"/>
      <c r="D1401" s="97"/>
      <c r="E1401" s="97"/>
      <c r="F1401" s="97" t="b">
        <v>0</v>
      </c>
      <c r="G1401" s="97" t="b">
        <v>0</v>
      </c>
      <c r="H1401" s="98"/>
      <c r="I1401" s="98"/>
      <c r="J1401" s="98"/>
      <c r="K1401" s="102"/>
      <c r="L1401" s="102"/>
      <c r="M1401" s="102"/>
      <c r="N1401" s="102"/>
      <c r="O1401" s="98"/>
      <c r="P1401" s="98"/>
      <c r="Q1401" s="98"/>
    </row>
    <row r="1402">
      <c r="A1402" s="96"/>
      <c r="B1402" s="97"/>
      <c r="C1402" s="97"/>
      <c r="D1402" s="97"/>
      <c r="E1402" s="97"/>
      <c r="F1402" s="97" t="b">
        <v>0</v>
      </c>
      <c r="G1402" s="97" t="b">
        <v>0</v>
      </c>
      <c r="H1402" s="98"/>
      <c r="I1402" s="98"/>
      <c r="J1402" s="98"/>
      <c r="K1402" s="102"/>
      <c r="L1402" s="102"/>
      <c r="M1402" s="102"/>
      <c r="N1402" s="102"/>
      <c r="O1402" s="98"/>
      <c r="P1402" s="98"/>
      <c r="Q1402" s="98"/>
    </row>
    <row r="1403">
      <c r="A1403" s="96"/>
      <c r="B1403" s="97"/>
      <c r="C1403" s="97"/>
      <c r="D1403" s="97"/>
      <c r="E1403" s="97"/>
      <c r="F1403" s="97" t="b">
        <v>0</v>
      </c>
      <c r="G1403" s="97" t="b">
        <v>0</v>
      </c>
      <c r="H1403" s="98"/>
      <c r="I1403" s="98"/>
      <c r="J1403" s="98"/>
      <c r="K1403" s="102"/>
      <c r="L1403" s="102"/>
      <c r="M1403" s="102"/>
      <c r="N1403" s="102"/>
      <c r="O1403" s="98"/>
      <c r="P1403" s="98"/>
      <c r="Q1403" s="98"/>
    </row>
    <row r="1404">
      <c r="A1404" s="96"/>
      <c r="B1404" s="97"/>
      <c r="C1404" s="97"/>
      <c r="D1404" s="97"/>
      <c r="E1404" s="97"/>
      <c r="F1404" s="97" t="b">
        <v>0</v>
      </c>
      <c r="G1404" s="97" t="b">
        <v>0</v>
      </c>
      <c r="H1404" s="98"/>
      <c r="I1404" s="98"/>
      <c r="J1404" s="98"/>
      <c r="K1404" s="102"/>
      <c r="L1404" s="102"/>
      <c r="M1404" s="102"/>
      <c r="N1404" s="102"/>
      <c r="O1404" s="98"/>
      <c r="P1404" s="98"/>
      <c r="Q1404" s="98"/>
    </row>
    <row r="1405">
      <c r="A1405" s="96"/>
      <c r="B1405" s="97"/>
      <c r="C1405" s="97"/>
      <c r="D1405" s="97"/>
      <c r="E1405" s="97"/>
      <c r="F1405" s="97" t="b">
        <v>0</v>
      </c>
      <c r="G1405" s="97" t="b">
        <v>0</v>
      </c>
      <c r="H1405" s="98"/>
      <c r="I1405" s="98"/>
      <c r="J1405" s="98"/>
      <c r="K1405" s="102"/>
      <c r="L1405" s="102"/>
      <c r="M1405" s="102"/>
      <c r="N1405" s="102"/>
      <c r="O1405" s="98"/>
      <c r="P1405" s="98"/>
      <c r="Q1405" s="98"/>
    </row>
    <row r="1406">
      <c r="A1406" s="96"/>
      <c r="B1406" s="97"/>
      <c r="C1406" s="97"/>
      <c r="D1406" s="97"/>
      <c r="E1406" s="97"/>
      <c r="F1406" s="97" t="b">
        <v>0</v>
      </c>
      <c r="G1406" s="97" t="b">
        <v>0</v>
      </c>
      <c r="H1406" s="98"/>
      <c r="I1406" s="98"/>
      <c r="J1406" s="98"/>
      <c r="K1406" s="102"/>
      <c r="L1406" s="102"/>
      <c r="M1406" s="102"/>
      <c r="N1406" s="102"/>
      <c r="O1406" s="98"/>
      <c r="P1406" s="98"/>
      <c r="Q1406" s="98"/>
    </row>
    <row r="1407">
      <c r="A1407" s="96"/>
      <c r="B1407" s="97"/>
      <c r="C1407" s="97"/>
      <c r="D1407" s="97"/>
      <c r="E1407" s="97"/>
      <c r="F1407" s="97" t="b">
        <v>0</v>
      </c>
      <c r="G1407" s="97" t="b">
        <v>0</v>
      </c>
      <c r="H1407" s="98"/>
      <c r="I1407" s="98"/>
      <c r="J1407" s="98"/>
      <c r="K1407" s="102"/>
      <c r="L1407" s="102"/>
      <c r="M1407" s="102"/>
      <c r="N1407" s="102"/>
      <c r="O1407" s="98"/>
      <c r="P1407" s="98"/>
      <c r="Q1407" s="98"/>
    </row>
    <row r="1408">
      <c r="A1408" s="96"/>
      <c r="B1408" s="97"/>
      <c r="C1408" s="97"/>
      <c r="D1408" s="97"/>
      <c r="E1408" s="97"/>
      <c r="F1408" s="97" t="b">
        <v>0</v>
      </c>
      <c r="G1408" s="97" t="b">
        <v>0</v>
      </c>
      <c r="H1408" s="98"/>
      <c r="I1408" s="98"/>
      <c r="J1408" s="98"/>
      <c r="K1408" s="102"/>
      <c r="L1408" s="102"/>
      <c r="M1408" s="102"/>
      <c r="N1408" s="102"/>
      <c r="O1408" s="98"/>
      <c r="P1408" s="98"/>
      <c r="Q1408" s="98"/>
    </row>
    <row r="1409">
      <c r="A1409" s="96"/>
      <c r="B1409" s="97"/>
      <c r="C1409" s="97"/>
      <c r="D1409" s="97"/>
      <c r="E1409" s="97"/>
      <c r="F1409" s="97" t="b">
        <v>0</v>
      </c>
      <c r="G1409" s="97" t="b">
        <v>0</v>
      </c>
      <c r="H1409" s="98"/>
      <c r="I1409" s="98"/>
      <c r="J1409" s="98"/>
      <c r="K1409" s="102"/>
      <c r="L1409" s="102"/>
      <c r="M1409" s="102"/>
      <c r="N1409" s="102"/>
      <c r="O1409" s="98"/>
      <c r="P1409" s="98"/>
      <c r="Q1409" s="98"/>
    </row>
    <row r="1410">
      <c r="A1410" s="96"/>
      <c r="B1410" s="97"/>
      <c r="C1410" s="97"/>
      <c r="D1410" s="97"/>
      <c r="E1410" s="97"/>
      <c r="F1410" s="97" t="b">
        <v>0</v>
      </c>
      <c r="G1410" s="97" t="b">
        <v>0</v>
      </c>
      <c r="H1410" s="98"/>
      <c r="I1410" s="98"/>
      <c r="J1410" s="98"/>
      <c r="K1410" s="102"/>
      <c r="L1410" s="102"/>
      <c r="M1410" s="102"/>
      <c r="N1410" s="102"/>
      <c r="O1410" s="98"/>
      <c r="P1410" s="98"/>
      <c r="Q1410" s="98"/>
    </row>
    <row r="1411">
      <c r="A1411" s="96"/>
      <c r="B1411" s="97"/>
      <c r="C1411" s="97"/>
      <c r="D1411" s="97"/>
      <c r="E1411" s="97"/>
      <c r="F1411" s="97" t="b">
        <v>0</v>
      </c>
      <c r="G1411" s="97" t="b">
        <v>0</v>
      </c>
      <c r="H1411" s="98"/>
      <c r="I1411" s="98"/>
      <c r="J1411" s="98"/>
      <c r="K1411" s="102"/>
      <c r="L1411" s="102"/>
      <c r="M1411" s="102"/>
      <c r="N1411" s="102"/>
      <c r="O1411" s="98"/>
      <c r="P1411" s="98"/>
      <c r="Q1411" s="98"/>
    </row>
    <row r="1412">
      <c r="A1412" s="96"/>
      <c r="B1412" s="97"/>
      <c r="C1412" s="97"/>
      <c r="D1412" s="97"/>
      <c r="E1412" s="97"/>
      <c r="F1412" s="97" t="b">
        <v>0</v>
      </c>
      <c r="G1412" s="97" t="b">
        <v>0</v>
      </c>
      <c r="H1412" s="98"/>
      <c r="I1412" s="98"/>
      <c r="J1412" s="98"/>
      <c r="K1412" s="102"/>
      <c r="L1412" s="102"/>
      <c r="M1412" s="102"/>
      <c r="N1412" s="102"/>
      <c r="O1412" s="98"/>
      <c r="P1412" s="98"/>
      <c r="Q1412" s="98"/>
    </row>
    <row r="1413">
      <c r="A1413" s="96"/>
      <c r="B1413" s="97"/>
      <c r="C1413" s="97"/>
      <c r="D1413" s="97"/>
      <c r="E1413" s="97"/>
      <c r="F1413" s="97" t="b">
        <v>0</v>
      </c>
      <c r="G1413" s="97" t="b">
        <v>0</v>
      </c>
      <c r="H1413" s="98"/>
      <c r="I1413" s="98"/>
      <c r="J1413" s="98"/>
      <c r="K1413" s="102"/>
      <c r="L1413" s="102"/>
      <c r="M1413" s="102"/>
      <c r="N1413" s="102"/>
      <c r="O1413" s="98"/>
      <c r="P1413" s="98"/>
      <c r="Q1413" s="98"/>
    </row>
    <row r="1414">
      <c r="A1414" s="96"/>
      <c r="B1414" s="97"/>
      <c r="C1414" s="97"/>
      <c r="D1414" s="97"/>
      <c r="E1414" s="97"/>
      <c r="F1414" s="97" t="b">
        <v>0</v>
      </c>
      <c r="G1414" s="97" t="b">
        <v>0</v>
      </c>
      <c r="H1414" s="98"/>
      <c r="I1414" s="98"/>
      <c r="J1414" s="98"/>
      <c r="K1414" s="102"/>
      <c r="L1414" s="102"/>
      <c r="M1414" s="102"/>
      <c r="N1414" s="102"/>
      <c r="O1414" s="98"/>
      <c r="P1414" s="98"/>
      <c r="Q1414" s="98"/>
    </row>
    <row r="1415">
      <c r="A1415" s="96"/>
      <c r="B1415" s="97"/>
      <c r="C1415" s="97"/>
      <c r="D1415" s="97"/>
      <c r="E1415" s="97"/>
      <c r="F1415" s="97" t="b">
        <v>0</v>
      </c>
      <c r="G1415" s="97" t="b">
        <v>0</v>
      </c>
      <c r="H1415" s="98"/>
      <c r="I1415" s="98"/>
      <c r="J1415" s="98"/>
      <c r="K1415" s="102"/>
      <c r="L1415" s="102"/>
      <c r="M1415" s="102"/>
      <c r="N1415" s="102"/>
      <c r="O1415" s="98"/>
      <c r="P1415" s="98"/>
      <c r="Q1415" s="98"/>
    </row>
    <row r="1416">
      <c r="A1416" s="96"/>
      <c r="B1416" s="97"/>
      <c r="C1416" s="97"/>
      <c r="D1416" s="97"/>
      <c r="E1416" s="97"/>
      <c r="F1416" s="97" t="b">
        <v>0</v>
      </c>
      <c r="G1416" s="97" t="b">
        <v>0</v>
      </c>
      <c r="H1416" s="98"/>
      <c r="I1416" s="98"/>
      <c r="J1416" s="98"/>
      <c r="K1416" s="102"/>
      <c r="L1416" s="102"/>
      <c r="M1416" s="102"/>
      <c r="N1416" s="102"/>
      <c r="O1416" s="98"/>
      <c r="P1416" s="98"/>
      <c r="Q1416" s="98"/>
    </row>
    <row r="1417">
      <c r="A1417" s="96"/>
      <c r="B1417" s="97"/>
      <c r="C1417" s="97"/>
      <c r="D1417" s="97"/>
      <c r="E1417" s="97"/>
      <c r="F1417" s="97" t="b">
        <v>0</v>
      </c>
      <c r="G1417" s="97" t="b">
        <v>0</v>
      </c>
      <c r="H1417" s="98"/>
      <c r="I1417" s="98"/>
      <c r="J1417" s="98"/>
      <c r="K1417" s="102"/>
      <c r="L1417" s="102"/>
      <c r="M1417" s="102"/>
      <c r="N1417" s="102"/>
      <c r="O1417" s="98"/>
      <c r="P1417" s="98"/>
      <c r="Q1417" s="98"/>
    </row>
    <row r="1418">
      <c r="A1418" s="96"/>
      <c r="B1418" s="97"/>
      <c r="C1418" s="97"/>
      <c r="D1418" s="97"/>
      <c r="E1418" s="97"/>
      <c r="F1418" s="97" t="b">
        <v>0</v>
      </c>
      <c r="G1418" s="97" t="b">
        <v>0</v>
      </c>
      <c r="H1418" s="98"/>
      <c r="I1418" s="98"/>
      <c r="J1418" s="98"/>
      <c r="K1418" s="102"/>
      <c r="L1418" s="102"/>
      <c r="M1418" s="102"/>
      <c r="N1418" s="102"/>
      <c r="O1418" s="98"/>
      <c r="P1418" s="98"/>
      <c r="Q1418" s="98"/>
    </row>
    <row r="1419">
      <c r="A1419" s="96"/>
      <c r="B1419" s="97"/>
      <c r="C1419" s="97"/>
      <c r="D1419" s="97"/>
      <c r="E1419" s="97"/>
      <c r="F1419" s="97" t="b">
        <v>0</v>
      </c>
      <c r="G1419" s="97" t="b">
        <v>0</v>
      </c>
      <c r="H1419" s="98"/>
      <c r="I1419" s="98"/>
      <c r="J1419" s="98"/>
      <c r="K1419" s="102"/>
      <c r="L1419" s="102"/>
      <c r="M1419" s="102"/>
      <c r="N1419" s="102"/>
      <c r="O1419" s="98"/>
      <c r="P1419" s="98"/>
      <c r="Q1419" s="98"/>
    </row>
    <row r="1420">
      <c r="A1420" s="96"/>
      <c r="B1420" s="97"/>
      <c r="C1420" s="97"/>
      <c r="D1420" s="97"/>
      <c r="E1420" s="97"/>
      <c r="F1420" s="97" t="b">
        <v>0</v>
      </c>
      <c r="G1420" s="97" t="b">
        <v>0</v>
      </c>
      <c r="H1420" s="98"/>
      <c r="I1420" s="98"/>
      <c r="J1420" s="98"/>
      <c r="K1420" s="102"/>
      <c r="L1420" s="102"/>
      <c r="M1420" s="102"/>
      <c r="N1420" s="102"/>
      <c r="O1420" s="98"/>
      <c r="P1420" s="98"/>
      <c r="Q1420" s="98"/>
    </row>
    <row r="1421">
      <c r="A1421" s="96"/>
      <c r="B1421" s="97"/>
      <c r="C1421" s="97"/>
      <c r="D1421" s="97"/>
      <c r="E1421" s="97"/>
      <c r="F1421" s="97" t="b">
        <v>0</v>
      </c>
      <c r="G1421" s="97" t="b">
        <v>0</v>
      </c>
      <c r="H1421" s="98"/>
      <c r="I1421" s="98"/>
      <c r="J1421" s="98"/>
      <c r="K1421" s="102"/>
      <c r="L1421" s="102"/>
      <c r="M1421" s="102"/>
      <c r="N1421" s="102"/>
      <c r="O1421" s="98"/>
      <c r="P1421" s="98"/>
      <c r="Q1421" s="98"/>
    </row>
    <row r="1422">
      <c r="A1422" s="96"/>
      <c r="B1422" s="97"/>
      <c r="C1422" s="97"/>
      <c r="D1422" s="97"/>
      <c r="E1422" s="97"/>
      <c r="F1422" s="97" t="b">
        <v>0</v>
      </c>
      <c r="G1422" s="97" t="b">
        <v>0</v>
      </c>
      <c r="H1422" s="98"/>
      <c r="I1422" s="98"/>
      <c r="J1422" s="98"/>
      <c r="K1422" s="102"/>
      <c r="L1422" s="102"/>
      <c r="M1422" s="102"/>
      <c r="N1422" s="102"/>
      <c r="O1422" s="98"/>
      <c r="P1422" s="98"/>
      <c r="Q1422" s="98"/>
    </row>
    <row r="1423">
      <c r="A1423" s="96"/>
      <c r="B1423" s="97"/>
      <c r="C1423" s="97"/>
      <c r="D1423" s="97"/>
      <c r="E1423" s="97"/>
      <c r="F1423" s="97" t="b">
        <v>0</v>
      </c>
      <c r="G1423" s="97" t="b">
        <v>0</v>
      </c>
      <c r="H1423" s="98"/>
      <c r="I1423" s="98"/>
      <c r="J1423" s="98"/>
      <c r="K1423" s="102"/>
      <c r="L1423" s="102"/>
      <c r="M1423" s="102"/>
      <c r="N1423" s="102"/>
      <c r="O1423" s="98"/>
      <c r="P1423" s="98"/>
      <c r="Q1423" s="98"/>
    </row>
    <row r="1424">
      <c r="A1424" s="96"/>
      <c r="B1424" s="97"/>
      <c r="C1424" s="97"/>
      <c r="D1424" s="97"/>
      <c r="E1424" s="97"/>
      <c r="F1424" s="97" t="b">
        <v>0</v>
      </c>
      <c r="G1424" s="97" t="b">
        <v>0</v>
      </c>
      <c r="H1424" s="98"/>
      <c r="I1424" s="98"/>
      <c r="J1424" s="98"/>
      <c r="K1424" s="102"/>
      <c r="L1424" s="102"/>
      <c r="M1424" s="102"/>
      <c r="N1424" s="102"/>
      <c r="O1424" s="98"/>
      <c r="P1424" s="98"/>
      <c r="Q1424" s="98"/>
    </row>
    <row r="1425">
      <c r="A1425" s="96"/>
      <c r="B1425" s="97"/>
      <c r="C1425" s="97"/>
      <c r="D1425" s="97"/>
      <c r="E1425" s="97"/>
      <c r="F1425" s="97" t="b">
        <v>0</v>
      </c>
      <c r="G1425" s="97" t="b">
        <v>0</v>
      </c>
      <c r="H1425" s="98"/>
      <c r="I1425" s="98"/>
      <c r="J1425" s="98"/>
      <c r="K1425" s="102"/>
      <c r="L1425" s="102"/>
      <c r="M1425" s="102"/>
      <c r="N1425" s="102"/>
      <c r="O1425" s="98"/>
      <c r="P1425" s="98"/>
      <c r="Q1425" s="98"/>
    </row>
    <row r="1426">
      <c r="A1426" s="96"/>
      <c r="B1426" s="97"/>
      <c r="C1426" s="97"/>
      <c r="D1426" s="97"/>
      <c r="E1426" s="97"/>
      <c r="F1426" s="97" t="b">
        <v>0</v>
      </c>
      <c r="G1426" s="97" t="b">
        <v>0</v>
      </c>
      <c r="H1426" s="98"/>
      <c r="I1426" s="98"/>
      <c r="J1426" s="98"/>
      <c r="K1426" s="102"/>
      <c r="L1426" s="102"/>
      <c r="M1426" s="102"/>
      <c r="N1426" s="102"/>
      <c r="O1426" s="98"/>
      <c r="P1426" s="98"/>
      <c r="Q1426" s="98"/>
    </row>
    <row r="1427">
      <c r="A1427" s="96"/>
      <c r="B1427" s="97"/>
      <c r="C1427" s="97"/>
      <c r="D1427" s="97"/>
      <c r="E1427" s="97"/>
      <c r="F1427" s="97" t="b">
        <v>0</v>
      </c>
      <c r="G1427" s="97" t="b">
        <v>0</v>
      </c>
      <c r="H1427" s="98"/>
      <c r="I1427" s="98"/>
      <c r="J1427" s="98"/>
      <c r="K1427" s="102"/>
      <c r="L1427" s="102"/>
      <c r="M1427" s="102"/>
      <c r="N1427" s="102"/>
      <c r="O1427" s="98"/>
      <c r="P1427" s="98"/>
      <c r="Q1427" s="98"/>
    </row>
    <row r="1428">
      <c r="A1428" s="96"/>
      <c r="B1428" s="97"/>
      <c r="C1428" s="97"/>
      <c r="D1428" s="97"/>
      <c r="E1428" s="97"/>
      <c r="F1428" s="97" t="b">
        <v>0</v>
      </c>
      <c r="G1428" s="97" t="b">
        <v>0</v>
      </c>
      <c r="H1428" s="98"/>
      <c r="I1428" s="98"/>
      <c r="J1428" s="98"/>
      <c r="K1428" s="102"/>
      <c r="L1428" s="102"/>
      <c r="M1428" s="102"/>
      <c r="N1428" s="102"/>
      <c r="O1428" s="98"/>
      <c r="P1428" s="98"/>
      <c r="Q1428" s="98"/>
    </row>
    <row r="1429">
      <c r="A1429" s="96"/>
      <c r="B1429" s="97"/>
      <c r="C1429" s="97"/>
      <c r="D1429" s="97"/>
      <c r="E1429" s="97"/>
      <c r="F1429" s="97" t="b">
        <v>0</v>
      </c>
      <c r="G1429" s="97" t="b">
        <v>0</v>
      </c>
      <c r="H1429" s="98"/>
      <c r="I1429" s="98"/>
      <c r="J1429" s="98"/>
      <c r="K1429" s="102"/>
      <c r="L1429" s="102"/>
      <c r="M1429" s="102"/>
      <c r="N1429" s="102"/>
      <c r="O1429" s="98"/>
      <c r="P1429" s="98"/>
      <c r="Q1429" s="98"/>
    </row>
    <row r="1430">
      <c r="A1430" s="96"/>
      <c r="B1430" s="97"/>
      <c r="C1430" s="97"/>
      <c r="D1430" s="97"/>
      <c r="E1430" s="97"/>
      <c r="F1430" s="97" t="b">
        <v>0</v>
      </c>
      <c r="G1430" s="97" t="b">
        <v>0</v>
      </c>
      <c r="H1430" s="98"/>
      <c r="I1430" s="98"/>
      <c r="J1430" s="98"/>
      <c r="K1430" s="102"/>
      <c r="L1430" s="102"/>
      <c r="M1430" s="102"/>
      <c r="N1430" s="102"/>
      <c r="O1430" s="98"/>
      <c r="P1430" s="98"/>
      <c r="Q1430" s="98"/>
    </row>
    <row r="1431">
      <c r="A1431" s="96"/>
      <c r="B1431" s="97"/>
      <c r="C1431" s="97"/>
      <c r="D1431" s="97"/>
      <c r="E1431" s="97"/>
      <c r="F1431" s="97" t="b">
        <v>0</v>
      </c>
      <c r="G1431" s="97" t="b">
        <v>0</v>
      </c>
      <c r="H1431" s="98"/>
      <c r="I1431" s="98"/>
      <c r="J1431" s="98"/>
      <c r="K1431" s="102"/>
      <c r="L1431" s="102"/>
      <c r="M1431" s="102"/>
      <c r="N1431" s="102"/>
      <c r="O1431" s="98"/>
      <c r="P1431" s="98"/>
      <c r="Q1431" s="98"/>
    </row>
    <row r="1432">
      <c r="A1432" s="96"/>
      <c r="B1432" s="97"/>
      <c r="C1432" s="97"/>
      <c r="D1432" s="97"/>
      <c r="E1432" s="97"/>
      <c r="F1432" s="97" t="b">
        <v>0</v>
      </c>
      <c r="G1432" s="97" t="b">
        <v>0</v>
      </c>
      <c r="H1432" s="98"/>
      <c r="I1432" s="98"/>
      <c r="J1432" s="98"/>
      <c r="K1432" s="102"/>
      <c r="L1432" s="102"/>
      <c r="M1432" s="102"/>
      <c r="N1432" s="102"/>
      <c r="O1432" s="98"/>
      <c r="P1432" s="98"/>
      <c r="Q1432" s="98"/>
    </row>
    <row r="1433">
      <c r="A1433" s="96"/>
      <c r="B1433" s="97"/>
      <c r="C1433" s="97"/>
      <c r="D1433" s="97"/>
      <c r="E1433" s="97"/>
      <c r="F1433" s="97" t="b">
        <v>0</v>
      </c>
      <c r="G1433" s="97" t="b">
        <v>0</v>
      </c>
      <c r="H1433" s="98"/>
      <c r="I1433" s="98"/>
      <c r="J1433" s="98"/>
      <c r="K1433" s="102"/>
      <c r="L1433" s="102"/>
      <c r="M1433" s="102"/>
      <c r="N1433" s="102"/>
      <c r="O1433" s="98"/>
      <c r="P1433" s="98"/>
      <c r="Q1433" s="98"/>
    </row>
    <row r="1434">
      <c r="A1434" s="96"/>
      <c r="B1434" s="97"/>
      <c r="C1434" s="97"/>
      <c r="D1434" s="97"/>
      <c r="E1434" s="97"/>
      <c r="F1434" s="97" t="b">
        <v>0</v>
      </c>
      <c r="G1434" s="97" t="b">
        <v>0</v>
      </c>
      <c r="H1434" s="98"/>
      <c r="I1434" s="98"/>
      <c r="J1434" s="98"/>
      <c r="K1434" s="102"/>
      <c r="L1434" s="102"/>
      <c r="M1434" s="102"/>
      <c r="N1434" s="102"/>
      <c r="O1434" s="98"/>
      <c r="P1434" s="98"/>
      <c r="Q1434" s="98"/>
    </row>
    <row r="1435">
      <c r="A1435" s="96"/>
      <c r="B1435" s="97"/>
      <c r="C1435" s="97"/>
      <c r="D1435" s="97"/>
      <c r="E1435" s="97"/>
      <c r="F1435" s="97" t="b">
        <v>0</v>
      </c>
      <c r="G1435" s="97" t="b">
        <v>0</v>
      </c>
      <c r="H1435" s="98"/>
      <c r="I1435" s="98"/>
      <c r="J1435" s="98"/>
      <c r="K1435" s="102"/>
      <c r="L1435" s="102"/>
      <c r="M1435" s="102"/>
      <c r="N1435" s="102"/>
      <c r="O1435" s="98"/>
      <c r="P1435" s="98"/>
      <c r="Q1435" s="98"/>
    </row>
    <row r="1436">
      <c r="A1436" s="96"/>
      <c r="B1436" s="97"/>
      <c r="C1436" s="97"/>
      <c r="D1436" s="97"/>
      <c r="E1436" s="97"/>
      <c r="F1436" s="97" t="b">
        <v>0</v>
      </c>
      <c r="G1436" s="97" t="b">
        <v>0</v>
      </c>
      <c r="H1436" s="98"/>
      <c r="I1436" s="98"/>
      <c r="J1436" s="98"/>
      <c r="K1436" s="102"/>
      <c r="L1436" s="102"/>
      <c r="M1436" s="102"/>
      <c r="N1436" s="102"/>
      <c r="O1436" s="98"/>
      <c r="P1436" s="98"/>
      <c r="Q1436" s="98"/>
    </row>
    <row r="1437">
      <c r="A1437" s="96"/>
      <c r="B1437" s="97"/>
      <c r="C1437" s="97"/>
      <c r="D1437" s="97"/>
      <c r="E1437" s="97"/>
      <c r="F1437" s="97" t="b">
        <v>0</v>
      </c>
      <c r="G1437" s="97" t="b">
        <v>0</v>
      </c>
      <c r="H1437" s="98"/>
      <c r="I1437" s="98"/>
      <c r="J1437" s="98"/>
      <c r="K1437" s="102"/>
      <c r="L1437" s="102"/>
      <c r="M1437" s="102"/>
      <c r="N1437" s="102"/>
      <c r="O1437" s="98"/>
      <c r="P1437" s="98"/>
      <c r="Q1437" s="98"/>
    </row>
    <row r="1438">
      <c r="A1438" s="96"/>
      <c r="B1438" s="97"/>
      <c r="C1438" s="97"/>
      <c r="D1438" s="97"/>
      <c r="E1438" s="97"/>
      <c r="F1438" s="97" t="b">
        <v>0</v>
      </c>
      <c r="G1438" s="97" t="b">
        <v>0</v>
      </c>
      <c r="H1438" s="98"/>
      <c r="I1438" s="98"/>
      <c r="J1438" s="98"/>
      <c r="K1438" s="102"/>
      <c r="L1438" s="102"/>
      <c r="M1438" s="102"/>
      <c r="N1438" s="102"/>
      <c r="O1438" s="98"/>
      <c r="P1438" s="98"/>
      <c r="Q1438" s="98"/>
    </row>
    <row r="1439">
      <c r="A1439" s="96"/>
      <c r="B1439" s="97"/>
      <c r="C1439" s="97"/>
      <c r="D1439" s="97"/>
      <c r="E1439" s="97"/>
      <c r="F1439" s="97" t="b">
        <v>0</v>
      </c>
      <c r="G1439" s="97" t="b">
        <v>0</v>
      </c>
      <c r="H1439" s="98"/>
      <c r="I1439" s="98"/>
      <c r="J1439" s="98"/>
      <c r="K1439" s="102"/>
      <c r="L1439" s="102"/>
      <c r="M1439" s="102"/>
      <c r="N1439" s="102"/>
      <c r="O1439" s="98"/>
      <c r="P1439" s="98"/>
      <c r="Q1439" s="98"/>
    </row>
    <row r="1440">
      <c r="A1440" s="96"/>
      <c r="B1440" s="97"/>
      <c r="C1440" s="97"/>
      <c r="D1440" s="97"/>
      <c r="E1440" s="97"/>
      <c r="F1440" s="97" t="b">
        <v>0</v>
      </c>
      <c r="G1440" s="97" t="b">
        <v>0</v>
      </c>
      <c r="H1440" s="98"/>
      <c r="I1440" s="98"/>
      <c r="J1440" s="98"/>
      <c r="K1440" s="102"/>
      <c r="L1440" s="102"/>
      <c r="M1440" s="102"/>
      <c r="N1440" s="102"/>
      <c r="O1440" s="98"/>
      <c r="P1440" s="98"/>
      <c r="Q1440" s="98"/>
    </row>
    <row r="1441">
      <c r="A1441" s="96"/>
      <c r="B1441" s="97"/>
      <c r="C1441" s="97"/>
      <c r="D1441" s="97"/>
      <c r="E1441" s="97"/>
      <c r="F1441" s="97" t="b">
        <v>0</v>
      </c>
      <c r="G1441" s="97" t="b">
        <v>0</v>
      </c>
      <c r="H1441" s="98"/>
      <c r="I1441" s="98"/>
      <c r="J1441" s="98"/>
      <c r="K1441" s="102"/>
      <c r="L1441" s="102"/>
      <c r="M1441" s="102"/>
      <c r="N1441" s="102"/>
      <c r="O1441" s="98"/>
      <c r="P1441" s="98"/>
      <c r="Q1441" s="98"/>
    </row>
    <row r="1442">
      <c r="A1442" s="96"/>
      <c r="B1442" s="97"/>
      <c r="C1442" s="97"/>
      <c r="D1442" s="97"/>
      <c r="E1442" s="97"/>
      <c r="F1442" s="97" t="b">
        <v>0</v>
      </c>
      <c r="G1442" s="97" t="b">
        <v>0</v>
      </c>
      <c r="H1442" s="98"/>
      <c r="I1442" s="98"/>
      <c r="J1442" s="98"/>
      <c r="K1442" s="102"/>
      <c r="L1442" s="102"/>
      <c r="M1442" s="102"/>
      <c r="N1442" s="102"/>
      <c r="O1442" s="98"/>
      <c r="P1442" s="98"/>
      <c r="Q1442" s="98"/>
    </row>
    <row r="1443">
      <c r="A1443" s="96"/>
      <c r="B1443" s="97"/>
      <c r="C1443" s="97"/>
      <c r="D1443" s="97"/>
      <c r="E1443" s="97"/>
      <c r="F1443" s="97" t="b">
        <v>0</v>
      </c>
      <c r="G1443" s="97" t="b">
        <v>0</v>
      </c>
      <c r="H1443" s="98"/>
      <c r="I1443" s="98"/>
      <c r="J1443" s="98"/>
      <c r="K1443" s="102"/>
      <c r="L1443" s="102"/>
      <c r="M1443" s="102"/>
      <c r="N1443" s="102"/>
      <c r="O1443" s="98"/>
      <c r="P1443" s="98"/>
      <c r="Q1443" s="98"/>
    </row>
    <row r="1444">
      <c r="A1444" s="96"/>
      <c r="B1444" s="97"/>
      <c r="C1444" s="97"/>
      <c r="D1444" s="97"/>
      <c r="E1444" s="97"/>
      <c r="F1444" s="97" t="b">
        <v>0</v>
      </c>
      <c r="G1444" s="97" t="b">
        <v>0</v>
      </c>
      <c r="H1444" s="98"/>
      <c r="I1444" s="98"/>
      <c r="J1444" s="98"/>
      <c r="K1444" s="102"/>
      <c r="L1444" s="102"/>
      <c r="M1444" s="102"/>
      <c r="N1444" s="102"/>
      <c r="O1444" s="98"/>
      <c r="P1444" s="98"/>
      <c r="Q1444" s="98"/>
    </row>
    <row r="1445">
      <c r="A1445" s="96"/>
      <c r="B1445" s="97"/>
      <c r="C1445" s="97"/>
      <c r="D1445" s="97"/>
      <c r="E1445" s="97"/>
      <c r="F1445" s="97" t="b">
        <v>0</v>
      </c>
      <c r="G1445" s="97" t="b">
        <v>0</v>
      </c>
      <c r="H1445" s="98"/>
      <c r="I1445" s="98"/>
      <c r="J1445" s="98"/>
      <c r="K1445" s="102"/>
      <c r="L1445" s="102"/>
      <c r="M1445" s="102"/>
      <c r="N1445" s="102"/>
      <c r="O1445" s="98"/>
      <c r="P1445" s="98"/>
      <c r="Q1445" s="98"/>
    </row>
    <row r="1446">
      <c r="A1446" s="96"/>
      <c r="B1446" s="97"/>
      <c r="C1446" s="97"/>
      <c r="D1446" s="97"/>
      <c r="E1446" s="97"/>
      <c r="F1446" s="97" t="b">
        <v>0</v>
      </c>
      <c r="G1446" s="97" t="b">
        <v>0</v>
      </c>
      <c r="H1446" s="98"/>
      <c r="I1446" s="98"/>
      <c r="J1446" s="98"/>
      <c r="K1446" s="102"/>
      <c r="L1446" s="102"/>
      <c r="M1446" s="102"/>
      <c r="N1446" s="102"/>
      <c r="O1446" s="98"/>
      <c r="P1446" s="98"/>
      <c r="Q1446" s="98"/>
    </row>
    <row r="1447">
      <c r="A1447" s="96"/>
      <c r="B1447" s="97"/>
      <c r="C1447" s="97"/>
      <c r="D1447" s="97"/>
      <c r="E1447" s="97"/>
      <c r="F1447" s="97" t="b">
        <v>0</v>
      </c>
      <c r="G1447" s="97" t="b">
        <v>0</v>
      </c>
      <c r="H1447" s="98"/>
      <c r="I1447" s="98"/>
      <c r="J1447" s="98"/>
      <c r="K1447" s="102"/>
      <c r="L1447" s="102"/>
      <c r="M1447" s="102"/>
      <c r="N1447" s="102"/>
      <c r="O1447" s="98"/>
      <c r="P1447" s="98"/>
      <c r="Q1447" s="98"/>
    </row>
    <row r="1448">
      <c r="A1448" s="96"/>
      <c r="B1448" s="97"/>
      <c r="C1448" s="97"/>
      <c r="D1448" s="97"/>
      <c r="E1448" s="97"/>
      <c r="F1448" s="97" t="b">
        <v>0</v>
      </c>
      <c r="G1448" s="97" t="b">
        <v>0</v>
      </c>
      <c r="H1448" s="98"/>
      <c r="I1448" s="98"/>
      <c r="J1448" s="98"/>
      <c r="K1448" s="102"/>
      <c r="L1448" s="102"/>
      <c r="M1448" s="102"/>
      <c r="N1448" s="102"/>
      <c r="O1448" s="98"/>
      <c r="P1448" s="98"/>
      <c r="Q1448" s="98"/>
    </row>
    <row r="1449">
      <c r="A1449" s="96"/>
      <c r="B1449" s="97"/>
      <c r="C1449" s="97"/>
      <c r="D1449" s="97"/>
      <c r="E1449" s="97"/>
      <c r="F1449" s="97" t="b">
        <v>0</v>
      </c>
      <c r="G1449" s="97" t="b">
        <v>0</v>
      </c>
      <c r="H1449" s="98"/>
      <c r="I1449" s="98"/>
      <c r="J1449" s="98"/>
      <c r="K1449" s="102"/>
      <c r="L1449" s="102"/>
      <c r="M1449" s="102"/>
      <c r="N1449" s="102"/>
      <c r="O1449" s="98"/>
      <c r="P1449" s="98"/>
      <c r="Q1449" s="98"/>
    </row>
    <row r="1450">
      <c r="A1450" s="96"/>
      <c r="B1450" s="97"/>
      <c r="C1450" s="97"/>
      <c r="D1450" s="97"/>
      <c r="E1450" s="97"/>
      <c r="F1450" s="97" t="b">
        <v>0</v>
      </c>
      <c r="G1450" s="97" t="b">
        <v>0</v>
      </c>
      <c r="H1450" s="98"/>
      <c r="I1450" s="98"/>
      <c r="J1450" s="98"/>
      <c r="K1450" s="102"/>
      <c r="L1450" s="102"/>
      <c r="M1450" s="102"/>
      <c r="N1450" s="102"/>
      <c r="O1450" s="98"/>
      <c r="P1450" s="98"/>
      <c r="Q1450" s="98"/>
    </row>
    <row r="1451">
      <c r="A1451" s="96"/>
      <c r="B1451" s="97"/>
      <c r="C1451" s="97"/>
      <c r="D1451" s="97"/>
      <c r="E1451" s="97"/>
      <c r="F1451" s="97" t="b">
        <v>0</v>
      </c>
      <c r="G1451" s="97" t="b">
        <v>0</v>
      </c>
      <c r="H1451" s="98"/>
      <c r="I1451" s="98"/>
      <c r="J1451" s="98"/>
      <c r="K1451" s="102"/>
      <c r="L1451" s="102"/>
      <c r="M1451" s="102"/>
      <c r="N1451" s="102"/>
      <c r="O1451" s="98"/>
      <c r="P1451" s="98"/>
      <c r="Q1451" s="98"/>
    </row>
    <row r="1452">
      <c r="A1452" s="96"/>
      <c r="B1452" s="97"/>
      <c r="C1452" s="97"/>
      <c r="D1452" s="97"/>
      <c r="E1452" s="97"/>
      <c r="F1452" s="97" t="b">
        <v>0</v>
      </c>
      <c r="G1452" s="97" t="b">
        <v>0</v>
      </c>
      <c r="H1452" s="98"/>
      <c r="I1452" s="98"/>
      <c r="J1452" s="98"/>
      <c r="K1452" s="102"/>
      <c r="L1452" s="102"/>
      <c r="M1452" s="102"/>
      <c r="N1452" s="102"/>
      <c r="O1452" s="98"/>
      <c r="P1452" s="98"/>
      <c r="Q1452" s="98"/>
    </row>
    <row r="1453">
      <c r="A1453" s="96"/>
      <c r="B1453" s="97"/>
      <c r="C1453" s="97"/>
      <c r="D1453" s="97"/>
      <c r="E1453" s="97"/>
      <c r="F1453" s="97" t="b">
        <v>0</v>
      </c>
      <c r="G1453" s="97" t="b">
        <v>0</v>
      </c>
      <c r="H1453" s="98"/>
      <c r="I1453" s="98"/>
      <c r="J1453" s="98"/>
      <c r="K1453" s="102"/>
      <c r="L1453" s="102"/>
      <c r="M1453" s="102"/>
      <c r="N1453" s="102"/>
      <c r="O1453" s="98"/>
      <c r="P1453" s="98"/>
      <c r="Q1453" s="98"/>
    </row>
    <row r="1454">
      <c r="A1454" s="96"/>
      <c r="B1454" s="97"/>
      <c r="C1454" s="97"/>
      <c r="D1454" s="97"/>
      <c r="E1454" s="97"/>
      <c r="F1454" s="97" t="b">
        <v>0</v>
      </c>
      <c r="G1454" s="97" t="b">
        <v>0</v>
      </c>
      <c r="H1454" s="98"/>
      <c r="I1454" s="98"/>
      <c r="J1454" s="98"/>
      <c r="K1454" s="102"/>
      <c r="L1454" s="102"/>
      <c r="M1454" s="102"/>
      <c r="N1454" s="102"/>
      <c r="O1454" s="98"/>
      <c r="P1454" s="98"/>
      <c r="Q1454" s="98"/>
    </row>
    <row r="1455">
      <c r="A1455" s="96"/>
      <c r="B1455" s="97"/>
      <c r="C1455" s="97"/>
      <c r="D1455" s="97"/>
      <c r="E1455" s="97"/>
      <c r="F1455" s="97" t="b">
        <v>0</v>
      </c>
      <c r="G1455" s="97" t="b">
        <v>0</v>
      </c>
      <c r="H1455" s="98"/>
      <c r="I1455" s="98"/>
      <c r="J1455" s="98"/>
      <c r="K1455" s="102"/>
      <c r="L1455" s="102"/>
      <c r="M1455" s="102"/>
      <c r="N1455" s="102"/>
      <c r="O1455" s="98"/>
      <c r="P1455" s="98"/>
      <c r="Q1455" s="98"/>
    </row>
    <row r="1456">
      <c r="A1456" s="96"/>
      <c r="B1456" s="97"/>
      <c r="C1456" s="97"/>
      <c r="D1456" s="97"/>
      <c r="E1456" s="97"/>
      <c r="F1456" s="97" t="b">
        <v>0</v>
      </c>
      <c r="G1456" s="97" t="b">
        <v>0</v>
      </c>
      <c r="H1456" s="98"/>
      <c r="I1456" s="98"/>
      <c r="J1456" s="98"/>
      <c r="K1456" s="102"/>
      <c r="L1456" s="102"/>
      <c r="M1456" s="102"/>
      <c r="N1456" s="102"/>
      <c r="O1456" s="98"/>
      <c r="P1456" s="98"/>
      <c r="Q1456" s="98"/>
    </row>
    <row r="1457">
      <c r="A1457" s="96"/>
      <c r="B1457" s="97"/>
      <c r="C1457" s="97"/>
      <c r="D1457" s="97"/>
      <c r="E1457" s="97"/>
      <c r="F1457" s="97" t="b">
        <v>0</v>
      </c>
      <c r="G1457" s="97" t="b">
        <v>0</v>
      </c>
      <c r="H1457" s="98"/>
      <c r="I1457" s="98"/>
      <c r="J1457" s="98"/>
      <c r="K1457" s="102"/>
      <c r="L1457" s="102"/>
      <c r="M1457" s="102"/>
      <c r="N1457" s="102"/>
      <c r="O1457" s="98"/>
      <c r="P1457" s="98"/>
      <c r="Q1457" s="98"/>
    </row>
    <row r="1458">
      <c r="A1458" s="96"/>
      <c r="B1458" s="97"/>
      <c r="C1458" s="97"/>
      <c r="D1458" s="97"/>
      <c r="E1458" s="97"/>
      <c r="F1458" s="97" t="b">
        <v>0</v>
      </c>
      <c r="G1458" s="97" t="b">
        <v>0</v>
      </c>
      <c r="H1458" s="98"/>
      <c r="I1458" s="98"/>
      <c r="J1458" s="98"/>
      <c r="K1458" s="102"/>
      <c r="L1458" s="102"/>
      <c r="M1458" s="102"/>
      <c r="N1458" s="102"/>
      <c r="O1458" s="98"/>
      <c r="P1458" s="98"/>
      <c r="Q1458" s="98"/>
    </row>
    <row r="1459">
      <c r="A1459" s="96"/>
      <c r="B1459" s="97"/>
      <c r="C1459" s="97"/>
      <c r="D1459" s="97"/>
      <c r="E1459" s="97"/>
      <c r="F1459" s="97" t="b">
        <v>0</v>
      </c>
      <c r="G1459" s="97" t="b">
        <v>0</v>
      </c>
      <c r="H1459" s="98"/>
      <c r="I1459" s="98"/>
      <c r="J1459" s="98"/>
      <c r="K1459" s="102"/>
      <c r="L1459" s="102"/>
      <c r="M1459" s="102"/>
      <c r="N1459" s="102"/>
      <c r="O1459" s="98"/>
      <c r="P1459" s="98"/>
      <c r="Q1459" s="98"/>
    </row>
    <row r="1460">
      <c r="A1460" s="96"/>
      <c r="B1460" s="97"/>
      <c r="C1460" s="97"/>
      <c r="D1460" s="97"/>
      <c r="E1460" s="97"/>
      <c r="F1460" s="97" t="b">
        <v>0</v>
      </c>
      <c r="G1460" s="97" t="b">
        <v>0</v>
      </c>
      <c r="H1460" s="98"/>
      <c r="I1460" s="98"/>
      <c r="J1460" s="98"/>
      <c r="K1460" s="102"/>
      <c r="L1460" s="102"/>
      <c r="M1460" s="102"/>
      <c r="N1460" s="102"/>
      <c r="O1460" s="98"/>
      <c r="P1460" s="98"/>
      <c r="Q1460" s="98"/>
    </row>
    <row r="1461">
      <c r="A1461" s="96"/>
      <c r="B1461" s="97"/>
      <c r="C1461" s="97"/>
      <c r="D1461" s="97"/>
      <c r="E1461" s="97"/>
      <c r="F1461" s="97" t="b">
        <v>0</v>
      </c>
      <c r="G1461" s="97" t="b">
        <v>0</v>
      </c>
      <c r="H1461" s="98"/>
      <c r="I1461" s="98"/>
      <c r="J1461" s="98"/>
      <c r="K1461" s="102"/>
      <c r="L1461" s="102"/>
      <c r="M1461" s="102"/>
      <c r="N1461" s="102"/>
      <c r="O1461" s="98"/>
      <c r="P1461" s="98"/>
      <c r="Q1461" s="98"/>
    </row>
    <row r="1462">
      <c r="A1462" s="96"/>
      <c r="B1462" s="97"/>
      <c r="C1462" s="97"/>
      <c r="D1462" s="97"/>
      <c r="E1462" s="97"/>
      <c r="F1462" s="97" t="b">
        <v>0</v>
      </c>
      <c r="G1462" s="97" t="b">
        <v>0</v>
      </c>
      <c r="H1462" s="98"/>
      <c r="I1462" s="98"/>
      <c r="J1462" s="98"/>
      <c r="K1462" s="102"/>
      <c r="L1462" s="102"/>
      <c r="M1462" s="102"/>
      <c r="N1462" s="102"/>
      <c r="O1462" s="98"/>
      <c r="P1462" s="98"/>
      <c r="Q1462" s="98"/>
    </row>
    <row r="1463">
      <c r="A1463" s="96"/>
      <c r="B1463" s="97"/>
      <c r="C1463" s="97"/>
      <c r="D1463" s="97"/>
      <c r="E1463" s="97"/>
      <c r="F1463" s="97" t="b">
        <v>0</v>
      </c>
      <c r="G1463" s="97" t="b">
        <v>0</v>
      </c>
      <c r="H1463" s="98"/>
      <c r="I1463" s="98"/>
      <c r="J1463" s="98"/>
      <c r="K1463" s="102"/>
      <c r="L1463" s="102"/>
      <c r="M1463" s="102"/>
      <c r="N1463" s="102"/>
      <c r="O1463" s="98"/>
      <c r="P1463" s="98"/>
      <c r="Q1463" s="98"/>
    </row>
    <row r="1464">
      <c r="A1464" s="96"/>
      <c r="B1464" s="97"/>
      <c r="C1464" s="97"/>
      <c r="D1464" s="97"/>
      <c r="E1464" s="97"/>
      <c r="F1464" s="97" t="b">
        <v>0</v>
      </c>
      <c r="G1464" s="97" t="b">
        <v>0</v>
      </c>
      <c r="H1464" s="98"/>
      <c r="I1464" s="98"/>
      <c r="J1464" s="98"/>
      <c r="K1464" s="102"/>
      <c r="L1464" s="102"/>
      <c r="M1464" s="102"/>
      <c r="N1464" s="102"/>
      <c r="O1464" s="98"/>
      <c r="P1464" s="98"/>
      <c r="Q1464" s="98"/>
    </row>
    <row r="1465">
      <c r="A1465" s="96"/>
      <c r="B1465" s="97"/>
      <c r="C1465" s="97"/>
      <c r="D1465" s="97"/>
      <c r="E1465" s="97"/>
      <c r="F1465" s="97" t="b">
        <v>0</v>
      </c>
      <c r="G1465" s="97" t="b">
        <v>0</v>
      </c>
      <c r="H1465" s="98"/>
      <c r="I1465" s="98"/>
      <c r="J1465" s="98"/>
      <c r="K1465" s="102"/>
      <c r="L1465" s="102"/>
      <c r="M1465" s="102"/>
      <c r="N1465" s="102"/>
      <c r="O1465" s="98"/>
      <c r="P1465" s="98"/>
      <c r="Q1465" s="98"/>
    </row>
    <row r="1466">
      <c r="A1466" s="96"/>
      <c r="B1466" s="97"/>
      <c r="C1466" s="97"/>
      <c r="D1466" s="97"/>
      <c r="E1466" s="97"/>
      <c r="F1466" s="97" t="b">
        <v>0</v>
      </c>
      <c r="G1466" s="97" t="b">
        <v>0</v>
      </c>
      <c r="H1466" s="98"/>
      <c r="I1466" s="98"/>
      <c r="J1466" s="98"/>
      <c r="K1466" s="102"/>
      <c r="L1466" s="102"/>
      <c r="M1466" s="102"/>
      <c r="N1466" s="102"/>
      <c r="O1466" s="98"/>
      <c r="P1466" s="98"/>
      <c r="Q1466" s="98"/>
    </row>
    <row r="1467">
      <c r="A1467" s="96"/>
      <c r="B1467" s="97"/>
      <c r="C1467" s="97"/>
      <c r="D1467" s="97"/>
      <c r="E1467" s="97"/>
      <c r="F1467" s="97" t="b">
        <v>0</v>
      </c>
      <c r="G1467" s="97" t="b">
        <v>0</v>
      </c>
      <c r="H1467" s="98"/>
      <c r="I1467" s="98"/>
      <c r="J1467" s="98"/>
      <c r="K1467" s="102"/>
      <c r="L1467" s="102"/>
      <c r="M1467" s="102"/>
      <c r="N1467" s="102"/>
      <c r="O1467" s="98"/>
      <c r="P1467" s="98"/>
      <c r="Q1467" s="98"/>
    </row>
    <row r="1468">
      <c r="A1468" s="96"/>
      <c r="B1468" s="97"/>
      <c r="C1468" s="97"/>
      <c r="D1468" s="97"/>
      <c r="E1468" s="97"/>
      <c r="F1468" s="97" t="b">
        <v>0</v>
      </c>
      <c r="G1468" s="97" t="b">
        <v>0</v>
      </c>
      <c r="H1468" s="98"/>
      <c r="I1468" s="98"/>
      <c r="J1468" s="98"/>
      <c r="K1468" s="102"/>
      <c r="L1468" s="102"/>
      <c r="M1468" s="102"/>
      <c r="N1468" s="102"/>
      <c r="O1468" s="98"/>
      <c r="P1468" s="98"/>
      <c r="Q1468" s="98"/>
    </row>
    <row r="1469">
      <c r="A1469" s="96"/>
      <c r="B1469" s="97"/>
      <c r="C1469" s="97"/>
      <c r="D1469" s="97"/>
      <c r="E1469" s="97"/>
      <c r="F1469" s="97" t="b">
        <v>0</v>
      </c>
      <c r="G1469" s="97" t="b">
        <v>0</v>
      </c>
      <c r="H1469" s="98"/>
      <c r="I1469" s="98"/>
      <c r="J1469" s="98"/>
      <c r="K1469" s="102"/>
      <c r="L1469" s="102"/>
      <c r="M1469" s="102"/>
      <c r="N1469" s="102"/>
      <c r="O1469" s="98"/>
      <c r="P1469" s="98"/>
      <c r="Q1469" s="98"/>
    </row>
    <row r="1470">
      <c r="A1470" s="96"/>
      <c r="B1470" s="97"/>
      <c r="C1470" s="97"/>
      <c r="D1470" s="97"/>
      <c r="E1470" s="97"/>
      <c r="F1470" s="97" t="b">
        <v>0</v>
      </c>
      <c r="G1470" s="97" t="b">
        <v>0</v>
      </c>
      <c r="H1470" s="98"/>
      <c r="I1470" s="98"/>
      <c r="J1470" s="98"/>
      <c r="K1470" s="102"/>
      <c r="L1470" s="102"/>
      <c r="M1470" s="102"/>
      <c r="N1470" s="102"/>
      <c r="O1470" s="98"/>
      <c r="P1470" s="98"/>
      <c r="Q1470" s="98"/>
    </row>
    <row r="1471">
      <c r="A1471" s="96"/>
      <c r="B1471" s="97"/>
      <c r="C1471" s="97"/>
      <c r="D1471" s="97"/>
      <c r="E1471" s="97"/>
      <c r="F1471" s="97" t="b">
        <v>0</v>
      </c>
      <c r="G1471" s="97" t="b">
        <v>0</v>
      </c>
      <c r="H1471" s="98"/>
      <c r="I1471" s="98"/>
      <c r="J1471" s="98"/>
      <c r="K1471" s="102"/>
      <c r="L1471" s="102"/>
      <c r="M1471" s="102"/>
      <c r="N1471" s="102"/>
      <c r="O1471" s="98"/>
      <c r="P1471" s="98"/>
      <c r="Q1471" s="98"/>
    </row>
    <row r="1472">
      <c r="A1472" s="96"/>
      <c r="B1472" s="97"/>
      <c r="C1472" s="97"/>
      <c r="D1472" s="97"/>
      <c r="E1472" s="97"/>
      <c r="F1472" s="97" t="b">
        <v>0</v>
      </c>
      <c r="G1472" s="97" t="b">
        <v>0</v>
      </c>
      <c r="H1472" s="98"/>
      <c r="I1472" s="98"/>
      <c r="J1472" s="98"/>
      <c r="K1472" s="102"/>
      <c r="L1472" s="102"/>
      <c r="M1472" s="102"/>
      <c r="N1472" s="102"/>
      <c r="O1472" s="98"/>
      <c r="P1472" s="98"/>
      <c r="Q1472" s="98"/>
    </row>
    <row r="1473">
      <c r="A1473" s="96"/>
      <c r="B1473" s="97"/>
      <c r="C1473" s="97"/>
      <c r="D1473" s="97"/>
      <c r="E1473" s="97"/>
      <c r="F1473" s="97" t="b">
        <v>0</v>
      </c>
      <c r="G1473" s="97" t="b">
        <v>0</v>
      </c>
      <c r="H1473" s="98"/>
      <c r="I1473" s="98"/>
      <c r="J1473" s="98"/>
      <c r="K1473" s="102"/>
      <c r="L1473" s="102"/>
      <c r="M1473" s="102"/>
      <c r="N1473" s="102"/>
      <c r="O1473" s="98"/>
      <c r="P1473" s="98"/>
      <c r="Q1473" s="98"/>
    </row>
    <row r="1474">
      <c r="A1474" s="96"/>
      <c r="B1474" s="97"/>
      <c r="C1474" s="97"/>
      <c r="D1474" s="97"/>
      <c r="E1474" s="97"/>
      <c r="F1474" s="97" t="b">
        <v>0</v>
      </c>
      <c r="G1474" s="97" t="b">
        <v>0</v>
      </c>
      <c r="H1474" s="98"/>
      <c r="I1474" s="98"/>
      <c r="J1474" s="98"/>
      <c r="K1474" s="102"/>
      <c r="L1474" s="102"/>
      <c r="M1474" s="102"/>
      <c r="N1474" s="102"/>
      <c r="O1474" s="98"/>
      <c r="P1474" s="98"/>
      <c r="Q1474" s="98"/>
    </row>
    <row r="1475">
      <c r="A1475" s="96"/>
      <c r="B1475" s="97"/>
      <c r="C1475" s="97"/>
      <c r="D1475" s="97"/>
      <c r="E1475" s="97"/>
      <c r="F1475" s="97" t="b">
        <v>0</v>
      </c>
      <c r="G1475" s="97" t="b">
        <v>0</v>
      </c>
      <c r="H1475" s="98"/>
      <c r="I1475" s="98"/>
      <c r="J1475" s="98"/>
      <c r="K1475" s="102"/>
      <c r="L1475" s="102"/>
      <c r="M1475" s="102"/>
      <c r="N1475" s="102"/>
      <c r="O1475" s="98"/>
      <c r="P1475" s="98"/>
      <c r="Q1475" s="98"/>
    </row>
    <row r="1476">
      <c r="A1476" s="96"/>
      <c r="B1476" s="97"/>
      <c r="C1476" s="97"/>
      <c r="D1476" s="97"/>
      <c r="E1476" s="97"/>
      <c r="F1476" s="97" t="b">
        <v>0</v>
      </c>
      <c r="G1476" s="97" t="b">
        <v>0</v>
      </c>
      <c r="H1476" s="98"/>
      <c r="I1476" s="98"/>
      <c r="J1476" s="98"/>
      <c r="K1476" s="102"/>
      <c r="L1476" s="102"/>
      <c r="M1476" s="102"/>
      <c r="N1476" s="102"/>
      <c r="O1476" s="98"/>
      <c r="P1476" s="98"/>
      <c r="Q1476" s="98"/>
    </row>
    <row r="1477">
      <c r="A1477" s="96"/>
      <c r="B1477" s="97"/>
      <c r="C1477" s="97"/>
      <c r="D1477" s="97"/>
      <c r="E1477" s="97"/>
      <c r="F1477" s="97" t="b">
        <v>0</v>
      </c>
      <c r="G1477" s="97" t="b">
        <v>0</v>
      </c>
      <c r="H1477" s="98"/>
      <c r="I1477" s="98"/>
      <c r="J1477" s="98"/>
      <c r="K1477" s="102"/>
      <c r="L1477" s="102"/>
      <c r="M1477" s="102"/>
      <c r="N1477" s="102"/>
      <c r="O1477" s="98"/>
      <c r="P1477" s="98"/>
      <c r="Q1477" s="98"/>
    </row>
    <row r="1478">
      <c r="A1478" s="96"/>
      <c r="B1478" s="97"/>
      <c r="C1478" s="97"/>
      <c r="D1478" s="97"/>
      <c r="E1478" s="97"/>
      <c r="F1478" s="97" t="b">
        <v>0</v>
      </c>
      <c r="G1478" s="97" t="b">
        <v>0</v>
      </c>
      <c r="H1478" s="98"/>
      <c r="I1478" s="98"/>
      <c r="J1478" s="98"/>
      <c r="K1478" s="102"/>
      <c r="L1478" s="102"/>
      <c r="M1478" s="102"/>
      <c r="N1478" s="102"/>
      <c r="O1478" s="98"/>
      <c r="P1478" s="98"/>
      <c r="Q1478" s="98"/>
    </row>
    <row r="1479">
      <c r="A1479" s="96"/>
      <c r="B1479" s="97"/>
      <c r="C1479" s="97"/>
      <c r="D1479" s="97"/>
      <c r="E1479" s="97"/>
      <c r="F1479" s="97" t="b">
        <v>0</v>
      </c>
      <c r="G1479" s="97" t="b">
        <v>0</v>
      </c>
      <c r="H1479" s="98"/>
      <c r="I1479" s="98"/>
      <c r="J1479" s="98"/>
      <c r="K1479" s="102"/>
      <c r="L1479" s="102"/>
      <c r="M1479" s="102"/>
      <c r="N1479" s="102"/>
      <c r="O1479" s="98"/>
      <c r="P1479" s="98"/>
      <c r="Q1479" s="98"/>
    </row>
    <row r="1480">
      <c r="A1480" s="96"/>
      <c r="B1480" s="97"/>
      <c r="C1480" s="97"/>
      <c r="D1480" s="97"/>
      <c r="E1480" s="97"/>
      <c r="F1480" s="97" t="b">
        <v>0</v>
      </c>
      <c r="G1480" s="97" t="b">
        <v>0</v>
      </c>
      <c r="H1480" s="98"/>
      <c r="I1480" s="98"/>
      <c r="J1480" s="98"/>
      <c r="K1480" s="102"/>
      <c r="L1480" s="102"/>
      <c r="M1480" s="102"/>
      <c r="N1480" s="102"/>
      <c r="O1480" s="98"/>
      <c r="P1480" s="98"/>
      <c r="Q1480" s="98"/>
    </row>
    <row r="1481">
      <c r="A1481" s="96"/>
      <c r="B1481" s="97"/>
      <c r="C1481" s="97"/>
      <c r="D1481" s="97"/>
      <c r="E1481" s="97"/>
      <c r="F1481" s="97" t="b">
        <v>0</v>
      </c>
      <c r="G1481" s="97" t="b">
        <v>0</v>
      </c>
      <c r="H1481" s="98"/>
      <c r="I1481" s="98"/>
      <c r="J1481" s="98"/>
      <c r="K1481" s="102"/>
      <c r="L1481" s="102"/>
      <c r="M1481" s="102"/>
      <c r="N1481" s="102"/>
      <c r="O1481" s="98"/>
      <c r="P1481" s="98"/>
      <c r="Q1481" s="98"/>
    </row>
    <row r="1482">
      <c r="A1482" s="96"/>
      <c r="B1482" s="97"/>
      <c r="C1482" s="97"/>
      <c r="D1482" s="97"/>
      <c r="E1482" s="97"/>
      <c r="F1482" s="97" t="b">
        <v>0</v>
      </c>
      <c r="G1482" s="97" t="b">
        <v>0</v>
      </c>
      <c r="H1482" s="98"/>
      <c r="I1482" s="98"/>
      <c r="J1482" s="98"/>
      <c r="K1482" s="102"/>
      <c r="L1482" s="102"/>
      <c r="M1482" s="102"/>
      <c r="N1482" s="102"/>
      <c r="O1482" s="98"/>
      <c r="P1482" s="98"/>
      <c r="Q1482" s="98"/>
    </row>
    <row r="1483">
      <c r="A1483" s="96"/>
      <c r="B1483" s="97"/>
      <c r="C1483" s="97"/>
      <c r="D1483" s="97"/>
      <c r="E1483" s="97"/>
      <c r="F1483" s="97" t="b">
        <v>0</v>
      </c>
      <c r="G1483" s="97" t="b">
        <v>0</v>
      </c>
      <c r="H1483" s="98"/>
      <c r="I1483" s="98"/>
      <c r="J1483" s="98"/>
      <c r="K1483" s="102"/>
      <c r="L1483" s="102"/>
      <c r="M1483" s="102"/>
      <c r="N1483" s="102"/>
      <c r="O1483" s="98"/>
      <c r="P1483" s="98"/>
      <c r="Q1483" s="98"/>
    </row>
    <row r="1484">
      <c r="A1484" s="96"/>
      <c r="B1484" s="97"/>
      <c r="C1484" s="97"/>
      <c r="D1484" s="97"/>
      <c r="E1484" s="97"/>
      <c r="F1484" s="97" t="b">
        <v>0</v>
      </c>
      <c r="G1484" s="97" t="b">
        <v>0</v>
      </c>
      <c r="H1484" s="98"/>
      <c r="I1484" s="98"/>
      <c r="J1484" s="98"/>
      <c r="K1484" s="102"/>
      <c r="L1484" s="102"/>
      <c r="M1484" s="102"/>
      <c r="N1484" s="102"/>
      <c r="O1484" s="98"/>
      <c r="P1484" s="98"/>
      <c r="Q1484" s="98"/>
    </row>
    <row r="1485">
      <c r="A1485" s="96"/>
      <c r="B1485" s="97"/>
      <c r="C1485" s="97"/>
      <c r="D1485" s="97"/>
      <c r="E1485" s="97"/>
      <c r="F1485" s="97" t="b">
        <v>0</v>
      </c>
      <c r="G1485" s="97" t="b">
        <v>0</v>
      </c>
      <c r="H1485" s="98"/>
      <c r="I1485" s="98"/>
      <c r="J1485" s="98"/>
      <c r="K1485" s="102"/>
      <c r="L1485" s="102"/>
      <c r="M1485" s="102"/>
      <c r="N1485" s="102"/>
      <c r="O1485" s="98"/>
      <c r="P1485" s="98"/>
      <c r="Q1485" s="98"/>
    </row>
    <row r="1486">
      <c r="A1486" s="96"/>
      <c r="B1486" s="97"/>
      <c r="C1486" s="97"/>
      <c r="D1486" s="97"/>
      <c r="E1486" s="97"/>
      <c r="F1486" s="97" t="b">
        <v>0</v>
      </c>
      <c r="G1486" s="97" t="b">
        <v>0</v>
      </c>
      <c r="H1486" s="98"/>
      <c r="I1486" s="98"/>
      <c r="J1486" s="98"/>
      <c r="K1486" s="102"/>
      <c r="L1486" s="102"/>
      <c r="M1486" s="102"/>
      <c r="N1486" s="102"/>
      <c r="O1486" s="98"/>
      <c r="P1486" s="98"/>
      <c r="Q1486" s="98"/>
    </row>
    <row r="1487">
      <c r="A1487" s="96"/>
      <c r="B1487" s="97"/>
      <c r="C1487" s="97"/>
      <c r="D1487" s="97"/>
      <c r="E1487" s="97"/>
      <c r="F1487" s="97" t="b">
        <v>0</v>
      </c>
      <c r="G1487" s="97" t="b">
        <v>0</v>
      </c>
      <c r="H1487" s="98"/>
      <c r="I1487" s="98"/>
      <c r="J1487" s="98"/>
      <c r="K1487" s="102"/>
      <c r="L1487" s="102"/>
      <c r="M1487" s="102"/>
      <c r="N1487" s="102"/>
      <c r="O1487" s="98"/>
      <c r="P1487" s="98"/>
      <c r="Q1487" s="98"/>
    </row>
    <row r="1488">
      <c r="A1488" s="96"/>
      <c r="B1488" s="97"/>
      <c r="C1488" s="97"/>
      <c r="D1488" s="97"/>
      <c r="E1488" s="97"/>
      <c r="F1488" s="97" t="b">
        <v>0</v>
      </c>
      <c r="G1488" s="97" t="b">
        <v>0</v>
      </c>
      <c r="H1488" s="98"/>
      <c r="I1488" s="98"/>
      <c r="J1488" s="98"/>
      <c r="K1488" s="102"/>
      <c r="L1488" s="102"/>
      <c r="M1488" s="102"/>
      <c r="N1488" s="102"/>
      <c r="O1488" s="98"/>
      <c r="P1488" s="98"/>
      <c r="Q1488" s="98"/>
    </row>
    <row r="1489">
      <c r="A1489" s="96"/>
      <c r="B1489" s="97"/>
      <c r="C1489" s="97"/>
      <c r="D1489" s="97"/>
      <c r="E1489" s="97"/>
      <c r="F1489" s="97" t="b">
        <v>0</v>
      </c>
      <c r="G1489" s="97" t="b">
        <v>0</v>
      </c>
      <c r="H1489" s="98"/>
      <c r="I1489" s="98"/>
      <c r="J1489" s="98"/>
      <c r="K1489" s="102"/>
      <c r="L1489" s="102"/>
      <c r="M1489" s="102"/>
      <c r="N1489" s="102"/>
      <c r="O1489" s="98"/>
      <c r="P1489" s="98"/>
      <c r="Q1489" s="98"/>
    </row>
    <row r="1490">
      <c r="A1490" s="96"/>
      <c r="B1490" s="97"/>
      <c r="C1490" s="97"/>
      <c r="D1490" s="97"/>
      <c r="E1490" s="97"/>
      <c r="F1490" s="97" t="b">
        <v>0</v>
      </c>
      <c r="G1490" s="97" t="b">
        <v>0</v>
      </c>
      <c r="H1490" s="98"/>
      <c r="I1490" s="98"/>
      <c r="J1490" s="98"/>
      <c r="K1490" s="102"/>
      <c r="L1490" s="102"/>
      <c r="M1490" s="102"/>
      <c r="N1490" s="102"/>
      <c r="O1490" s="98"/>
      <c r="P1490" s="98"/>
      <c r="Q1490" s="98"/>
    </row>
    <row r="1491">
      <c r="A1491" s="96"/>
      <c r="B1491" s="97"/>
      <c r="C1491" s="97"/>
      <c r="D1491" s="97"/>
      <c r="E1491" s="97"/>
      <c r="F1491" s="97" t="b">
        <v>0</v>
      </c>
      <c r="G1491" s="97" t="b">
        <v>0</v>
      </c>
      <c r="H1491" s="98"/>
      <c r="I1491" s="98"/>
      <c r="J1491" s="98"/>
      <c r="K1491" s="102"/>
      <c r="L1491" s="102"/>
      <c r="M1491" s="102"/>
      <c r="N1491" s="102"/>
      <c r="O1491" s="98"/>
      <c r="P1491" s="98"/>
      <c r="Q1491" s="98"/>
    </row>
    <row r="1492">
      <c r="A1492" s="96"/>
      <c r="B1492" s="97"/>
      <c r="C1492" s="97"/>
      <c r="D1492" s="97"/>
      <c r="E1492" s="97"/>
      <c r="F1492" s="97" t="b">
        <v>0</v>
      </c>
      <c r="G1492" s="97" t="b">
        <v>0</v>
      </c>
      <c r="H1492" s="98"/>
      <c r="I1492" s="98"/>
      <c r="J1492" s="98"/>
      <c r="K1492" s="102"/>
      <c r="L1492" s="102"/>
      <c r="M1492" s="102"/>
      <c r="N1492" s="102"/>
      <c r="O1492" s="98"/>
      <c r="P1492" s="98"/>
      <c r="Q1492" s="98"/>
    </row>
    <row r="1493">
      <c r="A1493" s="96"/>
      <c r="B1493" s="97"/>
      <c r="C1493" s="97"/>
      <c r="D1493" s="97"/>
      <c r="E1493" s="97"/>
      <c r="F1493" s="97" t="b">
        <v>0</v>
      </c>
      <c r="G1493" s="97" t="b">
        <v>0</v>
      </c>
      <c r="H1493" s="98"/>
      <c r="I1493" s="98"/>
      <c r="J1493" s="98"/>
      <c r="K1493" s="102"/>
      <c r="L1493" s="102"/>
      <c r="M1493" s="102"/>
      <c r="N1493" s="102"/>
      <c r="O1493" s="98"/>
      <c r="P1493" s="98"/>
      <c r="Q1493" s="98"/>
    </row>
    <row r="1494">
      <c r="A1494" s="96"/>
      <c r="B1494" s="97"/>
      <c r="C1494" s="97"/>
      <c r="D1494" s="97"/>
      <c r="E1494" s="97"/>
      <c r="F1494" s="97" t="b">
        <v>0</v>
      </c>
      <c r="G1494" s="97" t="b">
        <v>0</v>
      </c>
      <c r="H1494" s="98"/>
      <c r="I1494" s="98"/>
      <c r="J1494" s="98"/>
      <c r="K1494" s="102"/>
      <c r="L1494" s="102"/>
      <c r="M1494" s="102"/>
      <c r="N1494" s="102"/>
      <c r="O1494" s="98"/>
      <c r="P1494" s="98"/>
      <c r="Q1494" s="98"/>
    </row>
    <row r="1495">
      <c r="A1495" s="96"/>
      <c r="B1495" s="97"/>
      <c r="C1495" s="97"/>
      <c r="D1495" s="97"/>
      <c r="E1495" s="97"/>
      <c r="F1495" s="97" t="b">
        <v>0</v>
      </c>
      <c r="G1495" s="97" t="b">
        <v>0</v>
      </c>
      <c r="H1495" s="98"/>
      <c r="I1495" s="98"/>
      <c r="J1495" s="98"/>
      <c r="K1495" s="102"/>
      <c r="L1495" s="102"/>
      <c r="M1495" s="102"/>
      <c r="N1495" s="102"/>
      <c r="O1495" s="98"/>
      <c r="P1495" s="98"/>
      <c r="Q1495" s="98"/>
    </row>
    <row r="1496">
      <c r="A1496" s="96"/>
      <c r="B1496" s="97"/>
      <c r="C1496" s="97"/>
      <c r="D1496" s="97"/>
      <c r="E1496" s="97"/>
      <c r="F1496" s="97" t="b">
        <v>0</v>
      </c>
      <c r="G1496" s="97" t="b">
        <v>0</v>
      </c>
      <c r="H1496" s="98"/>
      <c r="I1496" s="98"/>
      <c r="J1496" s="98"/>
      <c r="K1496" s="102"/>
      <c r="L1496" s="102"/>
      <c r="M1496" s="102"/>
      <c r="N1496" s="102"/>
      <c r="O1496" s="98"/>
      <c r="P1496" s="98"/>
      <c r="Q1496" s="98"/>
    </row>
    <row r="1497">
      <c r="A1497" s="96"/>
      <c r="B1497" s="97"/>
      <c r="C1497" s="97"/>
      <c r="D1497" s="97"/>
      <c r="E1497" s="97"/>
      <c r="F1497" s="97" t="b">
        <v>0</v>
      </c>
      <c r="G1497" s="97" t="b">
        <v>0</v>
      </c>
      <c r="H1497" s="98"/>
      <c r="I1497" s="98"/>
      <c r="J1497" s="98"/>
      <c r="K1497" s="102"/>
      <c r="L1497" s="102"/>
      <c r="M1497" s="102"/>
      <c r="N1497" s="102"/>
      <c r="O1497" s="98"/>
      <c r="P1497" s="98"/>
      <c r="Q1497" s="98"/>
    </row>
    <row r="1498">
      <c r="A1498" s="96"/>
      <c r="B1498" s="97"/>
      <c r="C1498" s="97"/>
      <c r="D1498" s="97"/>
      <c r="E1498" s="97"/>
      <c r="F1498" s="97" t="b">
        <v>0</v>
      </c>
      <c r="G1498" s="97" t="b">
        <v>0</v>
      </c>
      <c r="H1498" s="98"/>
      <c r="I1498" s="98"/>
      <c r="J1498" s="98"/>
      <c r="K1498" s="102"/>
      <c r="L1498" s="102"/>
      <c r="M1498" s="102"/>
      <c r="N1498" s="102"/>
      <c r="O1498" s="98"/>
      <c r="P1498" s="98"/>
      <c r="Q1498" s="98"/>
    </row>
    <row r="1499">
      <c r="A1499" s="96"/>
      <c r="B1499" s="97"/>
      <c r="C1499" s="97"/>
      <c r="D1499" s="97"/>
      <c r="E1499" s="97"/>
      <c r="F1499" s="97" t="b">
        <v>0</v>
      </c>
      <c r="G1499" s="97" t="b">
        <v>0</v>
      </c>
      <c r="H1499" s="98"/>
      <c r="I1499" s="98"/>
      <c r="J1499" s="98"/>
      <c r="K1499" s="102"/>
      <c r="L1499" s="102"/>
      <c r="M1499" s="102"/>
      <c r="N1499" s="102"/>
      <c r="O1499" s="98"/>
      <c r="P1499" s="98"/>
      <c r="Q1499" s="98"/>
    </row>
    <row r="1500">
      <c r="A1500" s="96"/>
      <c r="B1500" s="97"/>
      <c r="C1500" s="97"/>
      <c r="D1500" s="97"/>
      <c r="E1500" s="97"/>
      <c r="F1500" s="97" t="b">
        <v>0</v>
      </c>
      <c r="G1500" s="97" t="b">
        <v>0</v>
      </c>
      <c r="H1500" s="98"/>
      <c r="I1500" s="98"/>
      <c r="J1500" s="98"/>
      <c r="K1500" s="102"/>
      <c r="L1500" s="102"/>
      <c r="M1500" s="102"/>
      <c r="N1500" s="102"/>
      <c r="O1500" s="98"/>
      <c r="P1500" s="98"/>
      <c r="Q1500" s="98"/>
    </row>
    <row r="1501">
      <c r="A1501" s="96"/>
      <c r="B1501" s="97"/>
      <c r="C1501" s="97"/>
      <c r="D1501" s="97"/>
      <c r="E1501" s="97"/>
      <c r="F1501" s="97" t="b">
        <v>0</v>
      </c>
      <c r="G1501" s="97" t="b">
        <v>0</v>
      </c>
      <c r="H1501" s="98"/>
      <c r="I1501" s="98"/>
      <c r="J1501" s="98"/>
      <c r="K1501" s="102"/>
      <c r="L1501" s="102"/>
      <c r="M1501" s="102"/>
      <c r="N1501" s="102"/>
      <c r="O1501" s="98"/>
      <c r="P1501" s="98"/>
      <c r="Q1501" s="98"/>
    </row>
    <row r="1502">
      <c r="A1502" s="96"/>
      <c r="B1502" s="97"/>
      <c r="C1502" s="97"/>
      <c r="D1502" s="97"/>
      <c r="E1502" s="97"/>
      <c r="F1502" s="97" t="b">
        <v>0</v>
      </c>
      <c r="G1502" s="97" t="b">
        <v>0</v>
      </c>
      <c r="H1502" s="98"/>
      <c r="I1502" s="98"/>
      <c r="J1502" s="98"/>
      <c r="K1502" s="102"/>
      <c r="L1502" s="102"/>
      <c r="M1502" s="102"/>
      <c r="N1502" s="102"/>
      <c r="O1502" s="98"/>
      <c r="P1502" s="98"/>
      <c r="Q1502" s="98"/>
    </row>
    <row r="1503">
      <c r="A1503" s="96"/>
      <c r="B1503" s="97"/>
      <c r="C1503" s="97"/>
      <c r="D1503" s="97"/>
      <c r="E1503" s="97"/>
      <c r="F1503" s="97" t="b">
        <v>0</v>
      </c>
      <c r="G1503" s="97" t="b">
        <v>0</v>
      </c>
      <c r="H1503" s="98"/>
      <c r="I1503" s="98"/>
      <c r="J1503" s="98"/>
      <c r="K1503" s="102"/>
      <c r="L1503" s="102"/>
      <c r="M1503" s="102"/>
      <c r="N1503" s="102"/>
      <c r="O1503" s="98"/>
      <c r="P1503" s="98"/>
      <c r="Q1503" s="98"/>
    </row>
    <row r="1504">
      <c r="A1504" s="96"/>
      <c r="B1504" s="97"/>
      <c r="C1504" s="97"/>
      <c r="D1504" s="97"/>
      <c r="E1504" s="97"/>
      <c r="F1504" s="97" t="b">
        <v>0</v>
      </c>
      <c r="G1504" s="97" t="b">
        <v>0</v>
      </c>
      <c r="H1504" s="98"/>
      <c r="I1504" s="98"/>
      <c r="J1504" s="98"/>
      <c r="K1504" s="102"/>
      <c r="L1504" s="102"/>
      <c r="M1504" s="102"/>
      <c r="N1504" s="102"/>
      <c r="O1504" s="98"/>
      <c r="P1504" s="98"/>
      <c r="Q1504" s="98"/>
    </row>
    <row r="1505">
      <c r="A1505" s="96"/>
      <c r="B1505" s="97"/>
      <c r="C1505" s="97"/>
      <c r="D1505" s="97"/>
      <c r="E1505" s="97"/>
      <c r="F1505" s="97" t="b">
        <v>0</v>
      </c>
      <c r="G1505" s="97" t="b">
        <v>0</v>
      </c>
      <c r="H1505" s="98"/>
      <c r="I1505" s="98"/>
      <c r="J1505" s="98"/>
      <c r="K1505" s="102"/>
      <c r="L1505" s="102"/>
      <c r="M1505" s="102"/>
      <c r="N1505" s="102"/>
      <c r="O1505" s="98"/>
      <c r="P1505" s="98"/>
      <c r="Q1505" s="98"/>
    </row>
    <row r="1506">
      <c r="A1506" s="96"/>
      <c r="B1506" s="97"/>
      <c r="C1506" s="97"/>
      <c r="D1506" s="97"/>
      <c r="E1506" s="97"/>
      <c r="F1506" s="97" t="b">
        <v>0</v>
      </c>
      <c r="G1506" s="97" t="b">
        <v>0</v>
      </c>
      <c r="H1506" s="98"/>
      <c r="I1506" s="98"/>
      <c r="J1506" s="98"/>
      <c r="K1506" s="102"/>
      <c r="L1506" s="102"/>
      <c r="M1506" s="102"/>
      <c r="N1506" s="102"/>
      <c r="O1506" s="98"/>
      <c r="P1506" s="98"/>
      <c r="Q1506" s="98"/>
    </row>
    <row r="1507">
      <c r="A1507" s="96"/>
      <c r="B1507" s="97"/>
      <c r="C1507" s="97"/>
      <c r="D1507" s="97"/>
      <c r="E1507" s="97"/>
      <c r="F1507" s="97" t="b">
        <v>0</v>
      </c>
      <c r="G1507" s="97" t="b">
        <v>0</v>
      </c>
      <c r="H1507" s="98"/>
      <c r="I1507" s="98"/>
      <c r="J1507" s="98"/>
      <c r="K1507" s="102"/>
      <c r="L1507" s="102"/>
      <c r="M1507" s="102"/>
      <c r="N1507" s="102"/>
      <c r="O1507" s="98"/>
      <c r="P1507" s="98"/>
      <c r="Q1507" s="98"/>
    </row>
    <row r="1508">
      <c r="A1508" s="96"/>
      <c r="B1508" s="97"/>
      <c r="C1508" s="97"/>
      <c r="D1508" s="97"/>
      <c r="E1508" s="97"/>
      <c r="F1508" s="97" t="b">
        <v>0</v>
      </c>
      <c r="G1508" s="97" t="b">
        <v>0</v>
      </c>
      <c r="H1508" s="98"/>
      <c r="I1508" s="98"/>
      <c r="J1508" s="98"/>
      <c r="K1508" s="102"/>
      <c r="L1508" s="102"/>
      <c r="M1508" s="102"/>
      <c r="N1508" s="102"/>
      <c r="O1508" s="98"/>
      <c r="P1508" s="98"/>
      <c r="Q1508" s="98"/>
    </row>
    <row r="1509">
      <c r="A1509" s="96"/>
      <c r="B1509" s="97"/>
      <c r="C1509" s="97"/>
      <c r="D1509" s="97"/>
      <c r="E1509" s="97"/>
      <c r="F1509" s="97" t="b">
        <v>0</v>
      </c>
      <c r="G1509" s="97" t="b">
        <v>0</v>
      </c>
      <c r="H1509" s="98"/>
      <c r="I1509" s="98"/>
      <c r="J1509" s="98"/>
      <c r="K1509" s="102"/>
      <c r="L1509" s="102"/>
      <c r="M1509" s="102"/>
      <c r="N1509" s="102"/>
      <c r="O1509" s="98"/>
      <c r="P1509" s="98"/>
      <c r="Q1509" s="98"/>
    </row>
    <row r="1510">
      <c r="A1510" s="96"/>
      <c r="B1510" s="97"/>
      <c r="C1510" s="97"/>
      <c r="D1510" s="97"/>
      <c r="E1510" s="97"/>
      <c r="F1510" s="97" t="b">
        <v>0</v>
      </c>
      <c r="G1510" s="97" t="b">
        <v>0</v>
      </c>
      <c r="H1510" s="98"/>
      <c r="I1510" s="98"/>
      <c r="J1510" s="98"/>
      <c r="K1510" s="102"/>
      <c r="L1510" s="102"/>
      <c r="M1510" s="102"/>
      <c r="N1510" s="102"/>
      <c r="O1510" s="98"/>
      <c r="P1510" s="98"/>
      <c r="Q1510" s="98"/>
    </row>
    <row r="1511">
      <c r="A1511" s="96"/>
      <c r="B1511" s="97"/>
      <c r="C1511" s="97"/>
      <c r="D1511" s="97"/>
      <c r="E1511" s="97"/>
      <c r="F1511" s="97" t="b">
        <v>0</v>
      </c>
      <c r="G1511" s="97" t="b">
        <v>0</v>
      </c>
      <c r="H1511" s="98"/>
      <c r="I1511" s="98"/>
      <c r="J1511" s="98"/>
      <c r="K1511" s="102"/>
      <c r="L1511" s="102"/>
      <c r="M1511" s="102"/>
      <c r="N1511" s="102"/>
      <c r="O1511" s="98"/>
      <c r="P1511" s="98"/>
      <c r="Q1511" s="98"/>
    </row>
    <row r="1512">
      <c r="A1512" s="96"/>
      <c r="B1512" s="97"/>
      <c r="C1512" s="97"/>
      <c r="D1512" s="97"/>
      <c r="E1512" s="97"/>
      <c r="F1512" s="97" t="b">
        <v>0</v>
      </c>
      <c r="G1512" s="97" t="b">
        <v>0</v>
      </c>
      <c r="H1512" s="98"/>
      <c r="I1512" s="98"/>
      <c r="J1512" s="98"/>
      <c r="K1512" s="102"/>
      <c r="L1512" s="102"/>
      <c r="M1512" s="102"/>
      <c r="N1512" s="102"/>
      <c r="O1512" s="98"/>
      <c r="P1512" s="98"/>
      <c r="Q1512" s="98"/>
    </row>
    <row r="1513">
      <c r="A1513" s="96"/>
      <c r="B1513" s="97"/>
      <c r="C1513" s="97"/>
      <c r="D1513" s="97"/>
      <c r="E1513" s="97"/>
      <c r="F1513" s="97" t="b">
        <v>0</v>
      </c>
      <c r="G1513" s="97" t="b">
        <v>0</v>
      </c>
      <c r="H1513" s="98"/>
      <c r="I1513" s="98"/>
      <c r="J1513" s="98"/>
      <c r="K1513" s="102"/>
      <c r="L1513" s="102"/>
      <c r="M1513" s="102"/>
      <c r="N1513" s="102"/>
      <c r="O1513" s="98"/>
      <c r="P1513" s="98"/>
      <c r="Q1513" s="98"/>
    </row>
    <row r="1514">
      <c r="A1514" s="96"/>
      <c r="B1514" s="97"/>
      <c r="C1514" s="97"/>
      <c r="D1514" s="97"/>
      <c r="E1514" s="97"/>
      <c r="F1514" s="97" t="b">
        <v>0</v>
      </c>
      <c r="G1514" s="97" t="b">
        <v>0</v>
      </c>
      <c r="H1514" s="98"/>
      <c r="I1514" s="98"/>
      <c r="J1514" s="98"/>
      <c r="K1514" s="102"/>
      <c r="L1514" s="102"/>
      <c r="M1514" s="102"/>
      <c r="N1514" s="102"/>
      <c r="O1514" s="98"/>
      <c r="P1514" s="98"/>
      <c r="Q1514" s="98"/>
    </row>
    <row r="1515">
      <c r="A1515" s="96"/>
      <c r="B1515" s="97"/>
      <c r="C1515" s="97"/>
      <c r="D1515" s="97"/>
      <c r="E1515" s="97"/>
      <c r="F1515" s="97" t="b">
        <v>0</v>
      </c>
      <c r="G1515" s="97" t="b">
        <v>0</v>
      </c>
      <c r="H1515" s="98"/>
      <c r="I1515" s="98"/>
      <c r="J1515" s="98"/>
      <c r="K1515" s="102"/>
      <c r="L1515" s="102"/>
      <c r="M1515" s="102"/>
      <c r="N1515" s="102"/>
      <c r="O1515" s="98"/>
      <c r="P1515" s="98"/>
      <c r="Q1515" s="98"/>
    </row>
    <row r="1516">
      <c r="A1516" s="96"/>
      <c r="B1516" s="97"/>
      <c r="C1516" s="97"/>
      <c r="D1516" s="97"/>
      <c r="E1516" s="97"/>
      <c r="F1516" s="97" t="b">
        <v>0</v>
      </c>
      <c r="G1516" s="97" t="b">
        <v>0</v>
      </c>
      <c r="H1516" s="98"/>
      <c r="I1516" s="98"/>
      <c r="J1516" s="98"/>
      <c r="K1516" s="102"/>
      <c r="L1516" s="102"/>
      <c r="M1516" s="102"/>
      <c r="N1516" s="102"/>
      <c r="O1516" s="98"/>
      <c r="P1516" s="98"/>
      <c r="Q1516" s="98"/>
    </row>
    <row r="1517">
      <c r="A1517" s="96"/>
      <c r="B1517" s="97"/>
      <c r="C1517" s="97"/>
      <c r="D1517" s="97"/>
      <c r="E1517" s="97"/>
      <c r="F1517" s="97" t="b">
        <v>0</v>
      </c>
      <c r="G1517" s="97" t="b">
        <v>0</v>
      </c>
      <c r="H1517" s="98"/>
      <c r="I1517" s="98"/>
      <c r="J1517" s="98"/>
      <c r="K1517" s="102"/>
      <c r="L1517" s="102"/>
      <c r="M1517" s="102"/>
      <c r="N1517" s="102"/>
      <c r="O1517" s="98"/>
      <c r="P1517" s="98"/>
      <c r="Q1517" s="98"/>
    </row>
    <row r="1518">
      <c r="A1518" s="96"/>
      <c r="B1518" s="97"/>
      <c r="C1518" s="97"/>
      <c r="D1518" s="97"/>
      <c r="E1518" s="97"/>
      <c r="F1518" s="97" t="b">
        <v>0</v>
      </c>
      <c r="G1518" s="97" t="b">
        <v>0</v>
      </c>
      <c r="H1518" s="98"/>
      <c r="I1518" s="98"/>
      <c r="J1518" s="98"/>
      <c r="K1518" s="102"/>
      <c r="L1518" s="102"/>
      <c r="M1518" s="102"/>
      <c r="N1518" s="102"/>
      <c r="O1518" s="98"/>
      <c r="P1518" s="98"/>
      <c r="Q1518" s="98"/>
    </row>
    <row r="1519">
      <c r="A1519" s="96"/>
      <c r="B1519" s="97"/>
      <c r="C1519" s="97"/>
      <c r="D1519" s="97"/>
      <c r="E1519" s="97"/>
      <c r="F1519" s="97" t="b">
        <v>0</v>
      </c>
      <c r="G1519" s="97" t="b">
        <v>0</v>
      </c>
      <c r="H1519" s="98"/>
      <c r="I1519" s="98"/>
      <c r="J1519" s="98"/>
      <c r="K1519" s="102"/>
      <c r="L1519" s="102"/>
      <c r="M1519" s="102"/>
      <c r="N1519" s="102"/>
      <c r="O1519" s="98"/>
      <c r="P1519" s="98"/>
      <c r="Q1519" s="98"/>
    </row>
    <row r="1520">
      <c r="A1520" s="96"/>
      <c r="B1520" s="97"/>
      <c r="C1520" s="97"/>
      <c r="D1520" s="97"/>
      <c r="E1520" s="97"/>
      <c r="F1520" s="97" t="b">
        <v>0</v>
      </c>
      <c r="G1520" s="97" t="b">
        <v>0</v>
      </c>
      <c r="H1520" s="98"/>
      <c r="I1520" s="98"/>
      <c r="J1520" s="98"/>
      <c r="K1520" s="102"/>
      <c r="L1520" s="102"/>
      <c r="M1520" s="102"/>
      <c r="N1520" s="102"/>
      <c r="O1520" s="98"/>
      <c r="P1520" s="98"/>
      <c r="Q1520" s="98"/>
    </row>
    <row r="1521">
      <c r="A1521" s="96"/>
      <c r="B1521" s="97"/>
      <c r="C1521" s="97"/>
      <c r="D1521" s="97"/>
      <c r="E1521" s="97"/>
      <c r="F1521" s="97" t="b">
        <v>0</v>
      </c>
      <c r="G1521" s="97" t="b">
        <v>0</v>
      </c>
      <c r="H1521" s="98"/>
      <c r="I1521" s="98"/>
      <c r="J1521" s="98"/>
      <c r="K1521" s="102"/>
      <c r="L1521" s="102"/>
      <c r="M1521" s="102"/>
      <c r="N1521" s="102"/>
      <c r="O1521" s="98"/>
      <c r="P1521" s="98"/>
      <c r="Q1521" s="98"/>
    </row>
    <row r="1522">
      <c r="A1522" s="96"/>
      <c r="B1522" s="97"/>
      <c r="C1522" s="97"/>
      <c r="D1522" s="97"/>
      <c r="E1522" s="97"/>
      <c r="F1522" s="97" t="b">
        <v>0</v>
      </c>
      <c r="G1522" s="97" t="b">
        <v>0</v>
      </c>
      <c r="H1522" s="98"/>
      <c r="I1522" s="98"/>
      <c r="J1522" s="98"/>
      <c r="K1522" s="102"/>
      <c r="L1522" s="102"/>
      <c r="M1522" s="102"/>
      <c r="N1522" s="102"/>
      <c r="O1522" s="98"/>
      <c r="P1522" s="98"/>
      <c r="Q1522" s="98"/>
    </row>
    <row r="1523">
      <c r="A1523" s="96"/>
      <c r="B1523" s="97"/>
      <c r="C1523" s="97"/>
      <c r="D1523" s="97"/>
      <c r="E1523" s="97"/>
      <c r="F1523" s="97" t="b">
        <v>0</v>
      </c>
      <c r="G1523" s="97" t="b">
        <v>0</v>
      </c>
      <c r="H1523" s="98"/>
      <c r="I1523" s="98"/>
      <c r="J1523" s="98"/>
      <c r="K1523" s="102"/>
      <c r="L1523" s="102"/>
      <c r="M1523" s="102"/>
      <c r="N1523" s="102"/>
      <c r="O1523" s="98"/>
      <c r="P1523" s="98"/>
      <c r="Q1523" s="98"/>
    </row>
    <row r="1524">
      <c r="A1524" s="96"/>
      <c r="B1524" s="97"/>
      <c r="C1524" s="97"/>
      <c r="D1524" s="97"/>
      <c r="E1524" s="97"/>
      <c r="F1524" s="97" t="b">
        <v>0</v>
      </c>
      <c r="G1524" s="97" t="b">
        <v>0</v>
      </c>
      <c r="H1524" s="98"/>
      <c r="I1524" s="98"/>
      <c r="J1524" s="98"/>
      <c r="K1524" s="102"/>
      <c r="L1524" s="102"/>
      <c r="M1524" s="102"/>
      <c r="N1524" s="102"/>
      <c r="O1524" s="98"/>
      <c r="P1524" s="98"/>
      <c r="Q1524" s="98"/>
    </row>
    <row r="1525">
      <c r="A1525" s="96"/>
      <c r="B1525" s="97"/>
      <c r="C1525" s="97"/>
      <c r="D1525" s="97"/>
      <c r="E1525" s="97"/>
      <c r="F1525" s="97" t="b">
        <v>0</v>
      </c>
      <c r="G1525" s="97" t="b">
        <v>0</v>
      </c>
      <c r="H1525" s="98"/>
      <c r="I1525" s="98"/>
      <c r="J1525" s="98"/>
      <c r="K1525" s="102"/>
      <c r="L1525" s="102"/>
      <c r="M1525" s="102"/>
      <c r="N1525" s="102"/>
      <c r="O1525" s="98"/>
      <c r="P1525" s="98"/>
      <c r="Q1525" s="98"/>
    </row>
    <row r="1526">
      <c r="A1526" s="96"/>
      <c r="B1526" s="97"/>
      <c r="C1526" s="97"/>
      <c r="D1526" s="97"/>
      <c r="E1526" s="97"/>
      <c r="F1526" s="97" t="b">
        <v>0</v>
      </c>
      <c r="G1526" s="97" t="b">
        <v>0</v>
      </c>
      <c r="H1526" s="98"/>
      <c r="I1526" s="98"/>
      <c r="J1526" s="98"/>
      <c r="K1526" s="102"/>
      <c r="L1526" s="102"/>
      <c r="M1526" s="102"/>
      <c r="N1526" s="102"/>
      <c r="O1526" s="98"/>
      <c r="P1526" s="98"/>
      <c r="Q1526" s="98"/>
    </row>
    <row r="1527">
      <c r="A1527" s="96"/>
      <c r="B1527" s="97"/>
      <c r="C1527" s="97"/>
      <c r="D1527" s="97"/>
      <c r="E1527" s="97"/>
      <c r="F1527" s="97" t="b">
        <v>0</v>
      </c>
      <c r="G1527" s="97" t="b">
        <v>0</v>
      </c>
      <c r="H1527" s="98"/>
      <c r="I1527" s="98"/>
      <c r="J1527" s="98"/>
      <c r="K1527" s="102"/>
      <c r="L1527" s="102"/>
      <c r="M1527" s="102"/>
      <c r="N1527" s="102"/>
      <c r="O1527" s="98"/>
      <c r="P1527" s="98"/>
      <c r="Q1527" s="98"/>
    </row>
    <row r="1528">
      <c r="A1528" s="96"/>
      <c r="B1528" s="97"/>
      <c r="C1528" s="97"/>
      <c r="D1528" s="97"/>
      <c r="E1528" s="97"/>
      <c r="F1528" s="97" t="b">
        <v>0</v>
      </c>
      <c r="G1528" s="97" t="b">
        <v>0</v>
      </c>
      <c r="H1528" s="98"/>
      <c r="I1528" s="98"/>
      <c r="J1528" s="98"/>
      <c r="K1528" s="102"/>
      <c r="L1528" s="102"/>
      <c r="M1528" s="102"/>
      <c r="N1528" s="102"/>
      <c r="O1528" s="98"/>
      <c r="P1528" s="98"/>
      <c r="Q1528" s="98"/>
    </row>
    <row r="1529">
      <c r="A1529" s="96"/>
      <c r="B1529" s="97"/>
      <c r="C1529" s="97"/>
      <c r="D1529" s="97"/>
      <c r="E1529" s="97"/>
      <c r="F1529" s="97" t="b">
        <v>0</v>
      </c>
      <c r="G1529" s="97" t="b">
        <v>0</v>
      </c>
      <c r="H1529" s="98"/>
      <c r="I1529" s="98"/>
      <c r="J1529" s="98"/>
      <c r="K1529" s="102"/>
      <c r="L1529" s="102"/>
      <c r="M1529" s="102"/>
      <c r="N1529" s="102"/>
      <c r="O1529" s="98"/>
      <c r="P1529" s="98"/>
      <c r="Q1529" s="98"/>
    </row>
    <row r="1530">
      <c r="A1530" s="96"/>
      <c r="B1530" s="97"/>
      <c r="C1530" s="97"/>
      <c r="D1530" s="97"/>
      <c r="E1530" s="97"/>
      <c r="F1530" s="97" t="b">
        <v>0</v>
      </c>
      <c r="G1530" s="97" t="b">
        <v>0</v>
      </c>
      <c r="H1530" s="98"/>
      <c r="I1530" s="98"/>
      <c r="J1530" s="98"/>
      <c r="K1530" s="102"/>
      <c r="L1530" s="102"/>
      <c r="M1530" s="102"/>
      <c r="N1530" s="102"/>
      <c r="O1530" s="98"/>
      <c r="P1530" s="98"/>
      <c r="Q1530" s="98"/>
    </row>
    <row r="1531">
      <c r="A1531" s="96"/>
      <c r="B1531" s="97"/>
      <c r="C1531" s="97"/>
      <c r="D1531" s="97"/>
      <c r="E1531" s="97"/>
      <c r="F1531" s="97" t="b">
        <v>0</v>
      </c>
      <c r="G1531" s="97" t="b">
        <v>0</v>
      </c>
      <c r="H1531" s="98"/>
      <c r="I1531" s="98"/>
      <c r="J1531" s="98"/>
      <c r="K1531" s="102"/>
      <c r="L1531" s="102"/>
      <c r="M1531" s="102"/>
      <c r="N1531" s="102"/>
      <c r="O1531" s="98"/>
      <c r="P1531" s="98"/>
      <c r="Q1531" s="98"/>
    </row>
    <row r="1532">
      <c r="A1532" s="96"/>
      <c r="B1532" s="97"/>
      <c r="C1532" s="97"/>
      <c r="D1532" s="97"/>
      <c r="E1532" s="97"/>
      <c r="F1532" s="97" t="b">
        <v>0</v>
      </c>
      <c r="G1532" s="97" t="b">
        <v>0</v>
      </c>
      <c r="H1532" s="98"/>
      <c r="I1532" s="98"/>
      <c r="J1532" s="98"/>
      <c r="K1532" s="102"/>
      <c r="L1532" s="102"/>
      <c r="M1532" s="102"/>
      <c r="N1532" s="102"/>
      <c r="O1532" s="98"/>
      <c r="P1532" s="98"/>
      <c r="Q1532" s="98"/>
    </row>
    <row r="1533">
      <c r="A1533" s="96"/>
      <c r="B1533" s="97"/>
      <c r="C1533" s="97"/>
      <c r="D1533" s="97"/>
      <c r="E1533" s="97"/>
      <c r="F1533" s="97" t="b">
        <v>0</v>
      </c>
      <c r="G1533" s="97" t="b">
        <v>0</v>
      </c>
      <c r="H1533" s="98"/>
      <c r="I1533" s="98"/>
      <c r="J1533" s="98"/>
      <c r="K1533" s="102"/>
      <c r="L1533" s="102"/>
      <c r="M1533" s="102"/>
      <c r="N1533" s="102"/>
      <c r="O1533" s="98"/>
      <c r="P1533" s="98"/>
      <c r="Q1533" s="98"/>
    </row>
    <row r="1534">
      <c r="A1534" s="96"/>
      <c r="B1534" s="97"/>
      <c r="C1534" s="97"/>
      <c r="D1534" s="97"/>
      <c r="E1534" s="97"/>
      <c r="F1534" s="97" t="b">
        <v>0</v>
      </c>
      <c r="G1534" s="97" t="b">
        <v>0</v>
      </c>
      <c r="H1534" s="98"/>
      <c r="I1534" s="98"/>
      <c r="J1534" s="98"/>
      <c r="K1534" s="102"/>
      <c r="L1534" s="102"/>
      <c r="M1534" s="102"/>
      <c r="N1534" s="102"/>
      <c r="O1534" s="98"/>
      <c r="P1534" s="98"/>
      <c r="Q1534" s="98"/>
    </row>
    <row r="1535">
      <c r="A1535" s="96"/>
      <c r="B1535" s="97"/>
      <c r="C1535" s="97"/>
      <c r="D1535" s="97"/>
      <c r="E1535" s="97"/>
      <c r="F1535" s="97" t="b">
        <v>0</v>
      </c>
      <c r="G1535" s="97" t="b">
        <v>0</v>
      </c>
      <c r="H1535" s="98"/>
      <c r="I1535" s="98"/>
      <c r="J1535" s="98"/>
      <c r="K1535" s="102"/>
      <c r="L1535" s="102"/>
      <c r="M1535" s="102"/>
      <c r="N1535" s="102"/>
      <c r="O1535" s="98"/>
      <c r="P1535" s="98"/>
      <c r="Q1535" s="98"/>
    </row>
    <row r="1536">
      <c r="A1536" s="96"/>
      <c r="B1536" s="97"/>
      <c r="C1536" s="97"/>
      <c r="D1536" s="97"/>
      <c r="E1536" s="97"/>
      <c r="F1536" s="97" t="b">
        <v>0</v>
      </c>
      <c r="G1536" s="97" t="b">
        <v>0</v>
      </c>
      <c r="H1536" s="98"/>
      <c r="I1536" s="98"/>
      <c r="J1536" s="98"/>
      <c r="K1536" s="102"/>
      <c r="L1536" s="102"/>
      <c r="M1536" s="102"/>
      <c r="N1536" s="102"/>
      <c r="O1536" s="98"/>
      <c r="P1536" s="98"/>
      <c r="Q1536" s="98"/>
    </row>
    <row r="1537">
      <c r="A1537" s="96"/>
      <c r="B1537" s="97"/>
      <c r="C1537" s="97"/>
      <c r="D1537" s="97"/>
      <c r="E1537" s="97"/>
      <c r="F1537" s="97" t="b">
        <v>0</v>
      </c>
      <c r="G1537" s="97" t="b">
        <v>0</v>
      </c>
      <c r="H1537" s="98"/>
      <c r="I1537" s="98"/>
      <c r="J1537" s="98"/>
      <c r="K1537" s="102"/>
      <c r="L1537" s="102"/>
      <c r="M1537" s="102"/>
      <c r="N1537" s="102"/>
      <c r="O1537" s="98"/>
      <c r="P1537" s="98"/>
      <c r="Q1537" s="98"/>
    </row>
    <row r="1538">
      <c r="A1538" s="96"/>
      <c r="B1538" s="97"/>
      <c r="C1538" s="97"/>
      <c r="D1538" s="97"/>
      <c r="E1538" s="97"/>
      <c r="F1538" s="97" t="b">
        <v>0</v>
      </c>
      <c r="G1538" s="97" t="b">
        <v>0</v>
      </c>
      <c r="H1538" s="98"/>
      <c r="I1538" s="98"/>
      <c r="J1538" s="98"/>
      <c r="K1538" s="102"/>
      <c r="L1538" s="102"/>
      <c r="M1538" s="102"/>
      <c r="N1538" s="102"/>
      <c r="O1538" s="98"/>
      <c r="P1538" s="98"/>
      <c r="Q1538" s="98"/>
    </row>
    <row r="1539">
      <c r="A1539" s="96"/>
      <c r="B1539" s="97"/>
      <c r="C1539" s="97"/>
      <c r="D1539" s="97"/>
      <c r="E1539" s="97"/>
      <c r="F1539" s="97" t="b">
        <v>0</v>
      </c>
      <c r="G1539" s="97" t="b">
        <v>0</v>
      </c>
      <c r="H1539" s="98"/>
      <c r="I1539" s="98"/>
      <c r="J1539" s="98"/>
      <c r="K1539" s="102"/>
      <c r="L1539" s="102"/>
      <c r="M1539" s="102"/>
      <c r="N1539" s="102"/>
      <c r="O1539" s="98"/>
      <c r="P1539" s="98"/>
      <c r="Q1539" s="98"/>
    </row>
    <row r="1540">
      <c r="A1540" s="96"/>
      <c r="B1540" s="97"/>
      <c r="C1540" s="97"/>
      <c r="D1540" s="97"/>
      <c r="E1540" s="97"/>
      <c r="F1540" s="97" t="b">
        <v>0</v>
      </c>
      <c r="G1540" s="97" t="b">
        <v>0</v>
      </c>
      <c r="H1540" s="98"/>
      <c r="I1540" s="98"/>
      <c r="J1540" s="98"/>
      <c r="K1540" s="102"/>
      <c r="L1540" s="102"/>
      <c r="M1540" s="102"/>
      <c r="N1540" s="102"/>
      <c r="O1540" s="98"/>
      <c r="P1540" s="98"/>
      <c r="Q1540" s="98"/>
    </row>
    <row r="1541">
      <c r="A1541" s="96"/>
      <c r="B1541" s="97"/>
      <c r="C1541" s="97"/>
      <c r="D1541" s="97"/>
      <c r="E1541" s="97"/>
      <c r="F1541" s="97" t="b">
        <v>0</v>
      </c>
      <c r="G1541" s="97" t="b">
        <v>0</v>
      </c>
      <c r="H1541" s="98"/>
      <c r="I1541" s="98"/>
      <c r="J1541" s="98"/>
      <c r="K1541" s="102"/>
      <c r="L1541" s="102"/>
      <c r="M1541" s="102"/>
      <c r="N1541" s="102"/>
      <c r="O1541" s="98"/>
      <c r="P1541" s="98"/>
      <c r="Q1541" s="98"/>
    </row>
    <row r="1542">
      <c r="A1542" s="96"/>
      <c r="B1542" s="97"/>
      <c r="C1542" s="97"/>
      <c r="D1542" s="97"/>
      <c r="E1542" s="97"/>
      <c r="F1542" s="97" t="b">
        <v>0</v>
      </c>
      <c r="G1542" s="97" t="b">
        <v>0</v>
      </c>
      <c r="H1542" s="98"/>
      <c r="I1542" s="98"/>
      <c r="J1542" s="98"/>
      <c r="K1542" s="102"/>
      <c r="L1542" s="102"/>
      <c r="M1542" s="102"/>
      <c r="N1542" s="102"/>
      <c r="O1542" s="98"/>
      <c r="P1542" s="98"/>
      <c r="Q1542" s="98"/>
    </row>
    <row r="1543">
      <c r="A1543" s="96"/>
      <c r="B1543" s="97"/>
      <c r="C1543" s="97"/>
      <c r="D1543" s="97"/>
      <c r="E1543" s="97"/>
      <c r="F1543" s="97" t="b">
        <v>0</v>
      </c>
      <c r="G1543" s="97" t="b">
        <v>0</v>
      </c>
      <c r="H1543" s="98"/>
      <c r="I1543" s="98"/>
      <c r="J1543" s="98"/>
      <c r="K1543" s="102"/>
      <c r="L1543" s="102"/>
      <c r="M1543" s="102"/>
      <c r="N1543" s="102"/>
      <c r="O1543" s="98"/>
      <c r="P1543" s="98"/>
      <c r="Q1543" s="98"/>
    </row>
    <row r="1544">
      <c r="A1544" s="96"/>
      <c r="B1544" s="97"/>
      <c r="C1544" s="97"/>
      <c r="D1544" s="97"/>
      <c r="E1544" s="97"/>
      <c r="F1544" s="97" t="b">
        <v>0</v>
      </c>
      <c r="G1544" s="97" t="b">
        <v>0</v>
      </c>
      <c r="H1544" s="98"/>
      <c r="I1544" s="98"/>
      <c r="J1544" s="98"/>
      <c r="K1544" s="102"/>
      <c r="L1544" s="102"/>
      <c r="M1544" s="102"/>
      <c r="N1544" s="102"/>
      <c r="O1544" s="98"/>
      <c r="P1544" s="98"/>
      <c r="Q1544" s="98"/>
    </row>
    <row r="1545">
      <c r="A1545" s="96"/>
      <c r="B1545" s="97"/>
      <c r="C1545" s="97"/>
      <c r="D1545" s="97"/>
      <c r="E1545" s="97"/>
      <c r="F1545" s="97" t="b">
        <v>0</v>
      </c>
      <c r="G1545" s="97" t="b">
        <v>0</v>
      </c>
      <c r="H1545" s="98"/>
      <c r="I1545" s="98"/>
      <c r="J1545" s="98"/>
      <c r="K1545" s="102"/>
      <c r="L1545" s="102"/>
      <c r="M1545" s="102"/>
      <c r="N1545" s="102"/>
      <c r="O1545" s="98"/>
      <c r="P1545" s="98"/>
      <c r="Q1545" s="98"/>
    </row>
    <row r="1546">
      <c r="A1546" s="96"/>
      <c r="B1546" s="97"/>
      <c r="C1546" s="97"/>
      <c r="D1546" s="97"/>
      <c r="E1546" s="97"/>
      <c r="F1546" s="97" t="b">
        <v>0</v>
      </c>
      <c r="G1546" s="97" t="b">
        <v>0</v>
      </c>
      <c r="H1546" s="98"/>
      <c r="I1546" s="98"/>
      <c r="J1546" s="98"/>
      <c r="K1546" s="102"/>
      <c r="L1546" s="102"/>
      <c r="M1546" s="102"/>
      <c r="N1546" s="102"/>
      <c r="O1546" s="98"/>
      <c r="P1546" s="98"/>
      <c r="Q1546" s="98"/>
    </row>
    <row r="1547">
      <c r="A1547" s="96"/>
      <c r="B1547" s="97"/>
      <c r="C1547" s="97"/>
      <c r="D1547" s="97"/>
      <c r="E1547" s="97"/>
      <c r="F1547" s="97" t="b">
        <v>0</v>
      </c>
      <c r="G1547" s="97" t="b">
        <v>0</v>
      </c>
      <c r="H1547" s="98"/>
      <c r="I1547" s="98"/>
      <c r="J1547" s="98"/>
      <c r="K1547" s="102"/>
      <c r="L1547" s="102"/>
      <c r="M1547" s="102"/>
      <c r="N1547" s="102"/>
      <c r="O1547" s="98"/>
      <c r="P1547" s="98"/>
      <c r="Q1547" s="98"/>
    </row>
    <row r="1548">
      <c r="A1548" s="96"/>
      <c r="B1548" s="97"/>
      <c r="C1548" s="97"/>
      <c r="D1548" s="97"/>
      <c r="E1548" s="97"/>
      <c r="F1548" s="97" t="b">
        <v>0</v>
      </c>
      <c r="G1548" s="97" t="b">
        <v>0</v>
      </c>
      <c r="H1548" s="98"/>
      <c r="I1548" s="98"/>
      <c r="J1548" s="98"/>
      <c r="K1548" s="102"/>
      <c r="L1548" s="102"/>
      <c r="M1548" s="102"/>
      <c r="N1548" s="102"/>
      <c r="O1548" s="98"/>
      <c r="P1548" s="98"/>
      <c r="Q1548" s="98"/>
    </row>
    <row r="1549">
      <c r="A1549" s="96"/>
      <c r="B1549" s="97"/>
      <c r="C1549" s="97"/>
      <c r="D1549" s="97"/>
      <c r="E1549" s="97"/>
      <c r="F1549" s="97" t="b">
        <v>0</v>
      </c>
      <c r="G1549" s="97" t="b">
        <v>0</v>
      </c>
      <c r="H1549" s="98"/>
      <c r="I1549" s="98"/>
      <c r="J1549" s="98"/>
      <c r="K1549" s="102"/>
      <c r="L1549" s="102"/>
      <c r="M1549" s="102"/>
      <c r="N1549" s="102"/>
      <c r="O1549" s="98"/>
      <c r="P1549" s="98"/>
      <c r="Q1549" s="98"/>
    </row>
    <row r="1550">
      <c r="A1550" s="96"/>
      <c r="B1550" s="97"/>
      <c r="C1550" s="97"/>
      <c r="D1550" s="97"/>
      <c r="E1550" s="97"/>
      <c r="F1550" s="97" t="b">
        <v>0</v>
      </c>
      <c r="G1550" s="97" t="b">
        <v>0</v>
      </c>
      <c r="H1550" s="98"/>
      <c r="I1550" s="98"/>
      <c r="J1550" s="98"/>
      <c r="K1550" s="102"/>
      <c r="L1550" s="102"/>
      <c r="M1550" s="102"/>
      <c r="N1550" s="102"/>
      <c r="O1550" s="98"/>
      <c r="P1550" s="98"/>
      <c r="Q1550" s="98"/>
    </row>
    <row r="1551">
      <c r="A1551" s="96"/>
      <c r="B1551" s="97"/>
      <c r="C1551" s="97"/>
      <c r="D1551" s="97"/>
      <c r="E1551" s="97"/>
      <c r="F1551" s="97" t="b">
        <v>0</v>
      </c>
      <c r="G1551" s="97" t="b">
        <v>0</v>
      </c>
      <c r="H1551" s="98"/>
      <c r="I1551" s="98"/>
      <c r="J1551" s="98"/>
      <c r="K1551" s="102"/>
      <c r="L1551" s="102"/>
      <c r="M1551" s="102"/>
      <c r="N1551" s="102"/>
      <c r="O1551" s="98"/>
      <c r="P1551" s="98"/>
      <c r="Q1551" s="98"/>
    </row>
    <row r="1552">
      <c r="A1552" s="96"/>
      <c r="B1552" s="97"/>
      <c r="C1552" s="97"/>
      <c r="D1552" s="97"/>
      <c r="E1552" s="97"/>
      <c r="F1552" s="97" t="b">
        <v>0</v>
      </c>
      <c r="G1552" s="97" t="b">
        <v>0</v>
      </c>
      <c r="H1552" s="98"/>
      <c r="I1552" s="98"/>
      <c r="J1552" s="98"/>
      <c r="K1552" s="102"/>
      <c r="L1552" s="102"/>
      <c r="M1552" s="102"/>
      <c r="N1552" s="102"/>
      <c r="O1552" s="98"/>
      <c r="P1552" s="98"/>
      <c r="Q1552" s="98"/>
    </row>
    <row r="1553">
      <c r="A1553" s="96"/>
      <c r="B1553" s="97"/>
      <c r="C1553" s="97"/>
      <c r="D1553" s="97"/>
      <c r="E1553" s="97"/>
      <c r="F1553" s="97" t="b">
        <v>0</v>
      </c>
      <c r="G1553" s="97" t="b">
        <v>0</v>
      </c>
      <c r="H1553" s="98"/>
      <c r="I1553" s="98"/>
      <c r="J1553" s="98"/>
      <c r="K1553" s="102"/>
      <c r="L1553" s="102"/>
      <c r="M1553" s="102"/>
      <c r="N1553" s="102"/>
      <c r="O1553" s="98"/>
      <c r="P1553" s="98"/>
      <c r="Q1553" s="98"/>
    </row>
    <row r="1554">
      <c r="A1554" s="96"/>
      <c r="B1554" s="97"/>
      <c r="C1554" s="97"/>
      <c r="D1554" s="97"/>
      <c r="E1554" s="97"/>
      <c r="F1554" s="97" t="b">
        <v>0</v>
      </c>
      <c r="G1554" s="97" t="b">
        <v>0</v>
      </c>
      <c r="H1554" s="98"/>
      <c r="I1554" s="98"/>
      <c r="J1554" s="98"/>
      <c r="K1554" s="102"/>
      <c r="L1554" s="102"/>
      <c r="M1554" s="102"/>
      <c r="N1554" s="102"/>
      <c r="O1554" s="98"/>
      <c r="P1554" s="98"/>
      <c r="Q1554" s="98"/>
    </row>
    <row r="1555">
      <c r="A1555" s="96"/>
      <c r="B1555" s="97"/>
      <c r="C1555" s="97"/>
      <c r="D1555" s="97"/>
      <c r="E1555" s="97"/>
      <c r="F1555" s="97" t="b">
        <v>0</v>
      </c>
      <c r="G1555" s="97" t="b">
        <v>0</v>
      </c>
      <c r="H1555" s="98"/>
      <c r="I1555" s="98"/>
      <c r="J1555" s="98"/>
      <c r="K1555" s="102"/>
      <c r="L1555" s="102"/>
      <c r="M1555" s="102"/>
      <c r="N1555" s="102"/>
      <c r="O1555" s="98"/>
      <c r="P1555" s="98"/>
      <c r="Q1555" s="98"/>
    </row>
    <row r="1556">
      <c r="A1556" s="96"/>
      <c r="B1556" s="97"/>
      <c r="C1556" s="97"/>
      <c r="D1556" s="97"/>
      <c r="E1556" s="97"/>
      <c r="F1556" s="97" t="b">
        <v>0</v>
      </c>
      <c r="G1556" s="97" t="b">
        <v>0</v>
      </c>
      <c r="H1556" s="98"/>
      <c r="I1556" s="98"/>
      <c r="J1556" s="98"/>
      <c r="K1556" s="102"/>
      <c r="L1556" s="102"/>
      <c r="M1556" s="102"/>
      <c r="N1556" s="102"/>
      <c r="O1556" s="98"/>
      <c r="P1556" s="98"/>
      <c r="Q1556" s="98"/>
    </row>
    <row r="1557">
      <c r="A1557" s="96"/>
      <c r="B1557" s="97"/>
      <c r="C1557" s="97"/>
      <c r="D1557" s="97"/>
      <c r="E1557" s="97"/>
      <c r="F1557" s="97" t="b">
        <v>0</v>
      </c>
      <c r="G1557" s="97" t="b">
        <v>0</v>
      </c>
      <c r="H1557" s="98"/>
      <c r="I1557" s="98"/>
      <c r="J1557" s="98"/>
      <c r="K1557" s="102"/>
      <c r="L1557" s="102"/>
      <c r="M1557" s="102"/>
      <c r="N1557" s="102"/>
      <c r="O1557" s="98"/>
      <c r="P1557" s="98"/>
      <c r="Q1557" s="98"/>
    </row>
    <row r="1558">
      <c r="A1558" s="96"/>
      <c r="B1558" s="97"/>
      <c r="C1558" s="97"/>
      <c r="D1558" s="97"/>
      <c r="E1558" s="97"/>
      <c r="F1558" s="97" t="b">
        <v>0</v>
      </c>
      <c r="G1558" s="97" t="b">
        <v>0</v>
      </c>
      <c r="H1558" s="98"/>
      <c r="I1558" s="98"/>
      <c r="J1558" s="98"/>
      <c r="K1558" s="102"/>
      <c r="L1558" s="102"/>
      <c r="M1558" s="102"/>
      <c r="N1558" s="102"/>
      <c r="O1558" s="98"/>
      <c r="P1558" s="98"/>
      <c r="Q1558" s="98"/>
    </row>
    <row r="1559">
      <c r="A1559" s="96"/>
      <c r="B1559" s="97"/>
      <c r="C1559" s="97"/>
      <c r="D1559" s="97"/>
      <c r="E1559" s="97"/>
      <c r="F1559" s="97" t="b">
        <v>0</v>
      </c>
      <c r="G1559" s="97" t="b">
        <v>0</v>
      </c>
      <c r="H1559" s="98"/>
      <c r="I1559" s="98"/>
      <c r="J1559" s="98"/>
      <c r="K1559" s="102"/>
      <c r="L1559" s="102"/>
      <c r="M1559" s="102"/>
      <c r="N1559" s="102"/>
      <c r="O1559" s="98"/>
      <c r="P1559" s="98"/>
      <c r="Q1559" s="98"/>
    </row>
    <row r="1560">
      <c r="A1560" s="96"/>
      <c r="B1560" s="97"/>
      <c r="C1560" s="97"/>
      <c r="D1560" s="97"/>
      <c r="E1560" s="97"/>
      <c r="F1560" s="97" t="b">
        <v>0</v>
      </c>
      <c r="G1560" s="97" t="b">
        <v>0</v>
      </c>
      <c r="H1560" s="98"/>
      <c r="I1560" s="98"/>
      <c r="J1560" s="98"/>
      <c r="K1560" s="102"/>
      <c r="L1560" s="102"/>
      <c r="M1560" s="102"/>
      <c r="N1560" s="102"/>
      <c r="O1560" s="98"/>
      <c r="P1560" s="98"/>
      <c r="Q1560" s="98"/>
    </row>
    <row r="1561">
      <c r="A1561" s="96"/>
      <c r="B1561" s="97"/>
      <c r="C1561" s="97"/>
      <c r="D1561" s="97"/>
      <c r="E1561" s="97"/>
      <c r="F1561" s="97" t="b">
        <v>0</v>
      </c>
      <c r="G1561" s="97" t="b">
        <v>0</v>
      </c>
      <c r="H1561" s="98"/>
      <c r="I1561" s="98"/>
      <c r="J1561" s="98"/>
      <c r="K1561" s="102"/>
      <c r="L1561" s="102"/>
      <c r="M1561" s="102"/>
      <c r="N1561" s="102"/>
      <c r="O1561" s="98"/>
      <c r="P1561" s="98"/>
      <c r="Q1561" s="98"/>
    </row>
    <row r="1562">
      <c r="A1562" s="96"/>
      <c r="B1562" s="97"/>
      <c r="C1562" s="97"/>
      <c r="D1562" s="97"/>
      <c r="E1562" s="97"/>
      <c r="F1562" s="97" t="b">
        <v>0</v>
      </c>
      <c r="G1562" s="97" t="b">
        <v>0</v>
      </c>
      <c r="H1562" s="98"/>
      <c r="I1562" s="98"/>
      <c r="J1562" s="98"/>
      <c r="K1562" s="102"/>
      <c r="L1562" s="102"/>
      <c r="M1562" s="102"/>
      <c r="N1562" s="102"/>
      <c r="O1562" s="98"/>
      <c r="P1562" s="98"/>
      <c r="Q1562" s="98"/>
    </row>
    <row r="1563">
      <c r="A1563" s="96"/>
      <c r="B1563" s="97"/>
      <c r="C1563" s="97"/>
      <c r="D1563" s="97"/>
      <c r="E1563" s="97"/>
      <c r="F1563" s="97" t="b">
        <v>0</v>
      </c>
      <c r="G1563" s="97" t="b">
        <v>0</v>
      </c>
      <c r="H1563" s="98"/>
      <c r="I1563" s="98"/>
      <c r="J1563" s="98"/>
      <c r="K1563" s="102"/>
      <c r="L1563" s="102"/>
      <c r="M1563" s="102"/>
      <c r="N1563" s="102"/>
      <c r="O1563" s="98"/>
      <c r="P1563" s="98"/>
      <c r="Q1563" s="98"/>
    </row>
    <row r="1564">
      <c r="A1564" s="96"/>
      <c r="B1564" s="97"/>
      <c r="C1564" s="97"/>
      <c r="D1564" s="97"/>
      <c r="E1564" s="97"/>
      <c r="F1564" s="97" t="b">
        <v>0</v>
      </c>
      <c r="G1564" s="97" t="b">
        <v>0</v>
      </c>
      <c r="H1564" s="98"/>
      <c r="I1564" s="98"/>
      <c r="J1564" s="98"/>
      <c r="K1564" s="102"/>
      <c r="L1564" s="102"/>
      <c r="M1564" s="102"/>
      <c r="N1564" s="102"/>
      <c r="O1564" s="98"/>
      <c r="P1564" s="98"/>
      <c r="Q1564" s="98"/>
    </row>
    <row r="1565">
      <c r="A1565" s="96"/>
      <c r="B1565" s="97"/>
      <c r="C1565" s="97"/>
      <c r="D1565" s="97"/>
      <c r="E1565" s="97"/>
      <c r="F1565" s="97" t="b">
        <v>0</v>
      </c>
      <c r="G1565" s="97" t="b">
        <v>0</v>
      </c>
      <c r="H1565" s="98"/>
      <c r="I1565" s="98"/>
      <c r="J1565" s="98"/>
      <c r="K1565" s="102"/>
      <c r="L1565" s="102"/>
      <c r="M1565" s="102"/>
      <c r="N1565" s="102"/>
      <c r="O1565" s="98"/>
      <c r="P1565" s="98"/>
      <c r="Q1565" s="98"/>
    </row>
    <row r="1566">
      <c r="A1566" s="96"/>
      <c r="B1566" s="97"/>
      <c r="C1566" s="97"/>
      <c r="D1566" s="97"/>
      <c r="E1566" s="97"/>
      <c r="F1566" s="97" t="b">
        <v>0</v>
      </c>
      <c r="G1566" s="97" t="b">
        <v>0</v>
      </c>
      <c r="H1566" s="98"/>
      <c r="I1566" s="98"/>
      <c r="J1566" s="98"/>
      <c r="K1566" s="102"/>
      <c r="L1566" s="102"/>
      <c r="M1566" s="102"/>
      <c r="N1566" s="102"/>
      <c r="O1566" s="98"/>
      <c r="P1566" s="98"/>
      <c r="Q1566" s="98"/>
    </row>
    <row r="1567">
      <c r="A1567" s="96"/>
      <c r="B1567" s="97"/>
      <c r="C1567" s="97"/>
      <c r="D1567" s="97"/>
      <c r="E1567" s="97"/>
      <c r="F1567" s="97" t="b">
        <v>0</v>
      </c>
      <c r="G1567" s="97" t="b">
        <v>0</v>
      </c>
      <c r="H1567" s="98"/>
      <c r="I1567" s="98"/>
      <c r="J1567" s="98"/>
      <c r="K1567" s="102"/>
      <c r="L1567" s="102"/>
      <c r="M1567" s="102"/>
      <c r="N1567" s="102"/>
      <c r="O1567" s="98"/>
      <c r="P1567" s="98"/>
      <c r="Q1567" s="98"/>
    </row>
    <row r="1568">
      <c r="A1568" s="96"/>
      <c r="B1568" s="97"/>
      <c r="C1568" s="97"/>
      <c r="D1568" s="97"/>
      <c r="E1568" s="97"/>
      <c r="F1568" s="97" t="b">
        <v>0</v>
      </c>
      <c r="G1568" s="97" t="b">
        <v>0</v>
      </c>
      <c r="H1568" s="98"/>
      <c r="I1568" s="98"/>
      <c r="J1568" s="98"/>
      <c r="K1568" s="102"/>
      <c r="L1568" s="102"/>
      <c r="M1568" s="102"/>
      <c r="N1568" s="102"/>
      <c r="O1568" s="98"/>
      <c r="P1568" s="98"/>
      <c r="Q1568" s="98"/>
    </row>
    <row r="1569">
      <c r="A1569" s="96"/>
      <c r="B1569" s="97"/>
      <c r="C1569" s="97"/>
      <c r="D1569" s="97"/>
      <c r="E1569" s="97"/>
      <c r="F1569" s="97" t="b">
        <v>0</v>
      </c>
      <c r="G1569" s="97" t="b">
        <v>0</v>
      </c>
      <c r="H1569" s="98"/>
      <c r="I1569" s="98"/>
      <c r="J1569" s="98"/>
      <c r="K1569" s="102"/>
      <c r="L1569" s="102"/>
      <c r="M1569" s="102"/>
      <c r="N1569" s="102"/>
      <c r="O1569" s="98"/>
      <c r="P1569" s="98"/>
      <c r="Q1569" s="98"/>
    </row>
    <row r="1570">
      <c r="A1570" s="96"/>
      <c r="B1570" s="97"/>
      <c r="C1570" s="97"/>
      <c r="D1570" s="97"/>
      <c r="E1570" s="97"/>
      <c r="F1570" s="97" t="b">
        <v>0</v>
      </c>
      <c r="G1570" s="97" t="b">
        <v>0</v>
      </c>
      <c r="H1570" s="98"/>
      <c r="I1570" s="98"/>
      <c r="J1570" s="98"/>
      <c r="K1570" s="102"/>
      <c r="L1570" s="102"/>
      <c r="M1570" s="102"/>
      <c r="N1570" s="102"/>
      <c r="O1570" s="98"/>
      <c r="P1570" s="98"/>
      <c r="Q1570" s="98"/>
    </row>
    <row r="1571">
      <c r="A1571" s="96"/>
      <c r="B1571" s="97"/>
      <c r="C1571" s="97"/>
      <c r="D1571" s="97"/>
      <c r="E1571" s="97"/>
      <c r="F1571" s="97" t="b">
        <v>0</v>
      </c>
      <c r="G1571" s="97" t="b">
        <v>0</v>
      </c>
      <c r="H1571" s="98"/>
      <c r="I1571" s="98"/>
      <c r="J1571" s="98"/>
      <c r="K1571" s="102"/>
      <c r="L1571" s="102"/>
      <c r="M1571" s="102"/>
      <c r="N1571" s="102"/>
      <c r="O1571" s="98"/>
      <c r="P1571" s="98"/>
      <c r="Q1571" s="98"/>
    </row>
    <row r="1572">
      <c r="A1572" s="96"/>
      <c r="B1572" s="97"/>
      <c r="C1572" s="97"/>
      <c r="D1572" s="97"/>
      <c r="E1572" s="97"/>
      <c r="F1572" s="97" t="b">
        <v>0</v>
      </c>
      <c r="G1572" s="97" t="b">
        <v>0</v>
      </c>
      <c r="H1572" s="98"/>
      <c r="I1572" s="98"/>
      <c r="J1572" s="98"/>
      <c r="K1572" s="102"/>
      <c r="L1572" s="102"/>
      <c r="M1572" s="102"/>
      <c r="N1572" s="102"/>
      <c r="O1572" s="98"/>
      <c r="P1572" s="98"/>
      <c r="Q1572" s="98"/>
    </row>
    <row r="1573">
      <c r="A1573" s="96"/>
      <c r="B1573" s="97"/>
      <c r="C1573" s="97"/>
      <c r="D1573" s="97"/>
      <c r="E1573" s="97"/>
      <c r="F1573" s="97" t="b">
        <v>0</v>
      </c>
      <c r="G1573" s="97" t="b">
        <v>0</v>
      </c>
      <c r="H1573" s="98"/>
      <c r="I1573" s="98"/>
      <c r="J1573" s="98"/>
      <c r="K1573" s="102"/>
      <c r="L1573" s="102"/>
      <c r="M1573" s="102"/>
      <c r="N1573" s="102"/>
      <c r="O1573" s="98"/>
      <c r="P1573" s="98"/>
      <c r="Q1573" s="98"/>
    </row>
    <row r="1574">
      <c r="A1574" s="96"/>
      <c r="B1574" s="97"/>
      <c r="C1574" s="97"/>
      <c r="D1574" s="97"/>
      <c r="E1574" s="97"/>
      <c r="F1574" s="97" t="b">
        <v>0</v>
      </c>
      <c r="G1574" s="97" t="b">
        <v>0</v>
      </c>
      <c r="H1574" s="98"/>
      <c r="I1574" s="98"/>
      <c r="J1574" s="98"/>
      <c r="K1574" s="102"/>
      <c r="L1574" s="102"/>
      <c r="M1574" s="102"/>
      <c r="N1574" s="102"/>
      <c r="O1574" s="98"/>
      <c r="P1574" s="98"/>
      <c r="Q1574" s="98"/>
    </row>
    <row r="1575">
      <c r="A1575" s="96"/>
      <c r="B1575" s="97"/>
      <c r="C1575" s="97"/>
      <c r="D1575" s="97"/>
      <c r="E1575" s="97"/>
      <c r="F1575" s="97" t="b">
        <v>0</v>
      </c>
      <c r="G1575" s="97" t="b">
        <v>0</v>
      </c>
      <c r="H1575" s="98"/>
      <c r="I1575" s="98"/>
      <c r="J1575" s="98"/>
      <c r="K1575" s="102"/>
      <c r="L1575" s="102"/>
      <c r="M1575" s="102"/>
      <c r="N1575" s="102"/>
      <c r="O1575" s="98"/>
      <c r="P1575" s="98"/>
      <c r="Q1575" s="98"/>
    </row>
    <row r="1576">
      <c r="A1576" s="96"/>
      <c r="B1576" s="97"/>
      <c r="C1576" s="97"/>
      <c r="D1576" s="97"/>
      <c r="E1576" s="97"/>
      <c r="F1576" s="97" t="b">
        <v>0</v>
      </c>
      <c r="G1576" s="97" t="b">
        <v>0</v>
      </c>
      <c r="H1576" s="98"/>
      <c r="I1576" s="98"/>
      <c r="J1576" s="98"/>
      <c r="K1576" s="102"/>
      <c r="L1576" s="102"/>
      <c r="M1576" s="102"/>
      <c r="N1576" s="102"/>
      <c r="O1576" s="98"/>
      <c r="P1576" s="98"/>
      <c r="Q1576" s="98"/>
    </row>
    <row r="1577">
      <c r="A1577" s="96"/>
      <c r="B1577" s="97"/>
      <c r="C1577" s="97"/>
      <c r="D1577" s="97"/>
      <c r="E1577" s="97"/>
      <c r="F1577" s="97" t="b">
        <v>0</v>
      </c>
      <c r="G1577" s="97" t="b">
        <v>0</v>
      </c>
      <c r="H1577" s="98"/>
      <c r="I1577" s="98"/>
      <c r="J1577" s="98"/>
      <c r="K1577" s="102"/>
      <c r="L1577" s="102"/>
      <c r="M1577" s="102"/>
      <c r="N1577" s="102"/>
      <c r="O1577" s="98"/>
      <c r="P1577" s="98"/>
      <c r="Q1577" s="98"/>
    </row>
    <row r="1578">
      <c r="A1578" s="96"/>
      <c r="B1578" s="97"/>
      <c r="C1578" s="97"/>
      <c r="D1578" s="97"/>
      <c r="E1578" s="97"/>
      <c r="F1578" s="97" t="b">
        <v>0</v>
      </c>
      <c r="G1578" s="97" t="b">
        <v>0</v>
      </c>
      <c r="H1578" s="98"/>
      <c r="I1578" s="98"/>
      <c r="J1578" s="98"/>
      <c r="K1578" s="102"/>
      <c r="L1578" s="102"/>
      <c r="M1578" s="102"/>
      <c r="N1578" s="102"/>
      <c r="O1578" s="98"/>
      <c r="P1578" s="98"/>
      <c r="Q1578" s="98"/>
    </row>
    <row r="1579">
      <c r="A1579" s="96"/>
      <c r="B1579" s="97"/>
      <c r="C1579" s="97"/>
      <c r="D1579" s="97"/>
      <c r="E1579" s="97"/>
      <c r="F1579" s="97" t="b">
        <v>0</v>
      </c>
      <c r="G1579" s="97" t="b">
        <v>0</v>
      </c>
      <c r="H1579" s="98"/>
      <c r="I1579" s="98"/>
      <c r="J1579" s="98"/>
      <c r="K1579" s="102"/>
      <c r="L1579" s="102"/>
      <c r="M1579" s="102"/>
      <c r="N1579" s="102"/>
      <c r="O1579" s="98"/>
      <c r="P1579" s="98"/>
      <c r="Q1579" s="98"/>
    </row>
    <row r="1580">
      <c r="A1580" s="96"/>
      <c r="B1580" s="97"/>
      <c r="C1580" s="97"/>
      <c r="D1580" s="97"/>
      <c r="E1580" s="97"/>
      <c r="F1580" s="97" t="b">
        <v>0</v>
      </c>
      <c r="G1580" s="97" t="b">
        <v>0</v>
      </c>
      <c r="H1580" s="98"/>
      <c r="I1580" s="98"/>
      <c r="J1580" s="98"/>
      <c r="K1580" s="102"/>
      <c r="L1580" s="102"/>
      <c r="M1580" s="102"/>
      <c r="N1580" s="102"/>
      <c r="O1580" s="98"/>
      <c r="P1580" s="98"/>
      <c r="Q1580" s="98"/>
    </row>
    <row r="1581">
      <c r="A1581" s="96"/>
      <c r="B1581" s="97"/>
      <c r="C1581" s="97"/>
      <c r="D1581" s="97"/>
      <c r="E1581" s="97"/>
      <c r="F1581" s="97" t="b">
        <v>0</v>
      </c>
      <c r="G1581" s="97" t="b">
        <v>0</v>
      </c>
      <c r="H1581" s="98"/>
      <c r="I1581" s="98"/>
      <c r="J1581" s="98"/>
      <c r="K1581" s="102"/>
      <c r="L1581" s="102"/>
      <c r="M1581" s="102"/>
      <c r="N1581" s="102"/>
      <c r="O1581" s="98"/>
      <c r="P1581" s="98"/>
      <c r="Q1581" s="98"/>
    </row>
    <row r="1582">
      <c r="A1582" s="96"/>
      <c r="B1582" s="97"/>
      <c r="C1582" s="97"/>
      <c r="D1582" s="97"/>
      <c r="E1582" s="97"/>
      <c r="F1582" s="97" t="b">
        <v>0</v>
      </c>
      <c r="G1582" s="97" t="b">
        <v>0</v>
      </c>
      <c r="H1582" s="98"/>
      <c r="I1582" s="98"/>
      <c r="J1582" s="98"/>
      <c r="K1582" s="102"/>
      <c r="L1582" s="102"/>
      <c r="M1582" s="102"/>
      <c r="N1582" s="102"/>
      <c r="O1582" s="98"/>
      <c r="P1582" s="98"/>
      <c r="Q1582" s="98"/>
    </row>
    <row r="1583">
      <c r="A1583" s="96"/>
      <c r="B1583" s="97"/>
      <c r="C1583" s="97"/>
      <c r="D1583" s="97"/>
      <c r="E1583" s="97"/>
      <c r="F1583" s="97" t="b">
        <v>0</v>
      </c>
      <c r="G1583" s="97" t="b">
        <v>0</v>
      </c>
      <c r="H1583" s="98"/>
      <c r="I1583" s="98"/>
      <c r="J1583" s="98"/>
      <c r="K1583" s="102"/>
      <c r="L1583" s="102"/>
      <c r="M1583" s="102"/>
      <c r="N1583" s="102"/>
      <c r="O1583" s="98"/>
      <c r="P1583" s="98"/>
      <c r="Q1583" s="98"/>
    </row>
    <row r="1584">
      <c r="A1584" s="96"/>
      <c r="B1584" s="97"/>
      <c r="C1584" s="97"/>
      <c r="D1584" s="97"/>
      <c r="E1584" s="97"/>
      <c r="F1584" s="97" t="b">
        <v>0</v>
      </c>
      <c r="G1584" s="97" t="b">
        <v>0</v>
      </c>
      <c r="H1584" s="98"/>
      <c r="I1584" s="98"/>
      <c r="J1584" s="98"/>
      <c r="K1584" s="102"/>
      <c r="L1584" s="102"/>
      <c r="M1584" s="102"/>
      <c r="N1584" s="102"/>
      <c r="O1584" s="98"/>
      <c r="P1584" s="98"/>
      <c r="Q1584" s="98"/>
    </row>
    <row r="1585">
      <c r="A1585" s="96"/>
      <c r="B1585" s="97"/>
      <c r="C1585" s="97"/>
      <c r="D1585" s="97"/>
      <c r="E1585" s="97"/>
      <c r="F1585" s="97" t="b">
        <v>0</v>
      </c>
      <c r="G1585" s="97" t="b">
        <v>0</v>
      </c>
      <c r="H1585" s="98"/>
      <c r="I1585" s="98"/>
      <c r="J1585" s="98"/>
      <c r="K1585" s="102"/>
      <c r="L1585" s="102"/>
      <c r="M1585" s="102"/>
      <c r="N1585" s="102"/>
      <c r="O1585" s="98"/>
      <c r="P1585" s="98"/>
      <c r="Q1585" s="98"/>
    </row>
    <row r="1586">
      <c r="A1586" s="96"/>
      <c r="B1586" s="97"/>
      <c r="C1586" s="97"/>
      <c r="D1586" s="97"/>
      <c r="E1586" s="97"/>
      <c r="F1586" s="97" t="b">
        <v>0</v>
      </c>
      <c r="G1586" s="97" t="b">
        <v>0</v>
      </c>
      <c r="H1586" s="98"/>
      <c r="I1586" s="98"/>
      <c r="J1586" s="98"/>
      <c r="K1586" s="102"/>
      <c r="L1586" s="102"/>
      <c r="M1586" s="102"/>
      <c r="N1586" s="102"/>
      <c r="O1586" s="98"/>
      <c r="P1586" s="98"/>
      <c r="Q1586" s="98"/>
    </row>
    <row r="1587">
      <c r="A1587" s="96"/>
      <c r="B1587" s="97"/>
      <c r="C1587" s="97"/>
      <c r="D1587" s="97"/>
      <c r="E1587" s="97"/>
      <c r="F1587" s="97" t="b">
        <v>0</v>
      </c>
      <c r="G1587" s="97" t="b">
        <v>0</v>
      </c>
      <c r="H1587" s="98"/>
      <c r="I1587" s="98"/>
      <c r="J1587" s="98"/>
      <c r="K1587" s="102"/>
      <c r="L1587" s="102"/>
      <c r="M1587" s="102"/>
      <c r="N1587" s="102"/>
      <c r="O1587" s="98"/>
      <c r="P1587" s="98"/>
      <c r="Q1587" s="98"/>
    </row>
    <row r="1588">
      <c r="A1588" s="96"/>
      <c r="B1588" s="97"/>
      <c r="C1588" s="97"/>
      <c r="D1588" s="97"/>
      <c r="E1588" s="97"/>
      <c r="F1588" s="97" t="b">
        <v>0</v>
      </c>
      <c r="G1588" s="97" t="b">
        <v>0</v>
      </c>
      <c r="H1588" s="98"/>
      <c r="I1588" s="98"/>
      <c r="J1588" s="98"/>
      <c r="K1588" s="102"/>
      <c r="L1588" s="102"/>
      <c r="M1588" s="102"/>
      <c r="N1588" s="102"/>
      <c r="O1588" s="98"/>
      <c r="P1588" s="98"/>
      <c r="Q1588" s="98"/>
    </row>
    <row r="1589">
      <c r="A1589" s="96"/>
      <c r="B1589" s="97"/>
      <c r="C1589" s="97"/>
      <c r="D1589" s="97"/>
      <c r="E1589" s="97"/>
      <c r="F1589" s="97" t="b">
        <v>0</v>
      </c>
      <c r="G1589" s="97" t="b">
        <v>0</v>
      </c>
      <c r="H1589" s="98"/>
      <c r="I1589" s="98"/>
      <c r="J1589" s="98"/>
      <c r="K1589" s="102"/>
      <c r="L1589" s="102"/>
      <c r="M1589" s="102"/>
      <c r="N1589" s="102"/>
      <c r="O1589" s="98"/>
      <c r="P1589" s="98"/>
      <c r="Q1589" s="98"/>
    </row>
    <row r="1590">
      <c r="A1590" s="96"/>
      <c r="B1590" s="97"/>
      <c r="C1590" s="97"/>
      <c r="D1590" s="97"/>
      <c r="E1590" s="97"/>
      <c r="F1590" s="97" t="b">
        <v>0</v>
      </c>
      <c r="G1590" s="97" t="b">
        <v>0</v>
      </c>
      <c r="H1590" s="98"/>
      <c r="I1590" s="98"/>
      <c r="J1590" s="98"/>
      <c r="K1590" s="102"/>
      <c r="L1590" s="102"/>
      <c r="M1590" s="102"/>
      <c r="N1590" s="102"/>
      <c r="O1590" s="98"/>
      <c r="P1590" s="98"/>
      <c r="Q1590" s="98"/>
    </row>
    <row r="1591">
      <c r="A1591" s="96"/>
      <c r="B1591" s="97"/>
      <c r="C1591" s="97"/>
      <c r="D1591" s="97"/>
      <c r="E1591" s="97"/>
      <c r="F1591" s="97" t="b">
        <v>0</v>
      </c>
      <c r="G1591" s="97" t="b">
        <v>0</v>
      </c>
      <c r="H1591" s="98"/>
      <c r="I1591" s="98"/>
      <c r="J1591" s="98"/>
      <c r="K1591" s="102"/>
      <c r="L1591" s="102"/>
      <c r="M1591" s="102"/>
      <c r="N1591" s="102"/>
      <c r="O1591" s="98"/>
      <c r="P1591" s="98"/>
      <c r="Q1591" s="98"/>
    </row>
    <row r="1592">
      <c r="A1592" s="96"/>
      <c r="B1592" s="97"/>
      <c r="C1592" s="97"/>
      <c r="D1592" s="97"/>
      <c r="E1592" s="97"/>
      <c r="F1592" s="97" t="b">
        <v>0</v>
      </c>
      <c r="G1592" s="97" t="b">
        <v>0</v>
      </c>
      <c r="H1592" s="98"/>
      <c r="I1592" s="98"/>
      <c r="J1592" s="98"/>
      <c r="K1592" s="102"/>
      <c r="L1592" s="102"/>
      <c r="M1592" s="102"/>
      <c r="N1592" s="102"/>
      <c r="O1592" s="98"/>
      <c r="P1592" s="98"/>
      <c r="Q1592" s="98"/>
    </row>
    <row r="1593">
      <c r="A1593" s="96"/>
      <c r="B1593" s="97"/>
      <c r="C1593" s="97"/>
      <c r="D1593" s="97"/>
      <c r="E1593" s="97"/>
      <c r="F1593" s="97" t="b">
        <v>0</v>
      </c>
      <c r="G1593" s="97" t="b">
        <v>0</v>
      </c>
      <c r="H1593" s="98"/>
      <c r="I1593" s="98"/>
      <c r="J1593" s="98"/>
      <c r="K1593" s="102"/>
      <c r="L1593" s="102"/>
      <c r="M1593" s="102"/>
      <c r="N1593" s="102"/>
      <c r="O1593" s="98"/>
      <c r="P1593" s="98"/>
      <c r="Q1593" s="98"/>
    </row>
    <row r="1594">
      <c r="A1594" s="96"/>
      <c r="B1594" s="97"/>
      <c r="C1594" s="97"/>
      <c r="D1594" s="97"/>
      <c r="E1594" s="97"/>
      <c r="F1594" s="97" t="b">
        <v>0</v>
      </c>
      <c r="G1594" s="97" t="b">
        <v>0</v>
      </c>
      <c r="H1594" s="98"/>
      <c r="I1594" s="98"/>
      <c r="J1594" s="98"/>
      <c r="K1594" s="102"/>
      <c r="L1594" s="102"/>
      <c r="M1594" s="102"/>
      <c r="N1594" s="102"/>
      <c r="O1594" s="98"/>
      <c r="P1594" s="98"/>
      <c r="Q1594" s="98"/>
    </row>
    <row r="1595">
      <c r="A1595" s="96"/>
      <c r="B1595" s="97"/>
      <c r="C1595" s="97"/>
      <c r="D1595" s="97"/>
      <c r="E1595" s="97"/>
      <c r="F1595" s="97" t="b">
        <v>0</v>
      </c>
      <c r="G1595" s="97" t="b">
        <v>0</v>
      </c>
      <c r="H1595" s="98"/>
      <c r="I1595" s="98"/>
      <c r="J1595" s="98"/>
      <c r="K1595" s="102"/>
      <c r="L1595" s="102"/>
      <c r="M1595" s="102"/>
      <c r="N1595" s="102"/>
      <c r="O1595" s="98"/>
      <c r="P1595" s="98"/>
      <c r="Q1595" s="98"/>
    </row>
    <row r="1596">
      <c r="A1596" s="96"/>
      <c r="B1596" s="97"/>
      <c r="C1596" s="97"/>
      <c r="D1596" s="97"/>
      <c r="E1596" s="97"/>
      <c r="F1596" s="97" t="b">
        <v>0</v>
      </c>
      <c r="G1596" s="97" t="b">
        <v>0</v>
      </c>
      <c r="H1596" s="98"/>
      <c r="I1596" s="98"/>
      <c r="J1596" s="98"/>
      <c r="K1596" s="102"/>
      <c r="L1596" s="102"/>
      <c r="M1596" s="102"/>
      <c r="N1596" s="102"/>
      <c r="O1596" s="98"/>
      <c r="P1596" s="98"/>
      <c r="Q1596" s="98"/>
    </row>
    <row r="1597">
      <c r="A1597" s="96"/>
      <c r="B1597" s="97"/>
      <c r="C1597" s="97"/>
      <c r="D1597" s="97"/>
      <c r="E1597" s="97"/>
      <c r="F1597" s="97" t="b">
        <v>0</v>
      </c>
      <c r="G1597" s="97" t="b">
        <v>0</v>
      </c>
      <c r="H1597" s="98"/>
      <c r="I1597" s="98"/>
      <c r="J1597" s="98"/>
      <c r="K1597" s="102"/>
      <c r="L1597" s="102"/>
      <c r="M1597" s="102"/>
      <c r="N1597" s="102"/>
      <c r="O1597" s="98"/>
      <c r="P1597" s="98"/>
      <c r="Q1597" s="98"/>
    </row>
    <row r="1598">
      <c r="A1598" s="96"/>
      <c r="B1598" s="97"/>
      <c r="C1598" s="97"/>
      <c r="D1598" s="97"/>
      <c r="E1598" s="97"/>
      <c r="F1598" s="97" t="b">
        <v>0</v>
      </c>
      <c r="G1598" s="97" t="b">
        <v>0</v>
      </c>
      <c r="H1598" s="98"/>
      <c r="I1598" s="98"/>
      <c r="J1598" s="98"/>
      <c r="K1598" s="102"/>
      <c r="L1598" s="102"/>
      <c r="M1598" s="102"/>
      <c r="N1598" s="102"/>
      <c r="O1598" s="98"/>
      <c r="P1598" s="98"/>
      <c r="Q1598" s="98"/>
    </row>
    <row r="1599">
      <c r="A1599" s="96"/>
      <c r="B1599" s="97"/>
      <c r="C1599" s="97"/>
      <c r="D1599" s="97"/>
      <c r="E1599" s="97"/>
      <c r="F1599" s="97" t="b">
        <v>0</v>
      </c>
      <c r="G1599" s="97" t="b">
        <v>0</v>
      </c>
      <c r="H1599" s="98"/>
      <c r="I1599" s="98"/>
      <c r="J1599" s="98"/>
      <c r="K1599" s="102"/>
      <c r="L1599" s="102"/>
      <c r="M1599" s="102"/>
      <c r="N1599" s="102"/>
      <c r="O1599" s="98"/>
      <c r="P1599" s="98"/>
      <c r="Q1599" s="98"/>
    </row>
    <row r="1600">
      <c r="A1600" s="96"/>
      <c r="B1600" s="97"/>
      <c r="C1600" s="97"/>
      <c r="D1600" s="97"/>
      <c r="E1600" s="97"/>
      <c r="F1600" s="97" t="b">
        <v>0</v>
      </c>
      <c r="G1600" s="97" t="b">
        <v>0</v>
      </c>
      <c r="H1600" s="98"/>
      <c r="I1600" s="98"/>
      <c r="J1600" s="98"/>
      <c r="K1600" s="102"/>
      <c r="L1600" s="102"/>
      <c r="M1600" s="102"/>
      <c r="N1600" s="102"/>
      <c r="O1600" s="98"/>
      <c r="P1600" s="98"/>
      <c r="Q1600" s="98"/>
    </row>
    <row r="1601">
      <c r="A1601" s="96"/>
      <c r="B1601" s="97"/>
      <c r="C1601" s="97"/>
      <c r="D1601" s="97"/>
      <c r="E1601" s="97"/>
      <c r="F1601" s="97" t="b">
        <v>0</v>
      </c>
      <c r="G1601" s="97" t="b">
        <v>0</v>
      </c>
      <c r="H1601" s="98"/>
      <c r="I1601" s="98"/>
      <c r="J1601" s="98"/>
      <c r="K1601" s="102"/>
      <c r="L1601" s="102"/>
      <c r="M1601" s="102"/>
      <c r="N1601" s="102"/>
      <c r="O1601" s="98"/>
      <c r="P1601" s="98"/>
      <c r="Q1601" s="98"/>
    </row>
    <row r="1602">
      <c r="A1602" s="96"/>
      <c r="B1602" s="97"/>
      <c r="C1602" s="97"/>
      <c r="D1602" s="97"/>
      <c r="E1602" s="97"/>
      <c r="F1602" s="97" t="b">
        <v>0</v>
      </c>
      <c r="G1602" s="97" t="b">
        <v>0</v>
      </c>
      <c r="H1602" s="98"/>
      <c r="I1602" s="98"/>
      <c r="J1602" s="98"/>
      <c r="K1602" s="102"/>
      <c r="L1602" s="102"/>
      <c r="M1602" s="102"/>
      <c r="N1602" s="102"/>
      <c r="O1602" s="98"/>
      <c r="P1602" s="98"/>
      <c r="Q1602" s="98"/>
    </row>
    <row r="1603">
      <c r="A1603" s="96"/>
      <c r="B1603" s="97"/>
      <c r="C1603" s="97"/>
      <c r="D1603" s="97"/>
      <c r="E1603" s="97"/>
      <c r="F1603" s="97" t="b">
        <v>0</v>
      </c>
      <c r="G1603" s="97" t="b">
        <v>0</v>
      </c>
      <c r="H1603" s="98"/>
      <c r="I1603" s="98"/>
      <c r="J1603" s="98"/>
      <c r="K1603" s="102"/>
      <c r="L1603" s="102"/>
      <c r="M1603" s="102"/>
      <c r="N1603" s="102"/>
      <c r="O1603" s="98"/>
      <c r="P1603" s="98"/>
      <c r="Q1603" s="98"/>
    </row>
    <row r="1604">
      <c r="A1604" s="96"/>
      <c r="B1604" s="97"/>
      <c r="C1604" s="97"/>
      <c r="D1604" s="97"/>
      <c r="E1604" s="97"/>
      <c r="F1604" s="97" t="b">
        <v>0</v>
      </c>
      <c r="G1604" s="97" t="b">
        <v>0</v>
      </c>
      <c r="H1604" s="98"/>
      <c r="I1604" s="98"/>
      <c r="J1604" s="98"/>
      <c r="K1604" s="102"/>
      <c r="L1604" s="102"/>
      <c r="M1604" s="102"/>
      <c r="N1604" s="102"/>
      <c r="O1604" s="98"/>
      <c r="P1604" s="98"/>
      <c r="Q1604" s="98"/>
    </row>
    <row r="1605">
      <c r="A1605" s="96"/>
      <c r="B1605" s="97"/>
      <c r="C1605" s="97"/>
      <c r="D1605" s="97"/>
      <c r="E1605" s="97"/>
      <c r="F1605" s="97" t="b">
        <v>0</v>
      </c>
      <c r="G1605" s="97" t="b">
        <v>0</v>
      </c>
      <c r="H1605" s="98"/>
      <c r="I1605" s="98"/>
      <c r="J1605" s="98"/>
      <c r="K1605" s="102"/>
      <c r="L1605" s="102"/>
      <c r="M1605" s="102"/>
      <c r="N1605" s="102"/>
      <c r="O1605" s="98"/>
      <c r="P1605" s="98"/>
      <c r="Q1605" s="98"/>
    </row>
    <row r="1606">
      <c r="A1606" s="96"/>
      <c r="B1606" s="97"/>
      <c r="C1606" s="97"/>
      <c r="D1606" s="97"/>
      <c r="E1606" s="97"/>
      <c r="F1606" s="97" t="b">
        <v>0</v>
      </c>
      <c r="G1606" s="97" t="b">
        <v>0</v>
      </c>
      <c r="H1606" s="98"/>
      <c r="I1606" s="98"/>
      <c r="J1606" s="98"/>
      <c r="K1606" s="102"/>
      <c r="L1606" s="102"/>
      <c r="M1606" s="102"/>
      <c r="N1606" s="102"/>
      <c r="O1606" s="98"/>
      <c r="P1606" s="98"/>
      <c r="Q1606" s="98"/>
    </row>
    <row r="1607">
      <c r="A1607" s="96"/>
      <c r="B1607" s="97"/>
      <c r="C1607" s="97"/>
      <c r="D1607" s="97"/>
      <c r="E1607" s="97"/>
      <c r="F1607" s="97" t="b">
        <v>0</v>
      </c>
      <c r="G1607" s="97" t="b">
        <v>0</v>
      </c>
      <c r="H1607" s="98"/>
      <c r="I1607" s="98"/>
      <c r="J1607" s="98"/>
      <c r="K1607" s="102"/>
      <c r="L1607" s="102"/>
      <c r="M1607" s="102"/>
      <c r="N1607" s="102"/>
      <c r="O1607" s="98"/>
      <c r="P1607" s="98"/>
      <c r="Q1607" s="98"/>
    </row>
    <row r="1608">
      <c r="A1608" s="96"/>
      <c r="B1608" s="97"/>
      <c r="C1608" s="97"/>
      <c r="D1608" s="97"/>
      <c r="E1608" s="97"/>
      <c r="F1608" s="97" t="b">
        <v>0</v>
      </c>
      <c r="G1608" s="97" t="b">
        <v>0</v>
      </c>
      <c r="H1608" s="98"/>
      <c r="I1608" s="98"/>
      <c r="J1608" s="98"/>
      <c r="K1608" s="102"/>
      <c r="L1608" s="102"/>
      <c r="M1608" s="102"/>
      <c r="N1608" s="102"/>
      <c r="O1608" s="98"/>
      <c r="P1608" s="98"/>
      <c r="Q1608" s="98"/>
    </row>
    <row r="1609">
      <c r="A1609" s="96"/>
      <c r="B1609" s="97"/>
      <c r="C1609" s="97"/>
      <c r="D1609" s="97"/>
      <c r="E1609" s="97"/>
      <c r="F1609" s="97" t="b">
        <v>0</v>
      </c>
      <c r="G1609" s="97" t="b">
        <v>0</v>
      </c>
      <c r="H1609" s="98"/>
      <c r="I1609" s="98"/>
      <c r="J1609" s="98"/>
      <c r="K1609" s="102"/>
      <c r="L1609" s="102"/>
      <c r="M1609" s="102"/>
      <c r="N1609" s="102"/>
      <c r="O1609" s="98"/>
      <c r="P1609" s="98"/>
      <c r="Q1609" s="98"/>
    </row>
    <row r="1610">
      <c r="A1610" s="96"/>
      <c r="B1610" s="97"/>
      <c r="C1610" s="97"/>
      <c r="D1610" s="97"/>
      <c r="E1610" s="97"/>
      <c r="F1610" s="97" t="b">
        <v>0</v>
      </c>
      <c r="G1610" s="97" t="b">
        <v>0</v>
      </c>
      <c r="H1610" s="98"/>
      <c r="I1610" s="98"/>
      <c r="J1610" s="98"/>
      <c r="K1610" s="102"/>
      <c r="L1610" s="102"/>
      <c r="M1610" s="102"/>
      <c r="N1610" s="102"/>
      <c r="O1610" s="98"/>
      <c r="P1610" s="98"/>
      <c r="Q1610" s="98"/>
    </row>
    <row r="1611">
      <c r="A1611" s="96"/>
      <c r="B1611" s="97"/>
      <c r="C1611" s="97"/>
      <c r="D1611" s="97"/>
      <c r="E1611" s="97"/>
      <c r="F1611" s="97" t="b">
        <v>0</v>
      </c>
      <c r="G1611" s="97" t="b">
        <v>0</v>
      </c>
      <c r="H1611" s="98"/>
      <c r="I1611" s="98"/>
      <c r="J1611" s="98"/>
      <c r="K1611" s="102"/>
      <c r="L1611" s="102"/>
      <c r="M1611" s="102"/>
      <c r="N1611" s="102"/>
      <c r="O1611" s="98"/>
      <c r="P1611" s="98"/>
      <c r="Q1611" s="98"/>
    </row>
    <row r="1612">
      <c r="A1612" s="96"/>
      <c r="B1612" s="97"/>
      <c r="C1612" s="97"/>
      <c r="D1612" s="97"/>
      <c r="E1612" s="97"/>
      <c r="F1612" s="97" t="b">
        <v>0</v>
      </c>
      <c r="G1612" s="97" t="b">
        <v>0</v>
      </c>
      <c r="H1612" s="98"/>
      <c r="I1612" s="98"/>
      <c r="J1612" s="98"/>
      <c r="K1612" s="102"/>
      <c r="L1612" s="102"/>
      <c r="M1612" s="102"/>
      <c r="N1612" s="102"/>
      <c r="O1612" s="98"/>
      <c r="P1612" s="98"/>
      <c r="Q1612" s="98"/>
    </row>
    <row r="1613">
      <c r="A1613" s="96"/>
      <c r="B1613" s="97"/>
      <c r="C1613" s="97"/>
      <c r="D1613" s="97"/>
      <c r="E1613" s="97"/>
      <c r="F1613" s="97" t="b">
        <v>0</v>
      </c>
      <c r="G1613" s="97" t="b">
        <v>0</v>
      </c>
      <c r="H1613" s="98"/>
      <c r="I1613" s="98"/>
      <c r="J1613" s="98"/>
      <c r="K1613" s="102"/>
      <c r="L1613" s="102"/>
      <c r="M1613" s="102"/>
      <c r="N1613" s="102"/>
      <c r="O1613" s="98"/>
      <c r="P1613" s="98"/>
      <c r="Q1613" s="98"/>
    </row>
    <row r="1614">
      <c r="A1614" s="96"/>
      <c r="B1614" s="97"/>
      <c r="C1614" s="97"/>
      <c r="D1614" s="97"/>
      <c r="E1614" s="97"/>
      <c r="F1614" s="97" t="b">
        <v>0</v>
      </c>
      <c r="G1614" s="97" t="b">
        <v>0</v>
      </c>
      <c r="H1614" s="98"/>
      <c r="I1614" s="98"/>
      <c r="J1614" s="98"/>
      <c r="K1614" s="102"/>
      <c r="L1614" s="102"/>
      <c r="M1614" s="102"/>
      <c r="N1614" s="102"/>
      <c r="O1614" s="98"/>
      <c r="P1614" s="98"/>
      <c r="Q1614" s="98"/>
    </row>
    <row r="1615">
      <c r="A1615" s="96"/>
      <c r="B1615" s="97"/>
      <c r="C1615" s="97"/>
      <c r="D1615" s="97"/>
      <c r="E1615" s="97"/>
      <c r="F1615" s="97" t="b">
        <v>0</v>
      </c>
      <c r="G1615" s="97" t="b">
        <v>0</v>
      </c>
      <c r="H1615" s="98"/>
      <c r="I1615" s="98"/>
      <c r="J1615" s="98"/>
      <c r="K1615" s="102"/>
      <c r="L1615" s="102"/>
      <c r="M1615" s="102"/>
      <c r="N1615" s="102"/>
      <c r="O1615" s="98"/>
      <c r="P1615" s="98"/>
      <c r="Q1615" s="98"/>
    </row>
    <row r="1616">
      <c r="A1616" s="96"/>
      <c r="B1616" s="97"/>
      <c r="C1616" s="97"/>
      <c r="D1616" s="97"/>
      <c r="E1616" s="97"/>
      <c r="F1616" s="97" t="b">
        <v>0</v>
      </c>
      <c r="G1616" s="97" t="b">
        <v>0</v>
      </c>
      <c r="H1616" s="98"/>
      <c r="I1616" s="98"/>
      <c r="J1616" s="98"/>
      <c r="K1616" s="102"/>
      <c r="L1616" s="102"/>
      <c r="M1616" s="102"/>
      <c r="N1616" s="102"/>
      <c r="O1616" s="98"/>
      <c r="P1616" s="98"/>
      <c r="Q1616" s="98"/>
    </row>
    <row r="1617">
      <c r="A1617" s="96"/>
      <c r="B1617" s="97"/>
      <c r="C1617" s="97"/>
      <c r="D1617" s="97"/>
      <c r="E1617" s="97"/>
      <c r="F1617" s="97" t="b">
        <v>0</v>
      </c>
      <c r="G1617" s="97" t="b">
        <v>0</v>
      </c>
      <c r="H1617" s="98"/>
      <c r="I1617" s="98"/>
      <c r="J1617" s="98"/>
      <c r="K1617" s="102"/>
      <c r="L1617" s="102"/>
      <c r="M1617" s="102"/>
      <c r="N1617" s="102"/>
      <c r="O1617" s="98"/>
      <c r="P1617" s="98"/>
      <c r="Q1617" s="98"/>
    </row>
    <row r="1618">
      <c r="A1618" s="96"/>
      <c r="B1618" s="97"/>
      <c r="C1618" s="97"/>
      <c r="D1618" s="97"/>
      <c r="E1618" s="97"/>
      <c r="F1618" s="97" t="b">
        <v>0</v>
      </c>
      <c r="G1618" s="97" t="b">
        <v>0</v>
      </c>
      <c r="H1618" s="98"/>
      <c r="I1618" s="98"/>
      <c r="J1618" s="98"/>
      <c r="K1618" s="102"/>
      <c r="L1618" s="102"/>
      <c r="M1618" s="102"/>
      <c r="N1618" s="102"/>
      <c r="O1618" s="98"/>
      <c r="P1618" s="98"/>
      <c r="Q1618" s="98"/>
    </row>
    <row r="1619">
      <c r="A1619" s="96"/>
      <c r="B1619" s="97"/>
      <c r="C1619" s="97"/>
      <c r="D1619" s="97"/>
      <c r="E1619" s="97"/>
      <c r="F1619" s="97" t="b">
        <v>0</v>
      </c>
      <c r="G1619" s="97" t="b">
        <v>0</v>
      </c>
      <c r="H1619" s="98"/>
      <c r="I1619" s="98"/>
      <c r="J1619" s="98"/>
      <c r="K1619" s="102"/>
      <c r="L1619" s="102"/>
      <c r="M1619" s="102"/>
      <c r="N1619" s="102"/>
      <c r="O1619" s="98"/>
      <c r="P1619" s="98"/>
      <c r="Q1619" s="98"/>
    </row>
    <row r="1620">
      <c r="A1620" s="96"/>
      <c r="B1620" s="97"/>
      <c r="C1620" s="97"/>
      <c r="D1620" s="97"/>
      <c r="E1620" s="97"/>
      <c r="F1620" s="97" t="b">
        <v>0</v>
      </c>
      <c r="G1620" s="97" t="b">
        <v>0</v>
      </c>
      <c r="H1620" s="98"/>
      <c r="I1620" s="98"/>
      <c r="J1620" s="98"/>
      <c r="K1620" s="102"/>
      <c r="L1620" s="102"/>
      <c r="M1620" s="102"/>
      <c r="N1620" s="102"/>
      <c r="O1620" s="98"/>
      <c r="P1620" s="98"/>
      <c r="Q1620" s="98"/>
    </row>
    <row r="1621">
      <c r="A1621" s="96"/>
      <c r="B1621" s="97"/>
      <c r="C1621" s="97"/>
      <c r="D1621" s="97"/>
      <c r="E1621" s="97"/>
      <c r="F1621" s="97" t="b">
        <v>0</v>
      </c>
      <c r="G1621" s="97" t="b">
        <v>0</v>
      </c>
      <c r="H1621" s="98"/>
      <c r="I1621" s="98"/>
      <c r="J1621" s="98"/>
      <c r="K1621" s="102"/>
      <c r="L1621" s="102"/>
      <c r="M1621" s="102"/>
      <c r="N1621" s="102"/>
      <c r="O1621" s="98"/>
      <c r="P1621" s="98"/>
      <c r="Q1621" s="98"/>
    </row>
    <row r="1622">
      <c r="A1622" s="96"/>
      <c r="B1622" s="97"/>
      <c r="C1622" s="97"/>
      <c r="D1622" s="97"/>
      <c r="E1622" s="97"/>
      <c r="F1622" s="97" t="b">
        <v>0</v>
      </c>
      <c r="G1622" s="97" t="b">
        <v>0</v>
      </c>
      <c r="H1622" s="98"/>
      <c r="I1622" s="98"/>
      <c r="J1622" s="98"/>
      <c r="K1622" s="102"/>
      <c r="L1622" s="102"/>
      <c r="M1622" s="102"/>
      <c r="N1622" s="102"/>
      <c r="O1622" s="98"/>
      <c r="P1622" s="98"/>
      <c r="Q1622" s="98"/>
    </row>
    <row r="1623">
      <c r="A1623" s="96"/>
      <c r="B1623" s="97"/>
      <c r="C1623" s="97"/>
      <c r="D1623" s="97"/>
      <c r="E1623" s="97"/>
      <c r="F1623" s="97" t="b">
        <v>0</v>
      </c>
      <c r="G1623" s="97" t="b">
        <v>0</v>
      </c>
      <c r="H1623" s="98"/>
      <c r="I1623" s="98"/>
      <c r="J1623" s="98"/>
      <c r="K1623" s="102"/>
      <c r="L1623" s="102"/>
      <c r="M1623" s="102"/>
      <c r="N1623" s="102"/>
      <c r="O1623" s="98"/>
      <c r="P1623" s="98"/>
      <c r="Q1623" s="98"/>
    </row>
    <row r="1624">
      <c r="A1624" s="96"/>
      <c r="B1624" s="97"/>
      <c r="C1624" s="97"/>
      <c r="D1624" s="97"/>
      <c r="E1624" s="97"/>
      <c r="F1624" s="97" t="b">
        <v>0</v>
      </c>
      <c r="G1624" s="97" t="b">
        <v>0</v>
      </c>
      <c r="H1624" s="98"/>
      <c r="I1624" s="98"/>
      <c r="J1624" s="98"/>
      <c r="K1624" s="102"/>
      <c r="L1624" s="102"/>
      <c r="M1624" s="102"/>
      <c r="N1624" s="102"/>
      <c r="O1624" s="98"/>
      <c r="P1624" s="98"/>
      <c r="Q1624" s="98"/>
    </row>
    <row r="1625">
      <c r="A1625" s="96"/>
      <c r="B1625" s="97"/>
      <c r="C1625" s="97"/>
      <c r="D1625" s="97"/>
      <c r="E1625" s="97"/>
      <c r="F1625" s="97" t="b">
        <v>0</v>
      </c>
      <c r="G1625" s="97" t="b">
        <v>0</v>
      </c>
      <c r="H1625" s="98"/>
      <c r="I1625" s="98"/>
      <c r="J1625" s="98"/>
      <c r="K1625" s="102"/>
      <c r="L1625" s="102"/>
      <c r="M1625" s="102"/>
      <c r="N1625" s="102"/>
      <c r="O1625" s="98"/>
      <c r="P1625" s="98"/>
      <c r="Q1625" s="98"/>
    </row>
    <row r="1626">
      <c r="A1626" s="96"/>
      <c r="B1626" s="97"/>
      <c r="C1626" s="97"/>
      <c r="D1626" s="97"/>
      <c r="E1626" s="97"/>
      <c r="F1626" s="97" t="b">
        <v>0</v>
      </c>
      <c r="G1626" s="97" t="b">
        <v>0</v>
      </c>
      <c r="H1626" s="98"/>
      <c r="I1626" s="98"/>
      <c r="J1626" s="98"/>
      <c r="K1626" s="102"/>
      <c r="L1626" s="102"/>
      <c r="M1626" s="102"/>
      <c r="N1626" s="102"/>
      <c r="O1626" s="98"/>
      <c r="P1626" s="98"/>
      <c r="Q1626" s="98"/>
    </row>
    <row r="1627">
      <c r="A1627" s="96"/>
      <c r="B1627" s="97"/>
      <c r="C1627" s="97"/>
      <c r="D1627" s="97"/>
      <c r="E1627" s="97"/>
      <c r="F1627" s="97" t="b">
        <v>0</v>
      </c>
      <c r="G1627" s="97" t="b">
        <v>0</v>
      </c>
      <c r="H1627" s="98"/>
      <c r="I1627" s="98"/>
      <c r="J1627" s="98"/>
      <c r="K1627" s="102"/>
      <c r="L1627" s="102"/>
      <c r="M1627" s="102"/>
      <c r="N1627" s="102"/>
      <c r="O1627" s="98"/>
      <c r="P1627" s="98"/>
      <c r="Q1627" s="98"/>
    </row>
    <row r="1628">
      <c r="A1628" s="96"/>
      <c r="B1628" s="97"/>
      <c r="C1628" s="97"/>
      <c r="D1628" s="97"/>
      <c r="E1628" s="97"/>
      <c r="F1628" s="97" t="b">
        <v>0</v>
      </c>
      <c r="G1628" s="97" t="b">
        <v>0</v>
      </c>
      <c r="H1628" s="98"/>
      <c r="I1628" s="98"/>
      <c r="J1628" s="98"/>
      <c r="K1628" s="102"/>
      <c r="L1628" s="102"/>
      <c r="M1628" s="102"/>
      <c r="N1628" s="102"/>
      <c r="O1628" s="98"/>
      <c r="P1628" s="98"/>
      <c r="Q1628" s="98"/>
    </row>
    <row r="1629">
      <c r="A1629" s="96"/>
      <c r="B1629" s="97"/>
      <c r="C1629" s="97"/>
      <c r="D1629" s="97"/>
      <c r="E1629" s="97"/>
      <c r="F1629" s="97" t="b">
        <v>0</v>
      </c>
      <c r="G1629" s="97" t="b">
        <v>0</v>
      </c>
      <c r="H1629" s="98"/>
      <c r="I1629" s="98"/>
      <c r="J1629" s="98"/>
      <c r="K1629" s="102"/>
      <c r="L1629" s="102"/>
      <c r="M1629" s="102"/>
      <c r="N1629" s="102"/>
      <c r="O1629" s="98"/>
      <c r="P1629" s="98"/>
      <c r="Q1629" s="98"/>
    </row>
    <row r="1630">
      <c r="A1630" s="96"/>
      <c r="B1630" s="97"/>
      <c r="C1630" s="97"/>
      <c r="D1630" s="97"/>
      <c r="E1630" s="97"/>
      <c r="F1630" s="97" t="b">
        <v>0</v>
      </c>
      <c r="G1630" s="97" t="b">
        <v>0</v>
      </c>
      <c r="H1630" s="98"/>
      <c r="I1630" s="98"/>
      <c r="J1630" s="98"/>
      <c r="K1630" s="102"/>
      <c r="L1630" s="102"/>
      <c r="M1630" s="102"/>
      <c r="N1630" s="102"/>
      <c r="O1630" s="98"/>
      <c r="P1630" s="98"/>
      <c r="Q1630" s="98"/>
    </row>
    <row r="1631">
      <c r="A1631" s="96"/>
      <c r="B1631" s="97"/>
      <c r="C1631" s="97"/>
      <c r="D1631" s="97"/>
      <c r="E1631" s="97"/>
      <c r="F1631" s="97" t="b">
        <v>0</v>
      </c>
      <c r="G1631" s="97" t="b">
        <v>0</v>
      </c>
      <c r="H1631" s="98"/>
      <c r="I1631" s="98"/>
      <c r="J1631" s="98"/>
      <c r="K1631" s="102"/>
      <c r="L1631" s="102"/>
      <c r="M1631" s="102"/>
      <c r="N1631" s="102"/>
      <c r="O1631" s="98"/>
      <c r="P1631" s="98"/>
      <c r="Q1631" s="98"/>
    </row>
    <row r="1632">
      <c r="A1632" s="96"/>
      <c r="B1632" s="97"/>
      <c r="C1632" s="97"/>
      <c r="D1632" s="97"/>
      <c r="E1632" s="97"/>
      <c r="F1632" s="97" t="b">
        <v>0</v>
      </c>
      <c r="G1632" s="97" t="b">
        <v>0</v>
      </c>
      <c r="H1632" s="98"/>
      <c r="I1632" s="98"/>
      <c r="J1632" s="98"/>
      <c r="K1632" s="102"/>
      <c r="L1632" s="102"/>
      <c r="M1632" s="102"/>
      <c r="N1632" s="102"/>
      <c r="O1632" s="98"/>
      <c r="P1632" s="98"/>
      <c r="Q1632" s="98"/>
    </row>
    <row r="1633">
      <c r="A1633" s="96"/>
      <c r="B1633" s="97"/>
      <c r="C1633" s="97"/>
      <c r="D1633" s="97"/>
      <c r="E1633" s="97"/>
      <c r="F1633" s="97" t="b">
        <v>0</v>
      </c>
      <c r="G1633" s="97" t="b">
        <v>0</v>
      </c>
      <c r="H1633" s="98"/>
      <c r="I1633" s="98"/>
      <c r="J1633" s="98"/>
      <c r="K1633" s="102"/>
      <c r="L1633" s="102"/>
      <c r="M1633" s="102"/>
      <c r="N1633" s="102"/>
      <c r="O1633" s="98"/>
      <c r="P1633" s="98"/>
      <c r="Q1633" s="98"/>
    </row>
    <row r="1634">
      <c r="A1634" s="96"/>
      <c r="B1634" s="97"/>
      <c r="C1634" s="97"/>
      <c r="D1634" s="97"/>
      <c r="E1634" s="97"/>
      <c r="F1634" s="97" t="b">
        <v>0</v>
      </c>
      <c r="G1634" s="97" t="b">
        <v>0</v>
      </c>
      <c r="H1634" s="98"/>
      <c r="I1634" s="98"/>
      <c r="J1634" s="98"/>
      <c r="K1634" s="102"/>
      <c r="L1634" s="102"/>
      <c r="M1634" s="102"/>
      <c r="N1634" s="102"/>
      <c r="O1634" s="98"/>
      <c r="P1634" s="98"/>
      <c r="Q1634" s="98"/>
    </row>
    <row r="1635">
      <c r="A1635" s="96"/>
      <c r="B1635" s="97"/>
      <c r="C1635" s="97"/>
      <c r="D1635" s="97"/>
      <c r="E1635" s="97"/>
      <c r="F1635" s="97" t="b">
        <v>0</v>
      </c>
      <c r="G1635" s="97" t="b">
        <v>0</v>
      </c>
      <c r="H1635" s="98"/>
      <c r="I1635" s="98"/>
      <c r="J1635" s="98"/>
      <c r="K1635" s="102"/>
      <c r="L1635" s="102"/>
      <c r="M1635" s="102"/>
      <c r="N1635" s="102"/>
      <c r="O1635" s="98"/>
      <c r="P1635" s="98"/>
      <c r="Q1635" s="98"/>
    </row>
    <row r="1636">
      <c r="A1636" s="96"/>
      <c r="B1636" s="97"/>
      <c r="C1636" s="97"/>
      <c r="D1636" s="97"/>
      <c r="E1636" s="97"/>
      <c r="F1636" s="97" t="b">
        <v>0</v>
      </c>
      <c r="G1636" s="97" t="b">
        <v>0</v>
      </c>
      <c r="H1636" s="98"/>
      <c r="I1636" s="98"/>
      <c r="J1636" s="98"/>
      <c r="K1636" s="102"/>
      <c r="L1636" s="102"/>
      <c r="M1636" s="102"/>
      <c r="N1636" s="102"/>
      <c r="O1636" s="98"/>
      <c r="P1636" s="98"/>
      <c r="Q1636" s="98"/>
    </row>
    <row r="1637">
      <c r="A1637" s="96"/>
      <c r="B1637" s="97"/>
      <c r="C1637" s="97"/>
      <c r="D1637" s="97"/>
      <c r="E1637" s="97"/>
      <c r="F1637" s="97" t="b">
        <v>0</v>
      </c>
      <c r="G1637" s="97" t="b">
        <v>0</v>
      </c>
      <c r="H1637" s="98"/>
      <c r="I1637" s="98"/>
      <c r="J1637" s="98"/>
      <c r="K1637" s="102"/>
      <c r="L1637" s="102"/>
      <c r="M1637" s="102"/>
      <c r="N1637" s="102"/>
      <c r="O1637" s="98"/>
      <c r="P1637" s="98"/>
      <c r="Q1637" s="98"/>
    </row>
    <row r="1638">
      <c r="A1638" s="96"/>
      <c r="B1638" s="97"/>
      <c r="C1638" s="97"/>
      <c r="D1638" s="97"/>
      <c r="E1638" s="97"/>
      <c r="F1638" s="97" t="b">
        <v>0</v>
      </c>
      <c r="G1638" s="97" t="b">
        <v>0</v>
      </c>
      <c r="H1638" s="98"/>
      <c r="I1638" s="98"/>
      <c r="J1638" s="98"/>
      <c r="K1638" s="102"/>
      <c r="L1638" s="102"/>
      <c r="M1638" s="102"/>
      <c r="N1638" s="102"/>
      <c r="O1638" s="98"/>
      <c r="P1638" s="98"/>
      <c r="Q1638" s="98"/>
    </row>
    <row r="1639">
      <c r="A1639" s="96"/>
      <c r="B1639" s="97"/>
      <c r="C1639" s="97"/>
      <c r="D1639" s="97"/>
      <c r="E1639" s="97"/>
      <c r="F1639" s="97" t="b">
        <v>0</v>
      </c>
      <c r="G1639" s="97" t="b">
        <v>0</v>
      </c>
      <c r="H1639" s="98"/>
      <c r="I1639" s="98"/>
      <c r="J1639" s="98"/>
      <c r="K1639" s="102"/>
      <c r="L1639" s="102"/>
      <c r="M1639" s="102"/>
      <c r="N1639" s="102"/>
      <c r="O1639" s="98"/>
      <c r="P1639" s="98"/>
      <c r="Q1639" s="98"/>
    </row>
    <row r="1640">
      <c r="A1640" s="96"/>
      <c r="B1640" s="97"/>
      <c r="C1640" s="97"/>
      <c r="D1640" s="97"/>
      <c r="E1640" s="97"/>
      <c r="F1640" s="97" t="b">
        <v>0</v>
      </c>
      <c r="G1640" s="97" t="b">
        <v>0</v>
      </c>
      <c r="H1640" s="98"/>
      <c r="I1640" s="98"/>
      <c r="J1640" s="98"/>
      <c r="K1640" s="102"/>
      <c r="L1640" s="102"/>
      <c r="M1640" s="102"/>
      <c r="N1640" s="102"/>
      <c r="O1640" s="98"/>
      <c r="P1640" s="98"/>
      <c r="Q1640" s="98"/>
    </row>
    <row r="1641">
      <c r="A1641" s="96"/>
      <c r="B1641" s="97"/>
      <c r="C1641" s="97"/>
      <c r="D1641" s="97"/>
      <c r="E1641" s="97"/>
      <c r="F1641" s="97" t="b">
        <v>0</v>
      </c>
      <c r="G1641" s="97" t="b">
        <v>0</v>
      </c>
      <c r="H1641" s="98"/>
      <c r="I1641" s="98"/>
      <c r="J1641" s="98"/>
      <c r="K1641" s="102"/>
      <c r="L1641" s="102"/>
      <c r="M1641" s="102"/>
      <c r="N1641" s="102"/>
      <c r="O1641" s="98"/>
      <c r="P1641" s="98"/>
      <c r="Q1641" s="98"/>
    </row>
    <row r="1642">
      <c r="A1642" s="96"/>
      <c r="B1642" s="97"/>
      <c r="C1642" s="97"/>
      <c r="D1642" s="97"/>
      <c r="E1642" s="97"/>
      <c r="F1642" s="97" t="b">
        <v>0</v>
      </c>
      <c r="G1642" s="97" t="b">
        <v>0</v>
      </c>
      <c r="H1642" s="98"/>
      <c r="I1642" s="98"/>
      <c r="J1642" s="98"/>
      <c r="K1642" s="102"/>
      <c r="L1642" s="102"/>
      <c r="M1642" s="102"/>
      <c r="N1642" s="102"/>
      <c r="O1642" s="98"/>
      <c r="P1642" s="98"/>
      <c r="Q1642" s="98"/>
    </row>
    <row r="1643">
      <c r="A1643" s="96"/>
      <c r="B1643" s="97"/>
      <c r="C1643" s="97"/>
      <c r="D1643" s="97"/>
      <c r="E1643" s="97"/>
      <c r="F1643" s="97" t="b">
        <v>0</v>
      </c>
      <c r="G1643" s="97" t="b">
        <v>0</v>
      </c>
      <c r="H1643" s="98"/>
      <c r="I1643" s="98"/>
      <c r="J1643" s="98"/>
      <c r="K1643" s="102"/>
      <c r="L1643" s="102"/>
      <c r="M1643" s="102"/>
      <c r="N1643" s="102"/>
      <c r="O1643" s="98"/>
      <c r="P1643" s="98"/>
      <c r="Q1643" s="98"/>
    </row>
    <row r="1644">
      <c r="A1644" s="96"/>
      <c r="B1644" s="97"/>
      <c r="C1644" s="97"/>
      <c r="D1644" s="97"/>
      <c r="E1644" s="97"/>
      <c r="F1644" s="97" t="b">
        <v>0</v>
      </c>
      <c r="G1644" s="97" t="b">
        <v>0</v>
      </c>
      <c r="H1644" s="98"/>
      <c r="I1644" s="98"/>
      <c r="J1644" s="98"/>
      <c r="K1644" s="102"/>
      <c r="L1644" s="102"/>
      <c r="M1644" s="102"/>
      <c r="N1644" s="102"/>
      <c r="O1644" s="98"/>
      <c r="P1644" s="98"/>
      <c r="Q1644" s="98"/>
    </row>
    <row r="1645">
      <c r="A1645" s="96"/>
      <c r="B1645" s="97"/>
      <c r="C1645" s="97"/>
      <c r="D1645" s="97"/>
      <c r="E1645" s="97"/>
      <c r="F1645" s="97" t="b">
        <v>0</v>
      </c>
      <c r="G1645" s="97" t="b">
        <v>0</v>
      </c>
      <c r="H1645" s="98"/>
      <c r="I1645" s="98"/>
      <c r="J1645" s="98"/>
      <c r="K1645" s="102"/>
      <c r="L1645" s="102"/>
      <c r="M1645" s="102"/>
      <c r="N1645" s="102"/>
      <c r="O1645" s="98"/>
      <c r="P1645" s="98"/>
      <c r="Q1645" s="98"/>
    </row>
    <row r="1646">
      <c r="A1646" s="96"/>
      <c r="B1646" s="97"/>
      <c r="C1646" s="97"/>
      <c r="D1646" s="97"/>
      <c r="E1646" s="97"/>
      <c r="F1646" s="97" t="b">
        <v>0</v>
      </c>
      <c r="G1646" s="97" t="b">
        <v>0</v>
      </c>
      <c r="H1646" s="98"/>
      <c r="I1646" s="98"/>
      <c r="J1646" s="98"/>
      <c r="K1646" s="102"/>
      <c r="L1646" s="102"/>
      <c r="M1646" s="102"/>
      <c r="N1646" s="102"/>
      <c r="O1646" s="98"/>
      <c r="P1646" s="98"/>
      <c r="Q1646" s="98"/>
    </row>
    <row r="1647">
      <c r="A1647" s="96"/>
      <c r="B1647" s="97"/>
      <c r="C1647" s="97"/>
      <c r="D1647" s="97"/>
      <c r="E1647" s="97"/>
      <c r="F1647" s="97" t="b">
        <v>0</v>
      </c>
      <c r="G1647" s="97" t="b">
        <v>0</v>
      </c>
      <c r="H1647" s="98"/>
      <c r="I1647" s="98"/>
      <c r="J1647" s="98"/>
      <c r="K1647" s="102"/>
      <c r="L1647" s="102"/>
      <c r="M1647" s="102"/>
      <c r="N1647" s="102"/>
      <c r="O1647" s="98"/>
      <c r="P1647" s="98"/>
      <c r="Q1647" s="98"/>
    </row>
    <row r="1648">
      <c r="A1648" s="96"/>
      <c r="B1648" s="97"/>
      <c r="C1648" s="97"/>
      <c r="D1648" s="97"/>
      <c r="E1648" s="97"/>
      <c r="F1648" s="97" t="b">
        <v>0</v>
      </c>
      <c r="G1648" s="97" t="b">
        <v>0</v>
      </c>
      <c r="H1648" s="98"/>
      <c r="I1648" s="98"/>
      <c r="J1648" s="98"/>
      <c r="K1648" s="102"/>
      <c r="L1648" s="102"/>
      <c r="M1648" s="102"/>
      <c r="N1648" s="102"/>
      <c r="O1648" s="98"/>
      <c r="P1648" s="98"/>
      <c r="Q1648" s="98"/>
    </row>
    <row r="1649">
      <c r="A1649" s="96"/>
      <c r="B1649" s="97"/>
      <c r="C1649" s="97"/>
      <c r="D1649" s="97"/>
      <c r="E1649" s="97"/>
      <c r="F1649" s="97" t="b">
        <v>0</v>
      </c>
      <c r="G1649" s="97" t="b">
        <v>0</v>
      </c>
      <c r="H1649" s="98"/>
      <c r="I1649" s="98"/>
      <c r="J1649" s="98"/>
      <c r="K1649" s="102"/>
      <c r="L1649" s="102"/>
      <c r="M1649" s="102"/>
      <c r="N1649" s="102"/>
      <c r="O1649" s="98"/>
      <c r="P1649" s="98"/>
      <c r="Q1649" s="98"/>
    </row>
    <row r="1650">
      <c r="A1650" s="96"/>
      <c r="B1650" s="97"/>
      <c r="C1650" s="97"/>
      <c r="D1650" s="97"/>
      <c r="E1650" s="97"/>
      <c r="F1650" s="97" t="b">
        <v>0</v>
      </c>
      <c r="G1650" s="97" t="b">
        <v>0</v>
      </c>
      <c r="H1650" s="98"/>
      <c r="I1650" s="98"/>
      <c r="J1650" s="98"/>
      <c r="K1650" s="102"/>
      <c r="L1650" s="102"/>
      <c r="M1650" s="102"/>
      <c r="N1650" s="102"/>
      <c r="O1650" s="98"/>
      <c r="P1650" s="98"/>
      <c r="Q1650" s="98"/>
    </row>
    <row r="1651">
      <c r="A1651" s="96"/>
      <c r="B1651" s="97"/>
      <c r="C1651" s="97"/>
      <c r="D1651" s="97"/>
      <c r="E1651" s="97"/>
      <c r="F1651" s="97" t="b">
        <v>0</v>
      </c>
      <c r="G1651" s="97" t="b">
        <v>0</v>
      </c>
      <c r="H1651" s="98"/>
      <c r="I1651" s="98"/>
      <c r="J1651" s="98"/>
      <c r="K1651" s="102"/>
      <c r="L1651" s="102"/>
      <c r="M1651" s="102"/>
      <c r="N1651" s="102"/>
      <c r="O1651" s="98"/>
      <c r="P1651" s="98"/>
      <c r="Q1651" s="98"/>
    </row>
    <row r="1652">
      <c r="A1652" s="96"/>
      <c r="B1652" s="97"/>
      <c r="C1652" s="97"/>
      <c r="D1652" s="97"/>
      <c r="E1652" s="97"/>
      <c r="F1652" s="97" t="b">
        <v>0</v>
      </c>
      <c r="G1652" s="97" t="b">
        <v>0</v>
      </c>
      <c r="H1652" s="98"/>
      <c r="I1652" s="98"/>
      <c r="J1652" s="98"/>
      <c r="K1652" s="102"/>
      <c r="L1652" s="102"/>
      <c r="M1652" s="102"/>
      <c r="N1652" s="102"/>
      <c r="O1652" s="98"/>
      <c r="P1652" s="98"/>
      <c r="Q1652" s="98"/>
    </row>
    <row r="1653">
      <c r="A1653" s="96"/>
      <c r="B1653" s="97"/>
      <c r="C1653" s="97"/>
      <c r="D1653" s="97"/>
      <c r="E1653" s="97"/>
      <c r="F1653" s="97" t="b">
        <v>0</v>
      </c>
      <c r="G1653" s="97" t="b">
        <v>0</v>
      </c>
      <c r="H1653" s="98"/>
      <c r="I1653" s="98"/>
      <c r="J1653" s="98"/>
      <c r="K1653" s="102"/>
      <c r="L1653" s="102"/>
      <c r="M1653" s="102"/>
      <c r="N1653" s="102"/>
      <c r="O1653" s="98"/>
      <c r="P1653" s="98"/>
      <c r="Q1653" s="98"/>
    </row>
    <row r="1654">
      <c r="A1654" s="96"/>
      <c r="B1654" s="97"/>
      <c r="C1654" s="97"/>
      <c r="D1654" s="97"/>
      <c r="E1654" s="97"/>
      <c r="F1654" s="97" t="b">
        <v>0</v>
      </c>
      <c r="G1654" s="97" t="b">
        <v>0</v>
      </c>
      <c r="H1654" s="98"/>
      <c r="I1654" s="98"/>
      <c r="J1654" s="98"/>
      <c r="K1654" s="102"/>
      <c r="L1654" s="102"/>
      <c r="M1654" s="102"/>
      <c r="N1654" s="102"/>
      <c r="O1654" s="98"/>
      <c r="P1654" s="98"/>
      <c r="Q1654" s="98"/>
    </row>
    <row r="1655">
      <c r="A1655" s="96"/>
      <c r="B1655" s="97"/>
      <c r="C1655" s="97"/>
      <c r="D1655" s="97"/>
      <c r="E1655" s="97"/>
      <c r="F1655" s="97" t="b">
        <v>0</v>
      </c>
      <c r="G1655" s="97" t="b">
        <v>0</v>
      </c>
      <c r="H1655" s="98"/>
      <c r="I1655" s="98"/>
      <c r="J1655" s="98"/>
      <c r="K1655" s="102"/>
      <c r="L1655" s="102"/>
      <c r="M1655" s="102"/>
      <c r="N1655" s="102"/>
      <c r="O1655" s="98"/>
      <c r="P1655" s="98"/>
      <c r="Q1655" s="98"/>
    </row>
    <row r="1656">
      <c r="A1656" s="96"/>
      <c r="B1656" s="97"/>
      <c r="C1656" s="97"/>
      <c r="D1656" s="97"/>
      <c r="E1656" s="97"/>
      <c r="F1656" s="97" t="b">
        <v>0</v>
      </c>
      <c r="G1656" s="97" t="b">
        <v>0</v>
      </c>
      <c r="H1656" s="98"/>
      <c r="I1656" s="98"/>
      <c r="J1656" s="98"/>
      <c r="K1656" s="102"/>
      <c r="L1656" s="102"/>
      <c r="M1656" s="102"/>
      <c r="N1656" s="102"/>
      <c r="O1656" s="98"/>
      <c r="P1656" s="98"/>
      <c r="Q1656" s="98"/>
    </row>
    <row r="1657">
      <c r="A1657" s="96"/>
      <c r="B1657" s="97"/>
      <c r="C1657" s="97"/>
      <c r="D1657" s="97"/>
      <c r="E1657" s="97"/>
      <c r="F1657" s="97" t="b">
        <v>0</v>
      </c>
      <c r="G1657" s="97" t="b">
        <v>0</v>
      </c>
      <c r="H1657" s="98"/>
      <c r="I1657" s="98"/>
      <c r="J1657" s="98"/>
      <c r="K1657" s="102"/>
      <c r="L1657" s="102"/>
      <c r="M1657" s="102"/>
      <c r="N1657" s="102"/>
      <c r="O1657" s="98"/>
      <c r="P1657" s="98"/>
      <c r="Q1657" s="98"/>
    </row>
    <row r="1658">
      <c r="A1658" s="96"/>
      <c r="B1658" s="97"/>
      <c r="C1658" s="97"/>
      <c r="D1658" s="97"/>
      <c r="E1658" s="97"/>
      <c r="F1658" s="97" t="b">
        <v>0</v>
      </c>
      <c r="G1658" s="97" t="b">
        <v>0</v>
      </c>
      <c r="H1658" s="98"/>
      <c r="I1658" s="98"/>
      <c r="J1658" s="98"/>
      <c r="K1658" s="102"/>
      <c r="L1658" s="102"/>
      <c r="M1658" s="102"/>
      <c r="N1658" s="102"/>
      <c r="O1658" s="98"/>
      <c r="P1658" s="98"/>
      <c r="Q1658" s="98"/>
    </row>
    <row r="1659">
      <c r="A1659" s="96"/>
      <c r="B1659" s="97"/>
      <c r="C1659" s="97"/>
      <c r="D1659" s="97"/>
      <c r="E1659" s="97"/>
      <c r="F1659" s="97" t="b">
        <v>0</v>
      </c>
      <c r="G1659" s="97" t="b">
        <v>0</v>
      </c>
      <c r="H1659" s="98"/>
      <c r="I1659" s="98"/>
      <c r="J1659" s="98"/>
      <c r="K1659" s="102"/>
      <c r="L1659" s="102"/>
      <c r="M1659" s="102"/>
      <c r="N1659" s="102"/>
      <c r="O1659" s="98"/>
      <c r="P1659" s="98"/>
      <c r="Q1659" s="98"/>
    </row>
    <row r="1660">
      <c r="A1660" s="96"/>
      <c r="B1660" s="97"/>
      <c r="C1660" s="97"/>
      <c r="D1660" s="97"/>
      <c r="E1660" s="97"/>
      <c r="F1660" s="97" t="b">
        <v>0</v>
      </c>
      <c r="G1660" s="97" t="b">
        <v>0</v>
      </c>
      <c r="H1660" s="98"/>
      <c r="I1660" s="98"/>
      <c r="J1660" s="98"/>
      <c r="K1660" s="102"/>
      <c r="L1660" s="102"/>
      <c r="M1660" s="102"/>
      <c r="N1660" s="102"/>
      <c r="O1660" s="98"/>
      <c r="P1660" s="98"/>
      <c r="Q1660" s="98"/>
    </row>
    <row r="1661">
      <c r="A1661" s="96"/>
      <c r="B1661" s="97"/>
      <c r="C1661" s="97"/>
      <c r="D1661" s="97"/>
      <c r="E1661" s="97"/>
      <c r="F1661" s="97" t="b">
        <v>0</v>
      </c>
      <c r="G1661" s="97" t="b">
        <v>0</v>
      </c>
      <c r="H1661" s="98"/>
      <c r="I1661" s="98"/>
      <c r="J1661" s="98"/>
      <c r="K1661" s="102"/>
      <c r="L1661" s="102"/>
      <c r="M1661" s="102"/>
      <c r="N1661" s="102"/>
      <c r="O1661" s="98"/>
      <c r="P1661" s="98"/>
      <c r="Q1661" s="98"/>
    </row>
    <row r="1662">
      <c r="A1662" s="96"/>
      <c r="B1662" s="97"/>
      <c r="C1662" s="97"/>
      <c r="D1662" s="97"/>
      <c r="E1662" s="97"/>
      <c r="F1662" s="97" t="b">
        <v>0</v>
      </c>
      <c r="G1662" s="97" t="b">
        <v>0</v>
      </c>
      <c r="H1662" s="98"/>
      <c r="I1662" s="98"/>
      <c r="J1662" s="98"/>
      <c r="K1662" s="102"/>
      <c r="L1662" s="102"/>
      <c r="M1662" s="102"/>
      <c r="N1662" s="102"/>
      <c r="O1662" s="98"/>
      <c r="P1662" s="98"/>
      <c r="Q1662" s="98"/>
    </row>
    <row r="1663">
      <c r="A1663" s="96"/>
      <c r="B1663" s="97"/>
      <c r="C1663" s="97"/>
      <c r="D1663" s="97"/>
      <c r="E1663" s="97"/>
      <c r="F1663" s="97" t="b">
        <v>0</v>
      </c>
      <c r="G1663" s="97" t="b">
        <v>0</v>
      </c>
      <c r="H1663" s="98"/>
      <c r="I1663" s="98"/>
      <c r="J1663" s="98"/>
      <c r="K1663" s="102"/>
      <c r="L1663" s="102"/>
      <c r="M1663" s="102"/>
      <c r="N1663" s="102"/>
      <c r="O1663" s="98"/>
      <c r="P1663" s="98"/>
      <c r="Q1663" s="98"/>
    </row>
    <row r="1664">
      <c r="A1664" s="96"/>
      <c r="B1664" s="97"/>
      <c r="C1664" s="97"/>
      <c r="D1664" s="97"/>
      <c r="E1664" s="97"/>
      <c r="F1664" s="97" t="b">
        <v>0</v>
      </c>
      <c r="G1664" s="97" t="b">
        <v>0</v>
      </c>
      <c r="H1664" s="98"/>
      <c r="I1664" s="98"/>
      <c r="J1664" s="98"/>
      <c r="K1664" s="102"/>
      <c r="L1664" s="102"/>
      <c r="M1664" s="102"/>
      <c r="N1664" s="102"/>
      <c r="O1664" s="98"/>
      <c r="P1664" s="98"/>
      <c r="Q1664" s="98"/>
    </row>
    <row r="1665">
      <c r="A1665" s="96"/>
      <c r="B1665" s="97"/>
      <c r="C1665" s="97"/>
      <c r="D1665" s="97"/>
      <c r="E1665" s="97"/>
      <c r="F1665" s="97" t="b">
        <v>0</v>
      </c>
      <c r="G1665" s="97" t="b">
        <v>0</v>
      </c>
      <c r="H1665" s="98"/>
      <c r="I1665" s="98"/>
      <c r="J1665" s="98"/>
      <c r="K1665" s="102"/>
      <c r="L1665" s="102"/>
      <c r="M1665" s="102"/>
      <c r="N1665" s="102"/>
      <c r="O1665" s="98"/>
      <c r="P1665" s="98"/>
      <c r="Q1665" s="98"/>
    </row>
    <row r="1666">
      <c r="A1666" s="96"/>
      <c r="B1666" s="97"/>
      <c r="C1666" s="97"/>
      <c r="D1666" s="97"/>
      <c r="E1666" s="97"/>
      <c r="F1666" s="97" t="b">
        <v>0</v>
      </c>
      <c r="G1666" s="97" t="b">
        <v>0</v>
      </c>
      <c r="H1666" s="98"/>
      <c r="I1666" s="98"/>
      <c r="J1666" s="98"/>
      <c r="K1666" s="102"/>
      <c r="L1666" s="102"/>
      <c r="M1666" s="102"/>
      <c r="N1666" s="102"/>
      <c r="O1666" s="98"/>
      <c r="P1666" s="98"/>
      <c r="Q1666" s="98"/>
    </row>
    <row r="1667">
      <c r="A1667" s="96"/>
      <c r="B1667" s="97"/>
      <c r="C1667" s="97"/>
      <c r="D1667" s="97"/>
      <c r="E1667" s="97"/>
      <c r="F1667" s="97" t="b">
        <v>0</v>
      </c>
      <c r="G1667" s="97" t="b">
        <v>0</v>
      </c>
      <c r="H1667" s="98"/>
      <c r="I1667" s="98"/>
      <c r="J1667" s="98"/>
      <c r="K1667" s="102"/>
      <c r="L1667" s="102"/>
      <c r="M1667" s="102"/>
      <c r="N1667" s="102"/>
      <c r="O1667" s="98"/>
      <c r="P1667" s="98"/>
      <c r="Q1667" s="98"/>
    </row>
    <row r="1668">
      <c r="A1668" s="96"/>
      <c r="B1668" s="97"/>
      <c r="C1668" s="97"/>
      <c r="D1668" s="97"/>
      <c r="E1668" s="97"/>
      <c r="F1668" s="97" t="b">
        <v>0</v>
      </c>
      <c r="G1668" s="97" t="b">
        <v>0</v>
      </c>
      <c r="H1668" s="98"/>
      <c r="I1668" s="98"/>
      <c r="J1668" s="98"/>
      <c r="K1668" s="102"/>
      <c r="L1668" s="102"/>
      <c r="M1668" s="102"/>
      <c r="N1668" s="102"/>
      <c r="O1668" s="98"/>
      <c r="P1668" s="98"/>
      <c r="Q1668" s="98"/>
    </row>
    <row r="1669">
      <c r="A1669" s="96"/>
      <c r="B1669" s="97"/>
      <c r="C1669" s="97"/>
      <c r="D1669" s="97"/>
      <c r="E1669" s="97"/>
      <c r="F1669" s="97" t="b">
        <v>0</v>
      </c>
      <c r="G1669" s="97" t="b">
        <v>0</v>
      </c>
      <c r="H1669" s="98"/>
      <c r="I1669" s="98"/>
      <c r="J1669" s="98"/>
      <c r="K1669" s="102"/>
      <c r="L1669" s="102"/>
      <c r="M1669" s="102"/>
      <c r="N1669" s="102"/>
      <c r="O1669" s="98"/>
      <c r="P1669" s="98"/>
      <c r="Q1669" s="98"/>
    </row>
    <row r="1670">
      <c r="A1670" s="96"/>
      <c r="B1670" s="97"/>
      <c r="C1670" s="97"/>
      <c r="D1670" s="97"/>
      <c r="E1670" s="97"/>
      <c r="F1670" s="97" t="b">
        <v>0</v>
      </c>
      <c r="G1670" s="97" t="b">
        <v>0</v>
      </c>
      <c r="H1670" s="98"/>
      <c r="I1670" s="98"/>
      <c r="J1670" s="98"/>
      <c r="K1670" s="102"/>
      <c r="L1670" s="102"/>
      <c r="M1670" s="102"/>
      <c r="N1670" s="102"/>
      <c r="O1670" s="98"/>
      <c r="P1670" s="98"/>
      <c r="Q1670" s="98"/>
    </row>
    <row r="1671">
      <c r="A1671" s="96"/>
      <c r="B1671" s="97"/>
      <c r="C1671" s="97"/>
      <c r="D1671" s="97"/>
      <c r="E1671" s="97"/>
      <c r="F1671" s="97" t="b">
        <v>0</v>
      </c>
      <c r="G1671" s="97" t="b">
        <v>0</v>
      </c>
      <c r="H1671" s="98"/>
      <c r="I1671" s="98"/>
      <c r="J1671" s="98"/>
      <c r="K1671" s="102"/>
      <c r="L1671" s="102"/>
      <c r="M1671" s="102"/>
      <c r="N1671" s="102"/>
      <c r="O1671" s="98"/>
      <c r="P1671" s="98"/>
      <c r="Q1671" s="98"/>
    </row>
    <row r="1672">
      <c r="A1672" s="96"/>
      <c r="B1672" s="97"/>
      <c r="C1672" s="97"/>
      <c r="D1672" s="97"/>
      <c r="E1672" s="97"/>
      <c r="F1672" s="97" t="b">
        <v>0</v>
      </c>
      <c r="G1672" s="97" t="b">
        <v>0</v>
      </c>
      <c r="H1672" s="98"/>
      <c r="I1672" s="98"/>
      <c r="J1672" s="98"/>
      <c r="K1672" s="102"/>
      <c r="L1672" s="102"/>
      <c r="M1672" s="102"/>
      <c r="N1672" s="102"/>
      <c r="O1672" s="98"/>
      <c r="P1672" s="98"/>
      <c r="Q1672" s="98"/>
    </row>
    <row r="1673">
      <c r="A1673" s="96"/>
      <c r="B1673" s="97"/>
      <c r="C1673" s="97"/>
      <c r="D1673" s="97"/>
      <c r="E1673" s="97"/>
      <c r="F1673" s="97" t="b">
        <v>0</v>
      </c>
      <c r="G1673" s="97" t="b">
        <v>0</v>
      </c>
      <c r="H1673" s="98"/>
      <c r="I1673" s="98"/>
      <c r="J1673" s="98"/>
      <c r="K1673" s="102"/>
      <c r="L1673" s="102"/>
      <c r="M1673" s="102"/>
      <c r="N1673" s="102"/>
      <c r="O1673" s="98"/>
      <c r="P1673" s="98"/>
      <c r="Q1673" s="98"/>
    </row>
    <row r="1674">
      <c r="A1674" s="96"/>
      <c r="B1674" s="97"/>
      <c r="C1674" s="97"/>
      <c r="D1674" s="97"/>
      <c r="E1674" s="97"/>
      <c r="F1674" s="97" t="b">
        <v>0</v>
      </c>
      <c r="G1674" s="97" t="b">
        <v>0</v>
      </c>
      <c r="H1674" s="98"/>
      <c r="I1674" s="98"/>
      <c r="J1674" s="98"/>
      <c r="K1674" s="102"/>
      <c r="L1674" s="102"/>
      <c r="M1674" s="102"/>
      <c r="N1674" s="102"/>
      <c r="O1674" s="98"/>
      <c r="P1674" s="98"/>
      <c r="Q1674" s="98"/>
    </row>
    <row r="1675">
      <c r="A1675" s="96"/>
      <c r="B1675" s="97"/>
      <c r="C1675" s="97"/>
      <c r="D1675" s="97"/>
      <c r="E1675" s="97"/>
      <c r="F1675" s="97" t="b">
        <v>0</v>
      </c>
      <c r="G1675" s="97" t="b">
        <v>0</v>
      </c>
      <c r="H1675" s="98"/>
      <c r="I1675" s="98"/>
      <c r="J1675" s="98"/>
      <c r="K1675" s="102"/>
      <c r="L1675" s="102"/>
      <c r="M1675" s="102"/>
      <c r="N1675" s="102"/>
      <c r="O1675" s="98"/>
      <c r="P1675" s="98"/>
      <c r="Q1675" s="98"/>
    </row>
    <row r="1676">
      <c r="A1676" s="96"/>
      <c r="B1676" s="97"/>
      <c r="C1676" s="97"/>
      <c r="D1676" s="97"/>
      <c r="E1676" s="97"/>
      <c r="F1676" s="97" t="b">
        <v>0</v>
      </c>
      <c r="G1676" s="97" t="b">
        <v>0</v>
      </c>
      <c r="H1676" s="98"/>
      <c r="I1676" s="98"/>
      <c r="J1676" s="98"/>
      <c r="K1676" s="102"/>
      <c r="L1676" s="102"/>
      <c r="M1676" s="102"/>
      <c r="N1676" s="102"/>
      <c r="O1676" s="98"/>
      <c r="P1676" s="98"/>
      <c r="Q1676" s="98"/>
    </row>
    <row r="1677">
      <c r="A1677" s="96"/>
      <c r="B1677" s="97"/>
      <c r="C1677" s="97"/>
      <c r="D1677" s="97"/>
      <c r="E1677" s="97"/>
      <c r="F1677" s="97" t="b">
        <v>0</v>
      </c>
      <c r="G1677" s="97" t="b">
        <v>0</v>
      </c>
      <c r="H1677" s="98"/>
      <c r="I1677" s="98"/>
      <c r="J1677" s="98"/>
      <c r="K1677" s="102"/>
      <c r="L1677" s="102"/>
      <c r="M1677" s="102"/>
      <c r="N1677" s="102"/>
      <c r="O1677" s="98"/>
      <c r="P1677" s="98"/>
      <c r="Q1677" s="98"/>
    </row>
    <row r="1678">
      <c r="A1678" s="96"/>
      <c r="B1678" s="97"/>
      <c r="C1678" s="97"/>
      <c r="D1678" s="97"/>
      <c r="E1678" s="97"/>
      <c r="F1678" s="97" t="b">
        <v>0</v>
      </c>
      <c r="G1678" s="97" t="b">
        <v>0</v>
      </c>
      <c r="H1678" s="98"/>
      <c r="I1678" s="98"/>
      <c r="J1678" s="98"/>
      <c r="K1678" s="102"/>
      <c r="L1678" s="102"/>
      <c r="M1678" s="102"/>
      <c r="N1678" s="102"/>
      <c r="O1678" s="98"/>
      <c r="P1678" s="98"/>
      <c r="Q1678" s="98"/>
    </row>
    <row r="1679">
      <c r="A1679" s="96"/>
      <c r="B1679" s="97"/>
      <c r="C1679" s="97"/>
      <c r="D1679" s="97"/>
      <c r="E1679" s="97"/>
      <c r="F1679" s="97" t="b">
        <v>0</v>
      </c>
      <c r="G1679" s="97" t="b">
        <v>0</v>
      </c>
      <c r="H1679" s="98"/>
      <c r="I1679" s="98"/>
      <c r="J1679" s="98"/>
      <c r="K1679" s="102"/>
      <c r="L1679" s="102"/>
      <c r="M1679" s="102"/>
      <c r="N1679" s="102"/>
      <c r="O1679" s="98"/>
      <c r="P1679" s="98"/>
      <c r="Q1679" s="98"/>
    </row>
    <row r="1680">
      <c r="A1680" s="96"/>
      <c r="B1680" s="97"/>
      <c r="C1680" s="97"/>
      <c r="D1680" s="97"/>
      <c r="E1680" s="97"/>
      <c r="F1680" s="97" t="b">
        <v>0</v>
      </c>
      <c r="G1680" s="97" t="b">
        <v>0</v>
      </c>
      <c r="H1680" s="98"/>
      <c r="I1680" s="98"/>
      <c r="J1680" s="98"/>
      <c r="K1680" s="102"/>
      <c r="L1680" s="102"/>
      <c r="M1680" s="102"/>
      <c r="N1680" s="102"/>
      <c r="O1680" s="98"/>
      <c r="P1680" s="98"/>
      <c r="Q1680" s="98"/>
    </row>
    <row r="1681">
      <c r="A1681" s="96"/>
      <c r="B1681" s="97"/>
      <c r="C1681" s="97"/>
      <c r="D1681" s="97"/>
      <c r="E1681" s="97"/>
      <c r="F1681" s="97" t="b">
        <v>0</v>
      </c>
      <c r="G1681" s="97" t="b">
        <v>0</v>
      </c>
      <c r="H1681" s="98"/>
      <c r="I1681" s="98"/>
      <c r="J1681" s="98"/>
      <c r="K1681" s="102"/>
      <c r="L1681" s="102"/>
      <c r="M1681" s="102"/>
      <c r="N1681" s="102"/>
      <c r="O1681" s="98"/>
      <c r="P1681" s="98"/>
      <c r="Q1681" s="98"/>
    </row>
    <row r="1682">
      <c r="A1682" s="96"/>
      <c r="B1682" s="97"/>
      <c r="C1682" s="97"/>
      <c r="D1682" s="97"/>
      <c r="E1682" s="97"/>
      <c r="F1682" s="97" t="b">
        <v>0</v>
      </c>
      <c r="G1682" s="97" t="b">
        <v>0</v>
      </c>
      <c r="H1682" s="98"/>
      <c r="I1682" s="98"/>
      <c r="J1682" s="98"/>
      <c r="K1682" s="102"/>
      <c r="L1682" s="102"/>
      <c r="M1682" s="102"/>
      <c r="N1682" s="102"/>
      <c r="O1682" s="98"/>
      <c r="P1682" s="98"/>
      <c r="Q1682" s="98"/>
    </row>
    <row r="1683">
      <c r="A1683" s="96"/>
      <c r="B1683" s="97"/>
      <c r="C1683" s="97"/>
      <c r="D1683" s="97"/>
      <c r="E1683" s="97"/>
      <c r="F1683" s="97" t="b">
        <v>0</v>
      </c>
      <c r="G1683" s="97" t="b">
        <v>0</v>
      </c>
      <c r="H1683" s="98"/>
      <c r="I1683" s="98"/>
      <c r="J1683" s="98"/>
      <c r="K1683" s="102"/>
      <c r="L1683" s="102"/>
      <c r="M1683" s="102"/>
      <c r="N1683" s="102"/>
      <c r="O1683" s="98"/>
      <c r="P1683" s="98"/>
      <c r="Q1683" s="98"/>
    </row>
    <row r="1684">
      <c r="A1684" s="96"/>
      <c r="B1684" s="97"/>
      <c r="C1684" s="97"/>
      <c r="D1684" s="97"/>
      <c r="E1684" s="97"/>
      <c r="F1684" s="97" t="b">
        <v>0</v>
      </c>
      <c r="G1684" s="97" t="b">
        <v>0</v>
      </c>
      <c r="H1684" s="98"/>
      <c r="I1684" s="98"/>
      <c r="J1684" s="98"/>
      <c r="K1684" s="102"/>
      <c r="L1684" s="102"/>
      <c r="M1684" s="102"/>
      <c r="N1684" s="102"/>
      <c r="O1684" s="98"/>
      <c r="P1684" s="98"/>
      <c r="Q1684" s="98"/>
    </row>
    <row r="1685">
      <c r="A1685" s="96"/>
      <c r="B1685" s="97"/>
      <c r="C1685" s="97"/>
      <c r="D1685" s="97"/>
      <c r="E1685" s="97"/>
      <c r="F1685" s="97" t="b">
        <v>0</v>
      </c>
      <c r="G1685" s="97" t="b">
        <v>0</v>
      </c>
      <c r="H1685" s="98"/>
      <c r="I1685" s="98"/>
      <c r="J1685" s="98"/>
      <c r="K1685" s="102"/>
      <c r="L1685" s="102"/>
      <c r="M1685" s="102"/>
      <c r="N1685" s="102"/>
      <c r="O1685" s="98"/>
      <c r="P1685" s="98"/>
      <c r="Q1685" s="98"/>
    </row>
    <row r="1686">
      <c r="A1686" s="96"/>
      <c r="B1686" s="97"/>
      <c r="C1686" s="97"/>
      <c r="D1686" s="97"/>
      <c r="E1686" s="97"/>
      <c r="F1686" s="97" t="b">
        <v>0</v>
      </c>
      <c r="G1686" s="97" t="b">
        <v>0</v>
      </c>
      <c r="H1686" s="98"/>
      <c r="I1686" s="98"/>
      <c r="J1686" s="98"/>
      <c r="K1686" s="102"/>
      <c r="L1686" s="102"/>
      <c r="M1686" s="102"/>
      <c r="N1686" s="102"/>
      <c r="O1686" s="98"/>
      <c r="P1686" s="98"/>
      <c r="Q1686" s="98"/>
    </row>
    <row r="1687">
      <c r="A1687" s="96"/>
      <c r="B1687" s="97"/>
      <c r="C1687" s="97"/>
      <c r="D1687" s="97"/>
      <c r="E1687" s="97"/>
      <c r="F1687" s="97" t="b">
        <v>0</v>
      </c>
      <c r="G1687" s="97" t="b">
        <v>0</v>
      </c>
      <c r="H1687" s="98"/>
      <c r="I1687" s="98"/>
      <c r="J1687" s="98"/>
      <c r="K1687" s="102"/>
      <c r="L1687" s="102"/>
      <c r="M1687" s="102"/>
      <c r="N1687" s="102"/>
      <c r="O1687" s="98"/>
      <c r="P1687" s="98"/>
      <c r="Q1687" s="98"/>
    </row>
    <row r="1688">
      <c r="A1688" s="96"/>
      <c r="B1688" s="97"/>
      <c r="C1688" s="97"/>
      <c r="D1688" s="97"/>
      <c r="E1688" s="97"/>
      <c r="F1688" s="97" t="b">
        <v>0</v>
      </c>
      <c r="G1688" s="97" t="b">
        <v>0</v>
      </c>
      <c r="H1688" s="98"/>
      <c r="I1688" s="98"/>
      <c r="J1688" s="98"/>
      <c r="K1688" s="102"/>
      <c r="L1688" s="102"/>
      <c r="M1688" s="102"/>
      <c r="N1688" s="102"/>
      <c r="O1688" s="98"/>
      <c r="P1688" s="98"/>
      <c r="Q1688" s="98"/>
    </row>
    <row r="1689">
      <c r="A1689" s="96"/>
      <c r="B1689" s="97"/>
      <c r="C1689" s="97"/>
      <c r="D1689" s="97"/>
      <c r="E1689" s="97"/>
      <c r="F1689" s="97" t="b">
        <v>0</v>
      </c>
      <c r="G1689" s="97" t="b">
        <v>0</v>
      </c>
      <c r="H1689" s="98"/>
      <c r="I1689" s="98"/>
      <c r="J1689" s="98"/>
      <c r="K1689" s="102"/>
      <c r="L1689" s="102"/>
      <c r="M1689" s="102"/>
      <c r="N1689" s="102"/>
      <c r="O1689" s="98"/>
      <c r="P1689" s="98"/>
      <c r="Q1689" s="98"/>
    </row>
    <row r="1690">
      <c r="A1690" s="96"/>
      <c r="B1690" s="97"/>
      <c r="C1690" s="97"/>
      <c r="D1690" s="97"/>
      <c r="E1690" s="97"/>
      <c r="F1690" s="97" t="b">
        <v>0</v>
      </c>
      <c r="G1690" s="97" t="b">
        <v>0</v>
      </c>
      <c r="H1690" s="98"/>
      <c r="I1690" s="98"/>
      <c r="J1690" s="98"/>
      <c r="K1690" s="102"/>
      <c r="L1690" s="102"/>
      <c r="M1690" s="102"/>
      <c r="N1690" s="102"/>
      <c r="O1690" s="98"/>
      <c r="P1690" s="98"/>
      <c r="Q1690" s="98"/>
    </row>
    <row r="1691">
      <c r="A1691" s="96"/>
      <c r="B1691" s="97"/>
      <c r="C1691" s="97"/>
      <c r="D1691" s="97"/>
      <c r="E1691" s="97"/>
      <c r="F1691" s="97" t="b">
        <v>0</v>
      </c>
      <c r="G1691" s="97" t="b">
        <v>0</v>
      </c>
      <c r="H1691" s="98"/>
      <c r="I1691" s="98"/>
      <c r="J1691" s="98"/>
      <c r="K1691" s="102"/>
      <c r="L1691" s="102"/>
      <c r="M1691" s="102"/>
      <c r="N1691" s="102"/>
      <c r="O1691" s="98"/>
      <c r="P1691" s="98"/>
      <c r="Q1691" s="98"/>
    </row>
    <row r="1692">
      <c r="A1692" s="96"/>
      <c r="B1692" s="97"/>
      <c r="C1692" s="97"/>
      <c r="D1692" s="97"/>
      <c r="E1692" s="97"/>
      <c r="F1692" s="97" t="b">
        <v>0</v>
      </c>
      <c r="G1692" s="97" t="b">
        <v>0</v>
      </c>
      <c r="H1692" s="98"/>
      <c r="I1692" s="98"/>
      <c r="J1692" s="98"/>
      <c r="K1692" s="102"/>
      <c r="L1692" s="102"/>
      <c r="M1692" s="102"/>
      <c r="N1692" s="102"/>
      <c r="O1692" s="98"/>
      <c r="P1692" s="98"/>
      <c r="Q1692" s="98"/>
    </row>
    <row r="1693">
      <c r="A1693" s="96"/>
      <c r="B1693" s="97"/>
      <c r="C1693" s="97"/>
      <c r="D1693" s="97"/>
      <c r="E1693" s="97"/>
      <c r="F1693" s="97" t="b">
        <v>0</v>
      </c>
      <c r="G1693" s="97" t="b">
        <v>0</v>
      </c>
      <c r="H1693" s="98"/>
      <c r="I1693" s="98"/>
      <c r="J1693" s="98"/>
      <c r="K1693" s="102"/>
      <c r="L1693" s="102"/>
      <c r="M1693" s="102"/>
      <c r="N1693" s="102"/>
      <c r="O1693" s="98"/>
      <c r="P1693" s="98"/>
      <c r="Q1693" s="98"/>
    </row>
    <row r="1694">
      <c r="A1694" s="96"/>
      <c r="B1694" s="97"/>
      <c r="C1694" s="97"/>
      <c r="D1694" s="97"/>
      <c r="E1694" s="97"/>
      <c r="F1694" s="97" t="b">
        <v>0</v>
      </c>
      <c r="G1694" s="97" t="b">
        <v>0</v>
      </c>
      <c r="H1694" s="98"/>
      <c r="I1694" s="98"/>
      <c r="J1694" s="98"/>
      <c r="K1694" s="102"/>
      <c r="L1694" s="102"/>
      <c r="M1694" s="102"/>
      <c r="N1694" s="102"/>
      <c r="O1694" s="98"/>
      <c r="P1694" s="98"/>
      <c r="Q1694" s="98"/>
    </row>
    <row r="1695">
      <c r="A1695" s="96"/>
      <c r="B1695" s="97"/>
      <c r="C1695" s="97"/>
      <c r="D1695" s="97"/>
      <c r="E1695" s="97"/>
      <c r="F1695" s="97" t="b">
        <v>0</v>
      </c>
      <c r="G1695" s="97" t="b">
        <v>0</v>
      </c>
      <c r="H1695" s="98"/>
      <c r="I1695" s="98"/>
      <c r="J1695" s="98"/>
      <c r="K1695" s="102"/>
      <c r="L1695" s="102"/>
      <c r="M1695" s="102"/>
      <c r="N1695" s="102"/>
      <c r="O1695" s="98"/>
      <c r="P1695" s="98"/>
      <c r="Q1695" s="98"/>
    </row>
    <row r="1696">
      <c r="A1696" s="96"/>
      <c r="B1696" s="97"/>
      <c r="C1696" s="97"/>
      <c r="D1696" s="97"/>
      <c r="E1696" s="97"/>
      <c r="F1696" s="97" t="b">
        <v>0</v>
      </c>
      <c r="G1696" s="97" t="b">
        <v>0</v>
      </c>
      <c r="H1696" s="98"/>
      <c r="I1696" s="98"/>
      <c r="J1696" s="98"/>
      <c r="K1696" s="102"/>
      <c r="L1696" s="102"/>
      <c r="M1696" s="102"/>
      <c r="N1696" s="102"/>
      <c r="O1696" s="98"/>
      <c r="P1696" s="98"/>
      <c r="Q1696" s="98"/>
    </row>
    <row r="1697">
      <c r="A1697" s="96"/>
      <c r="B1697" s="97"/>
      <c r="C1697" s="97"/>
      <c r="D1697" s="97"/>
      <c r="E1697" s="97"/>
      <c r="F1697" s="97" t="b">
        <v>0</v>
      </c>
      <c r="G1697" s="97" t="b">
        <v>0</v>
      </c>
      <c r="H1697" s="98"/>
      <c r="I1697" s="98"/>
      <c r="J1697" s="98"/>
      <c r="K1697" s="102"/>
      <c r="L1697" s="102"/>
      <c r="M1697" s="102"/>
      <c r="N1697" s="102"/>
      <c r="O1697" s="98"/>
      <c r="P1697" s="98"/>
      <c r="Q1697" s="98"/>
    </row>
    <row r="1698">
      <c r="A1698" s="96"/>
      <c r="B1698" s="97"/>
      <c r="C1698" s="97"/>
      <c r="D1698" s="97"/>
      <c r="E1698" s="97"/>
      <c r="F1698" s="97" t="b">
        <v>0</v>
      </c>
      <c r="G1698" s="97" t="b">
        <v>0</v>
      </c>
      <c r="H1698" s="98"/>
      <c r="I1698" s="98"/>
      <c r="J1698" s="98"/>
      <c r="K1698" s="102"/>
      <c r="L1698" s="102"/>
      <c r="M1698" s="102"/>
      <c r="N1698" s="102"/>
      <c r="O1698" s="98"/>
      <c r="P1698" s="98"/>
      <c r="Q1698" s="98"/>
    </row>
    <row r="1699">
      <c r="A1699" s="96"/>
      <c r="B1699" s="97"/>
      <c r="C1699" s="97"/>
      <c r="D1699" s="97"/>
      <c r="E1699" s="97"/>
      <c r="F1699" s="97" t="b">
        <v>0</v>
      </c>
      <c r="G1699" s="97" t="b">
        <v>0</v>
      </c>
      <c r="H1699" s="98"/>
      <c r="I1699" s="98"/>
      <c r="J1699" s="98"/>
      <c r="K1699" s="102"/>
      <c r="L1699" s="102"/>
      <c r="M1699" s="102"/>
      <c r="N1699" s="102"/>
      <c r="O1699" s="98"/>
      <c r="P1699" s="98"/>
      <c r="Q1699" s="98"/>
    </row>
    <row r="1700">
      <c r="A1700" s="96"/>
      <c r="B1700" s="97"/>
      <c r="C1700" s="97"/>
      <c r="D1700" s="97"/>
      <c r="E1700" s="97"/>
      <c r="F1700" s="97" t="b">
        <v>0</v>
      </c>
      <c r="G1700" s="97" t="b">
        <v>0</v>
      </c>
      <c r="H1700" s="98"/>
      <c r="I1700" s="98"/>
      <c r="J1700" s="98"/>
      <c r="K1700" s="102"/>
      <c r="L1700" s="102"/>
      <c r="M1700" s="102"/>
      <c r="N1700" s="102"/>
      <c r="O1700" s="98"/>
      <c r="P1700" s="98"/>
      <c r="Q1700" s="98"/>
    </row>
    <row r="1701">
      <c r="A1701" s="96"/>
      <c r="B1701" s="97"/>
      <c r="C1701" s="97"/>
      <c r="D1701" s="97"/>
      <c r="E1701" s="97"/>
      <c r="F1701" s="97" t="b">
        <v>0</v>
      </c>
      <c r="G1701" s="97" t="b">
        <v>0</v>
      </c>
      <c r="H1701" s="98"/>
      <c r="I1701" s="98"/>
      <c r="J1701" s="98"/>
      <c r="K1701" s="102"/>
      <c r="L1701" s="102"/>
      <c r="M1701" s="102"/>
      <c r="N1701" s="102"/>
      <c r="O1701" s="98"/>
      <c r="P1701" s="98"/>
      <c r="Q1701" s="98"/>
    </row>
    <row r="1702">
      <c r="A1702" s="96"/>
      <c r="B1702" s="97"/>
      <c r="C1702" s="97"/>
      <c r="D1702" s="97"/>
      <c r="E1702" s="97"/>
      <c r="F1702" s="97" t="b">
        <v>0</v>
      </c>
      <c r="G1702" s="97" t="b">
        <v>0</v>
      </c>
      <c r="H1702" s="98"/>
      <c r="I1702" s="98"/>
      <c r="J1702" s="98"/>
      <c r="K1702" s="102"/>
      <c r="L1702" s="102"/>
      <c r="M1702" s="102"/>
      <c r="N1702" s="102"/>
      <c r="O1702" s="98"/>
      <c r="P1702" s="98"/>
      <c r="Q1702" s="98"/>
    </row>
    <row r="1703">
      <c r="A1703" s="96"/>
      <c r="B1703" s="97"/>
      <c r="C1703" s="97"/>
      <c r="D1703" s="97"/>
      <c r="E1703" s="97"/>
      <c r="F1703" s="97" t="b">
        <v>0</v>
      </c>
      <c r="G1703" s="97" t="b">
        <v>0</v>
      </c>
      <c r="H1703" s="98"/>
      <c r="I1703" s="98"/>
      <c r="J1703" s="98"/>
      <c r="K1703" s="102"/>
      <c r="L1703" s="102"/>
      <c r="M1703" s="102"/>
      <c r="N1703" s="102"/>
      <c r="O1703" s="98"/>
      <c r="P1703" s="98"/>
      <c r="Q1703" s="98"/>
    </row>
    <row r="1704">
      <c r="A1704" s="96"/>
      <c r="B1704" s="97"/>
      <c r="C1704" s="97"/>
      <c r="D1704" s="97"/>
      <c r="E1704" s="97"/>
      <c r="F1704" s="97" t="b">
        <v>0</v>
      </c>
      <c r="G1704" s="97" t="b">
        <v>0</v>
      </c>
      <c r="H1704" s="98"/>
      <c r="I1704" s="98"/>
      <c r="J1704" s="98"/>
      <c r="K1704" s="102"/>
      <c r="L1704" s="102"/>
      <c r="M1704" s="102"/>
      <c r="N1704" s="102"/>
      <c r="O1704" s="98"/>
      <c r="P1704" s="98"/>
      <c r="Q1704" s="98"/>
    </row>
    <row r="1705">
      <c r="A1705" s="96"/>
      <c r="B1705" s="97"/>
      <c r="C1705" s="97"/>
      <c r="D1705" s="97"/>
      <c r="E1705" s="97"/>
      <c r="F1705" s="97" t="b">
        <v>0</v>
      </c>
      <c r="G1705" s="97" t="b">
        <v>0</v>
      </c>
      <c r="H1705" s="98"/>
      <c r="I1705" s="98"/>
      <c r="J1705" s="98"/>
      <c r="K1705" s="102"/>
      <c r="L1705" s="102"/>
      <c r="M1705" s="102"/>
      <c r="N1705" s="102"/>
      <c r="O1705" s="98"/>
      <c r="P1705" s="98"/>
      <c r="Q1705" s="98"/>
    </row>
    <row r="1706">
      <c r="A1706" s="96"/>
      <c r="B1706" s="97"/>
      <c r="C1706" s="97"/>
      <c r="D1706" s="97"/>
      <c r="E1706" s="97"/>
      <c r="F1706" s="97" t="b">
        <v>0</v>
      </c>
      <c r="G1706" s="97" t="b">
        <v>0</v>
      </c>
      <c r="H1706" s="98"/>
      <c r="I1706" s="98"/>
      <c r="J1706" s="98"/>
      <c r="K1706" s="102"/>
      <c r="L1706" s="102"/>
      <c r="M1706" s="102"/>
      <c r="N1706" s="102"/>
      <c r="O1706" s="98"/>
      <c r="P1706" s="98"/>
      <c r="Q1706" s="98"/>
    </row>
    <row r="1707">
      <c r="A1707" s="96"/>
      <c r="B1707" s="97"/>
      <c r="C1707" s="97"/>
      <c r="D1707" s="97"/>
      <c r="E1707" s="97"/>
      <c r="F1707" s="97" t="b">
        <v>0</v>
      </c>
      <c r="G1707" s="97" t="b">
        <v>0</v>
      </c>
      <c r="H1707" s="98"/>
      <c r="I1707" s="98"/>
      <c r="J1707" s="98"/>
      <c r="K1707" s="102"/>
      <c r="L1707" s="102"/>
      <c r="M1707" s="102"/>
      <c r="N1707" s="102"/>
      <c r="O1707" s="98"/>
      <c r="P1707" s="98"/>
      <c r="Q1707" s="98"/>
    </row>
    <row r="1708">
      <c r="A1708" s="96"/>
      <c r="B1708" s="97"/>
      <c r="C1708" s="97"/>
      <c r="D1708" s="97"/>
      <c r="E1708" s="97"/>
      <c r="F1708" s="97" t="b">
        <v>0</v>
      </c>
      <c r="G1708" s="97" t="b">
        <v>0</v>
      </c>
      <c r="H1708" s="98"/>
      <c r="I1708" s="98"/>
      <c r="J1708" s="98"/>
      <c r="K1708" s="102"/>
      <c r="L1708" s="102"/>
      <c r="M1708" s="102"/>
      <c r="N1708" s="102"/>
      <c r="O1708" s="98"/>
      <c r="P1708" s="98"/>
      <c r="Q1708" s="98"/>
    </row>
    <row r="1709">
      <c r="A1709" s="96"/>
      <c r="B1709" s="97"/>
      <c r="C1709" s="97"/>
      <c r="D1709" s="97"/>
      <c r="E1709" s="97"/>
      <c r="F1709" s="97" t="b">
        <v>0</v>
      </c>
      <c r="G1709" s="97" t="b">
        <v>0</v>
      </c>
      <c r="H1709" s="98"/>
      <c r="I1709" s="98"/>
      <c r="J1709" s="98"/>
      <c r="K1709" s="102"/>
      <c r="L1709" s="102"/>
      <c r="M1709" s="102"/>
      <c r="N1709" s="102"/>
      <c r="O1709" s="98"/>
      <c r="P1709" s="98"/>
      <c r="Q1709" s="98"/>
    </row>
    <row r="1710">
      <c r="A1710" s="96"/>
      <c r="B1710" s="97"/>
      <c r="C1710" s="97"/>
      <c r="D1710" s="97"/>
      <c r="E1710" s="97"/>
      <c r="F1710" s="97" t="b">
        <v>0</v>
      </c>
      <c r="G1710" s="97" t="b">
        <v>0</v>
      </c>
      <c r="H1710" s="98"/>
      <c r="I1710" s="98"/>
      <c r="J1710" s="98"/>
      <c r="K1710" s="102"/>
      <c r="L1710" s="102"/>
      <c r="M1710" s="102"/>
      <c r="N1710" s="102"/>
      <c r="O1710" s="98"/>
      <c r="P1710" s="98"/>
      <c r="Q1710" s="98"/>
    </row>
    <row r="1711">
      <c r="A1711" s="96"/>
      <c r="B1711" s="97"/>
      <c r="C1711" s="97"/>
      <c r="D1711" s="97"/>
      <c r="E1711" s="97"/>
      <c r="F1711" s="97" t="b">
        <v>0</v>
      </c>
      <c r="G1711" s="97" t="b">
        <v>0</v>
      </c>
      <c r="H1711" s="98"/>
      <c r="I1711" s="98"/>
      <c r="J1711" s="98"/>
      <c r="K1711" s="102"/>
      <c r="L1711" s="102"/>
      <c r="M1711" s="102"/>
      <c r="N1711" s="102"/>
      <c r="O1711" s="98"/>
      <c r="P1711" s="98"/>
      <c r="Q1711" s="98"/>
    </row>
    <row r="1712">
      <c r="A1712" s="96"/>
      <c r="B1712" s="97"/>
      <c r="C1712" s="97"/>
      <c r="D1712" s="97"/>
      <c r="E1712" s="97"/>
      <c r="F1712" s="97" t="b">
        <v>0</v>
      </c>
      <c r="G1712" s="97" t="b">
        <v>0</v>
      </c>
      <c r="H1712" s="98"/>
      <c r="I1712" s="98"/>
      <c r="J1712" s="98"/>
      <c r="K1712" s="102"/>
      <c r="L1712" s="102"/>
      <c r="M1712" s="102"/>
      <c r="N1712" s="102"/>
      <c r="O1712" s="98"/>
      <c r="P1712" s="98"/>
      <c r="Q1712" s="98"/>
    </row>
    <row r="1713">
      <c r="A1713" s="96"/>
      <c r="B1713" s="97"/>
      <c r="C1713" s="97"/>
      <c r="D1713" s="97"/>
      <c r="E1713" s="97"/>
      <c r="F1713" s="97" t="b">
        <v>0</v>
      </c>
      <c r="G1713" s="97" t="b">
        <v>0</v>
      </c>
      <c r="H1713" s="98"/>
      <c r="I1713" s="98"/>
      <c r="J1713" s="98"/>
      <c r="K1713" s="102"/>
      <c r="L1713" s="102"/>
      <c r="M1713" s="102"/>
      <c r="N1713" s="102"/>
      <c r="O1713" s="98"/>
      <c r="P1713" s="98"/>
      <c r="Q1713" s="98"/>
    </row>
    <row r="1714">
      <c r="A1714" s="96"/>
      <c r="B1714" s="97"/>
      <c r="C1714" s="97"/>
      <c r="D1714" s="97"/>
      <c r="E1714" s="97"/>
      <c r="F1714" s="97" t="b">
        <v>0</v>
      </c>
      <c r="G1714" s="97" t="b">
        <v>0</v>
      </c>
      <c r="H1714" s="98"/>
      <c r="I1714" s="98"/>
      <c r="J1714" s="98"/>
      <c r="K1714" s="102"/>
      <c r="L1714" s="102"/>
      <c r="M1714" s="102"/>
      <c r="N1714" s="102"/>
      <c r="O1714" s="98"/>
      <c r="P1714" s="98"/>
      <c r="Q1714" s="98"/>
    </row>
    <row r="1715">
      <c r="A1715" s="96"/>
      <c r="B1715" s="97"/>
      <c r="C1715" s="97"/>
      <c r="D1715" s="97"/>
      <c r="E1715" s="97"/>
      <c r="F1715" s="97" t="b">
        <v>0</v>
      </c>
      <c r="G1715" s="97" t="b">
        <v>0</v>
      </c>
      <c r="H1715" s="98"/>
      <c r="I1715" s="98"/>
      <c r="J1715" s="98"/>
      <c r="K1715" s="102"/>
      <c r="L1715" s="102"/>
      <c r="M1715" s="102"/>
      <c r="N1715" s="102"/>
      <c r="O1715" s="98"/>
      <c r="P1715" s="98"/>
      <c r="Q1715" s="98"/>
    </row>
    <row r="1716">
      <c r="A1716" s="96"/>
      <c r="B1716" s="97"/>
      <c r="C1716" s="97"/>
      <c r="D1716" s="97"/>
      <c r="E1716" s="97"/>
      <c r="F1716" s="97" t="b">
        <v>0</v>
      </c>
      <c r="G1716" s="97" t="b">
        <v>0</v>
      </c>
      <c r="H1716" s="98"/>
      <c r="I1716" s="98"/>
      <c r="J1716" s="98"/>
      <c r="K1716" s="102"/>
      <c r="L1716" s="102"/>
      <c r="M1716" s="102"/>
      <c r="N1716" s="102"/>
      <c r="O1716" s="98"/>
      <c r="P1716" s="98"/>
      <c r="Q1716" s="98"/>
    </row>
    <row r="1717">
      <c r="A1717" s="96"/>
      <c r="B1717" s="97"/>
      <c r="C1717" s="97"/>
      <c r="D1717" s="97"/>
      <c r="E1717" s="97"/>
      <c r="F1717" s="97" t="b">
        <v>0</v>
      </c>
      <c r="G1717" s="97" t="b">
        <v>0</v>
      </c>
      <c r="H1717" s="98"/>
      <c r="I1717" s="98"/>
      <c r="J1717" s="98"/>
      <c r="K1717" s="102"/>
      <c r="L1717" s="102"/>
      <c r="M1717" s="102"/>
      <c r="N1717" s="102"/>
      <c r="O1717" s="98"/>
      <c r="P1717" s="98"/>
      <c r="Q1717" s="98"/>
    </row>
    <row r="1718">
      <c r="A1718" s="96"/>
      <c r="B1718" s="97"/>
      <c r="C1718" s="97"/>
      <c r="D1718" s="97"/>
      <c r="E1718" s="97"/>
      <c r="F1718" s="97" t="b">
        <v>0</v>
      </c>
      <c r="G1718" s="97" t="b">
        <v>0</v>
      </c>
      <c r="H1718" s="98"/>
      <c r="I1718" s="98"/>
      <c r="J1718" s="98"/>
      <c r="K1718" s="102"/>
      <c r="L1718" s="102"/>
      <c r="M1718" s="102"/>
      <c r="N1718" s="102"/>
      <c r="O1718" s="98"/>
      <c r="P1718" s="98"/>
      <c r="Q1718" s="98"/>
    </row>
    <row r="1719">
      <c r="A1719" s="96"/>
      <c r="B1719" s="97"/>
      <c r="C1719" s="97"/>
      <c r="D1719" s="97"/>
      <c r="E1719" s="97"/>
      <c r="F1719" s="97" t="b">
        <v>0</v>
      </c>
      <c r="G1719" s="97" t="b">
        <v>0</v>
      </c>
      <c r="H1719" s="98"/>
      <c r="I1719" s="98"/>
      <c r="J1719" s="98"/>
      <c r="K1719" s="102"/>
      <c r="L1719" s="102"/>
      <c r="M1719" s="102"/>
      <c r="N1719" s="102"/>
      <c r="O1719" s="98"/>
      <c r="P1719" s="98"/>
      <c r="Q1719" s="98"/>
    </row>
    <row r="1720">
      <c r="A1720" s="96"/>
      <c r="B1720" s="97"/>
      <c r="C1720" s="97"/>
      <c r="D1720" s="97"/>
      <c r="E1720" s="97"/>
      <c r="F1720" s="97" t="b">
        <v>0</v>
      </c>
      <c r="G1720" s="97" t="b">
        <v>0</v>
      </c>
      <c r="H1720" s="98"/>
      <c r="I1720" s="98"/>
      <c r="J1720" s="98"/>
      <c r="K1720" s="102"/>
      <c r="L1720" s="102"/>
      <c r="M1720" s="102"/>
      <c r="N1720" s="102"/>
      <c r="O1720" s="98"/>
      <c r="P1720" s="98"/>
      <c r="Q1720" s="98"/>
    </row>
    <row r="1721">
      <c r="A1721" s="96"/>
      <c r="B1721" s="97"/>
      <c r="C1721" s="97"/>
      <c r="D1721" s="97"/>
      <c r="E1721" s="97"/>
      <c r="F1721" s="97" t="b">
        <v>0</v>
      </c>
      <c r="G1721" s="97" t="b">
        <v>0</v>
      </c>
      <c r="H1721" s="98"/>
      <c r="I1721" s="98"/>
      <c r="J1721" s="98"/>
      <c r="K1721" s="102"/>
      <c r="L1721" s="102"/>
      <c r="M1721" s="102"/>
      <c r="N1721" s="102"/>
      <c r="O1721" s="98"/>
      <c r="P1721" s="98"/>
      <c r="Q1721" s="98"/>
    </row>
    <row r="1722">
      <c r="A1722" s="96"/>
      <c r="B1722" s="97"/>
      <c r="C1722" s="97"/>
      <c r="D1722" s="97"/>
      <c r="E1722" s="97"/>
      <c r="F1722" s="97" t="b">
        <v>0</v>
      </c>
      <c r="G1722" s="97" t="b">
        <v>0</v>
      </c>
      <c r="H1722" s="98"/>
      <c r="I1722" s="98"/>
      <c r="J1722" s="98"/>
      <c r="K1722" s="102"/>
      <c r="L1722" s="102"/>
      <c r="M1722" s="102"/>
      <c r="N1722" s="102"/>
      <c r="O1722" s="98"/>
      <c r="P1722" s="98"/>
      <c r="Q1722" s="98"/>
    </row>
    <row r="1723">
      <c r="A1723" s="96"/>
      <c r="B1723" s="97"/>
      <c r="C1723" s="97"/>
      <c r="D1723" s="97"/>
      <c r="E1723" s="97"/>
      <c r="F1723" s="97" t="b">
        <v>0</v>
      </c>
      <c r="G1723" s="97" t="b">
        <v>0</v>
      </c>
      <c r="H1723" s="98"/>
      <c r="I1723" s="98"/>
      <c r="J1723" s="98"/>
      <c r="K1723" s="102"/>
      <c r="L1723" s="102"/>
      <c r="M1723" s="102"/>
      <c r="N1723" s="102"/>
      <c r="O1723" s="98"/>
      <c r="P1723" s="98"/>
      <c r="Q1723" s="98"/>
    </row>
    <row r="1724">
      <c r="A1724" s="96"/>
      <c r="B1724" s="97"/>
      <c r="C1724" s="97"/>
      <c r="D1724" s="97"/>
      <c r="E1724" s="97"/>
      <c r="F1724" s="97" t="b">
        <v>0</v>
      </c>
      <c r="G1724" s="97" t="b">
        <v>0</v>
      </c>
      <c r="H1724" s="98"/>
      <c r="I1724" s="98"/>
      <c r="J1724" s="98"/>
      <c r="K1724" s="102"/>
      <c r="L1724" s="102"/>
      <c r="M1724" s="102"/>
      <c r="N1724" s="102"/>
      <c r="O1724" s="98"/>
      <c r="P1724" s="98"/>
      <c r="Q1724" s="98"/>
    </row>
    <row r="1725">
      <c r="A1725" s="96"/>
      <c r="B1725" s="97"/>
      <c r="C1725" s="97"/>
      <c r="D1725" s="97"/>
      <c r="E1725" s="97"/>
      <c r="F1725" s="97" t="b">
        <v>0</v>
      </c>
      <c r="G1725" s="97" t="b">
        <v>0</v>
      </c>
      <c r="H1725" s="98"/>
      <c r="I1725" s="98"/>
      <c r="J1725" s="98"/>
      <c r="K1725" s="102"/>
      <c r="L1725" s="102"/>
      <c r="M1725" s="102"/>
      <c r="N1725" s="102"/>
      <c r="O1725" s="98"/>
      <c r="P1725" s="98"/>
      <c r="Q1725" s="98"/>
    </row>
    <row r="1726">
      <c r="A1726" s="96"/>
      <c r="B1726" s="97"/>
      <c r="C1726" s="97"/>
      <c r="D1726" s="97"/>
      <c r="E1726" s="97"/>
      <c r="F1726" s="97" t="b">
        <v>0</v>
      </c>
      <c r="G1726" s="97" t="b">
        <v>0</v>
      </c>
      <c r="H1726" s="98"/>
      <c r="I1726" s="98"/>
      <c r="J1726" s="98"/>
      <c r="K1726" s="102"/>
      <c r="L1726" s="102"/>
      <c r="M1726" s="102"/>
      <c r="N1726" s="102"/>
      <c r="O1726" s="98"/>
      <c r="P1726" s="98"/>
      <c r="Q1726" s="98"/>
    </row>
    <row r="1727">
      <c r="A1727" s="96"/>
      <c r="B1727" s="97"/>
      <c r="C1727" s="97"/>
      <c r="D1727" s="97"/>
      <c r="E1727" s="97"/>
      <c r="F1727" s="97" t="b">
        <v>0</v>
      </c>
      <c r="G1727" s="97" t="b">
        <v>0</v>
      </c>
      <c r="H1727" s="98"/>
      <c r="I1727" s="98"/>
      <c r="J1727" s="98"/>
      <c r="K1727" s="102"/>
      <c r="L1727" s="102"/>
      <c r="M1727" s="102"/>
      <c r="N1727" s="102"/>
      <c r="O1727" s="98"/>
      <c r="P1727" s="98"/>
      <c r="Q1727" s="98"/>
    </row>
    <row r="1728">
      <c r="A1728" s="96"/>
      <c r="B1728" s="97"/>
      <c r="C1728" s="97"/>
      <c r="D1728" s="97"/>
      <c r="E1728" s="97"/>
      <c r="F1728" s="97" t="b">
        <v>0</v>
      </c>
      <c r="G1728" s="97" t="b">
        <v>0</v>
      </c>
      <c r="H1728" s="98"/>
      <c r="I1728" s="98"/>
      <c r="J1728" s="98"/>
      <c r="K1728" s="102"/>
      <c r="L1728" s="102"/>
      <c r="M1728" s="102"/>
      <c r="N1728" s="102"/>
      <c r="O1728" s="98"/>
      <c r="P1728" s="98"/>
      <c r="Q1728" s="98"/>
    </row>
    <row r="1729">
      <c r="A1729" s="96"/>
      <c r="B1729" s="97"/>
      <c r="C1729" s="97"/>
      <c r="D1729" s="97"/>
      <c r="E1729" s="97"/>
      <c r="F1729" s="97" t="b">
        <v>0</v>
      </c>
      <c r="G1729" s="97" t="b">
        <v>0</v>
      </c>
      <c r="H1729" s="98"/>
      <c r="I1729" s="98"/>
      <c r="J1729" s="98"/>
      <c r="K1729" s="102"/>
      <c r="L1729" s="102"/>
      <c r="M1729" s="102"/>
      <c r="N1729" s="102"/>
      <c r="O1729" s="98"/>
      <c r="P1729" s="98"/>
      <c r="Q1729" s="98"/>
    </row>
    <row r="1730">
      <c r="A1730" s="96"/>
      <c r="B1730" s="97"/>
      <c r="C1730" s="97"/>
      <c r="D1730" s="97"/>
      <c r="E1730" s="97"/>
      <c r="F1730" s="97" t="b">
        <v>0</v>
      </c>
      <c r="G1730" s="97" t="b">
        <v>0</v>
      </c>
      <c r="H1730" s="98"/>
      <c r="I1730" s="98"/>
      <c r="J1730" s="98"/>
      <c r="K1730" s="102"/>
      <c r="L1730" s="102"/>
      <c r="M1730" s="102"/>
      <c r="N1730" s="102"/>
      <c r="O1730" s="98"/>
      <c r="P1730" s="98"/>
      <c r="Q1730" s="98"/>
    </row>
    <row r="1731">
      <c r="A1731" s="96"/>
      <c r="B1731" s="97"/>
      <c r="C1731" s="97"/>
      <c r="D1731" s="97"/>
      <c r="E1731" s="97"/>
      <c r="F1731" s="97" t="b">
        <v>0</v>
      </c>
      <c r="G1731" s="97" t="b">
        <v>0</v>
      </c>
      <c r="H1731" s="98"/>
      <c r="I1731" s="98"/>
      <c r="J1731" s="98"/>
      <c r="K1731" s="102"/>
      <c r="L1731" s="102"/>
      <c r="M1731" s="102"/>
      <c r="N1731" s="102"/>
      <c r="O1731" s="98"/>
      <c r="P1731" s="98"/>
      <c r="Q1731" s="98"/>
    </row>
    <row r="1732">
      <c r="A1732" s="96"/>
      <c r="B1732" s="97"/>
      <c r="C1732" s="97"/>
      <c r="D1732" s="97"/>
      <c r="E1732" s="97"/>
      <c r="F1732" s="97" t="b">
        <v>0</v>
      </c>
      <c r="G1732" s="97" t="b">
        <v>0</v>
      </c>
      <c r="H1732" s="98"/>
      <c r="I1732" s="98"/>
      <c r="J1732" s="98"/>
      <c r="K1732" s="102"/>
      <c r="L1732" s="102"/>
      <c r="M1732" s="102"/>
      <c r="N1732" s="102"/>
      <c r="O1732" s="98"/>
      <c r="P1732" s="98"/>
      <c r="Q1732" s="98"/>
    </row>
    <row r="1733">
      <c r="A1733" s="96"/>
      <c r="B1733" s="97"/>
      <c r="C1733" s="97"/>
      <c r="D1733" s="97"/>
      <c r="E1733" s="97"/>
      <c r="F1733" s="97" t="b">
        <v>0</v>
      </c>
      <c r="G1733" s="97" t="b">
        <v>0</v>
      </c>
      <c r="H1733" s="98"/>
      <c r="I1733" s="98"/>
      <c r="J1733" s="98"/>
      <c r="K1733" s="102"/>
      <c r="L1733" s="102"/>
      <c r="M1733" s="102"/>
      <c r="N1733" s="102"/>
      <c r="O1733" s="98"/>
      <c r="P1733" s="98"/>
      <c r="Q1733" s="98"/>
    </row>
    <row r="1734">
      <c r="A1734" s="96"/>
      <c r="B1734" s="97"/>
      <c r="C1734" s="97"/>
      <c r="D1734" s="97"/>
      <c r="E1734" s="97"/>
      <c r="F1734" s="97" t="b">
        <v>0</v>
      </c>
      <c r="G1734" s="97" t="b">
        <v>0</v>
      </c>
      <c r="H1734" s="98"/>
      <c r="I1734" s="98"/>
      <c r="J1734" s="98"/>
      <c r="K1734" s="102"/>
      <c r="L1734" s="102"/>
      <c r="M1734" s="102"/>
      <c r="N1734" s="102"/>
      <c r="O1734" s="98"/>
      <c r="P1734" s="98"/>
      <c r="Q1734" s="98"/>
    </row>
    <row r="1735">
      <c r="A1735" s="96"/>
      <c r="B1735" s="97"/>
      <c r="C1735" s="97"/>
      <c r="D1735" s="97"/>
      <c r="E1735" s="97"/>
      <c r="F1735" s="97" t="b">
        <v>0</v>
      </c>
      <c r="G1735" s="97" t="b">
        <v>0</v>
      </c>
      <c r="H1735" s="98"/>
      <c r="I1735" s="98"/>
      <c r="J1735" s="98"/>
      <c r="K1735" s="102"/>
      <c r="L1735" s="102"/>
      <c r="M1735" s="102"/>
      <c r="N1735" s="102"/>
      <c r="O1735" s="98"/>
      <c r="P1735" s="98"/>
      <c r="Q1735" s="98"/>
    </row>
    <row r="1736">
      <c r="A1736" s="96"/>
      <c r="B1736" s="97"/>
      <c r="C1736" s="97"/>
      <c r="D1736" s="97"/>
      <c r="E1736" s="97"/>
      <c r="F1736" s="97" t="b">
        <v>0</v>
      </c>
      <c r="G1736" s="97" t="b">
        <v>0</v>
      </c>
      <c r="H1736" s="98"/>
      <c r="I1736" s="98"/>
      <c r="J1736" s="98"/>
      <c r="K1736" s="102"/>
      <c r="L1736" s="102"/>
      <c r="M1736" s="102"/>
      <c r="N1736" s="102"/>
      <c r="O1736" s="98"/>
      <c r="P1736" s="98"/>
      <c r="Q1736" s="98"/>
    </row>
    <row r="1737">
      <c r="A1737" s="96"/>
      <c r="B1737" s="97"/>
      <c r="C1737" s="97"/>
      <c r="D1737" s="97"/>
      <c r="E1737" s="97"/>
      <c r="F1737" s="97" t="b">
        <v>0</v>
      </c>
      <c r="G1737" s="97" t="b">
        <v>0</v>
      </c>
      <c r="H1737" s="98"/>
      <c r="I1737" s="98"/>
      <c r="J1737" s="98"/>
      <c r="K1737" s="102"/>
      <c r="L1737" s="102"/>
      <c r="M1737" s="102"/>
      <c r="N1737" s="102"/>
      <c r="O1737" s="98"/>
      <c r="P1737" s="98"/>
      <c r="Q1737" s="98"/>
    </row>
    <row r="1738">
      <c r="A1738" s="96"/>
      <c r="B1738" s="97"/>
      <c r="C1738" s="97"/>
      <c r="D1738" s="97"/>
      <c r="E1738" s="97"/>
      <c r="F1738" s="97" t="b">
        <v>0</v>
      </c>
      <c r="G1738" s="97" t="b">
        <v>0</v>
      </c>
      <c r="H1738" s="98"/>
      <c r="I1738" s="98"/>
      <c r="J1738" s="98"/>
      <c r="K1738" s="102"/>
      <c r="L1738" s="102"/>
      <c r="M1738" s="102"/>
      <c r="N1738" s="102"/>
      <c r="O1738" s="98"/>
      <c r="P1738" s="98"/>
      <c r="Q1738" s="98"/>
    </row>
    <row r="1739">
      <c r="A1739" s="96"/>
      <c r="B1739" s="97"/>
      <c r="C1739" s="97"/>
      <c r="D1739" s="97"/>
      <c r="E1739" s="97"/>
      <c r="F1739" s="97" t="b">
        <v>0</v>
      </c>
      <c r="G1739" s="97" t="b">
        <v>0</v>
      </c>
      <c r="H1739" s="98"/>
      <c r="I1739" s="98"/>
      <c r="J1739" s="98"/>
      <c r="K1739" s="102"/>
      <c r="L1739" s="102"/>
      <c r="M1739" s="102"/>
      <c r="N1739" s="102"/>
      <c r="O1739" s="98"/>
      <c r="P1739" s="98"/>
      <c r="Q1739" s="98"/>
    </row>
    <row r="1740">
      <c r="A1740" s="96"/>
      <c r="B1740" s="97"/>
      <c r="C1740" s="97"/>
      <c r="D1740" s="97"/>
      <c r="E1740" s="97"/>
      <c r="F1740" s="97" t="b">
        <v>0</v>
      </c>
      <c r="G1740" s="97" t="b">
        <v>0</v>
      </c>
      <c r="H1740" s="98"/>
      <c r="I1740" s="98"/>
      <c r="J1740" s="98"/>
      <c r="K1740" s="102"/>
      <c r="L1740" s="102"/>
      <c r="M1740" s="102"/>
      <c r="N1740" s="102"/>
      <c r="O1740" s="98"/>
      <c r="P1740" s="98"/>
      <c r="Q1740" s="98"/>
    </row>
    <row r="1741">
      <c r="A1741" s="96"/>
      <c r="B1741" s="97"/>
      <c r="C1741" s="97"/>
      <c r="D1741" s="97"/>
      <c r="E1741" s="97"/>
      <c r="F1741" s="97" t="b">
        <v>0</v>
      </c>
      <c r="G1741" s="97" t="b">
        <v>0</v>
      </c>
      <c r="H1741" s="98"/>
      <c r="I1741" s="98"/>
      <c r="J1741" s="98"/>
      <c r="K1741" s="102"/>
      <c r="L1741" s="102"/>
      <c r="M1741" s="102"/>
      <c r="N1741" s="102"/>
      <c r="O1741" s="98"/>
      <c r="P1741" s="98"/>
      <c r="Q1741" s="98"/>
    </row>
    <row r="1742">
      <c r="A1742" s="96"/>
      <c r="B1742" s="97"/>
      <c r="C1742" s="97"/>
      <c r="D1742" s="97"/>
      <c r="E1742" s="97"/>
      <c r="F1742" s="97" t="b">
        <v>0</v>
      </c>
      <c r="G1742" s="97" t="b">
        <v>0</v>
      </c>
      <c r="H1742" s="98"/>
      <c r="I1742" s="98"/>
      <c r="J1742" s="98"/>
      <c r="K1742" s="102"/>
      <c r="L1742" s="102"/>
      <c r="M1742" s="102"/>
      <c r="N1742" s="102"/>
      <c r="O1742" s="98"/>
      <c r="P1742" s="98"/>
      <c r="Q1742" s="98"/>
    </row>
    <row r="1743">
      <c r="A1743" s="96"/>
      <c r="B1743" s="97"/>
      <c r="C1743" s="97"/>
      <c r="D1743" s="97"/>
      <c r="E1743" s="97"/>
      <c r="F1743" s="97" t="b">
        <v>0</v>
      </c>
      <c r="G1743" s="97" t="b">
        <v>0</v>
      </c>
      <c r="H1743" s="98"/>
      <c r="I1743" s="98"/>
      <c r="J1743" s="98"/>
      <c r="K1743" s="102"/>
      <c r="L1743" s="102"/>
      <c r="M1743" s="102"/>
      <c r="N1743" s="102"/>
      <c r="O1743" s="98"/>
      <c r="P1743" s="98"/>
      <c r="Q1743" s="98"/>
    </row>
    <row r="1744">
      <c r="A1744" s="96"/>
      <c r="B1744" s="97"/>
      <c r="C1744" s="97"/>
      <c r="D1744" s="97"/>
      <c r="E1744" s="97"/>
      <c r="F1744" s="97" t="b">
        <v>0</v>
      </c>
      <c r="G1744" s="97" t="b">
        <v>0</v>
      </c>
      <c r="H1744" s="98"/>
      <c r="I1744" s="98"/>
      <c r="J1744" s="98"/>
      <c r="K1744" s="102"/>
      <c r="L1744" s="102"/>
      <c r="M1744" s="102"/>
      <c r="N1744" s="102"/>
      <c r="O1744" s="98"/>
      <c r="P1744" s="98"/>
      <c r="Q1744" s="98"/>
    </row>
    <row r="1745">
      <c r="A1745" s="96"/>
      <c r="B1745" s="97"/>
      <c r="C1745" s="97"/>
      <c r="D1745" s="97"/>
      <c r="E1745" s="97"/>
      <c r="F1745" s="97" t="b">
        <v>0</v>
      </c>
      <c r="G1745" s="97" t="b">
        <v>0</v>
      </c>
      <c r="H1745" s="98"/>
      <c r="I1745" s="98"/>
      <c r="J1745" s="98"/>
      <c r="K1745" s="102"/>
      <c r="L1745" s="102"/>
      <c r="M1745" s="102"/>
      <c r="N1745" s="102"/>
      <c r="O1745" s="98"/>
      <c r="P1745" s="98"/>
      <c r="Q1745" s="98"/>
    </row>
    <row r="1746">
      <c r="A1746" s="96"/>
      <c r="B1746" s="97"/>
      <c r="C1746" s="97"/>
      <c r="D1746" s="97"/>
      <c r="E1746" s="97"/>
      <c r="F1746" s="97" t="b">
        <v>0</v>
      </c>
      <c r="G1746" s="97" t="b">
        <v>0</v>
      </c>
      <c r="H1746" s="98"/>
      <c r="I1746" s="98"/>
      <c r="J1746" s="98"/>
      <c r="K1746" s="102"/>
      <c r="L1746" s="102"/>
      <c r="M1746" s="102"/>
      <c r="N1746" s="102"/>
      <c r="O1746" s="98"/>
      <c r="P1746" s="98"/>
      <c r="Q1746" s="98"/>
    </row>
    <row r="1747">
      <c r="A1747" s="96"/>
      <c r="B1747" s="97"/>
      <c r="C1747" s="97"/>
      <c r="D1747" s="97"/>
      <c r="E1747" s="97"/>
      <c r="F1747" s="97" t="b">
        <v>0</v>
      </c>
      <c r="G1747" s="97" t="b">
        <v>0</v>
      </c>
      <c r="H1747" s="98"/>
      <c r="I1747" s="98"/>
      <c r="J1747" s="98"/>
      <c r="K1747" s="102"/>
      <c r="L1747" s="102"/>
      <c r="M1747" s="102"/>
      <c r="N1747" s="102"/>
      <c r="O1747" s="98"/>
      <c r="P1747" s="98"/>
      <c r="Q1747" s="98"/>
    </row>
    <row r="1748">
      <c r="A1748" s="96"/>
      <c r="B1748" s="97"/>
      <c r="C1748" s="97"/>
      <c r="D1748" s="97"/>
      <c r="E1748" s="97"/>
      <c r="F1748" s="97" t="b">
        <v>0</v>
      </c>
      <c r="G1748" s="97" t="b">
        <v>0</v>
      </c>
      <c r="H1748" s="98"/>
      <c r="I1748" s="98"/>
      <c r="J1748" s="98"/>
      <c r="K1748" s="102"/>
      <c r="L1748" s="102"/>
      <c r="M1748" s="102"/>
      <c r="N1748" s="102"/>
      <c r="O1748" s="98"/>
      <c r="P1748" s="98"/>
      <c r="Q1748" s="98"/>
    </row>
    <row r="1749">
      <c r="A1749" s="96"/>
      <c r="B1749" s="97"/>
      <c r="C1749" s="97"/>
      <c r="D1749" s="97"/>
      <c r="E1749" s="97"/>
      <c r="F1749" s="97" t="b">
        <v>0</v>
      </c>
      <c r="G1749" s="97" t="b">
        <v>0</v>
      </c>
      <c r="H1749" s="98"/>
      <c r="I1749" s="98"/>
      <c r="J1749" s="98"/>
      <c r="K1749" s="102"/>
      <c r="L1749" s="102"/>
      <c r="M1749" s="102"/>
      <c r="N1749" s="102"/>
      <c r="O1749" s="98"/>
      <c r="P1749" s="98"/>
      <c r="Q1749" s="98"/>
    </row>
    <row r="1750">
      <c r="A1750" s="96"/>
      <c r="B1750" s="97"/>
      <c r="C1750" s="97"/>
      <c r="D1750" s="97"/>
      <c r="E1750" s="97"/>
      <c r="F1750" s="97" t="b">
        <v>0</v>
      </c>
      <c r="G1750" s="97" t="b">
        <v>0</v>
      </c>
      <c r="H1750" s="98"/>
      <c r="I1750" s="98"/>
      <c r="J1750" s="98"/>
      <c r="K1750" s="102"/>
      <c r="L1750" s="102"/>
      <c r="M1750" s="102"/>
      <c r="N1750" s="102"/>
      <c r="O1750" s="98"/>
      <c r="P1750" s="98"/>
      <c r="Q1750" s="98"/>
    </row>
    <row r="1751">
      <c r="A1751" s="96"/>
      <c r="B1751" s="97"/>
      <c r="C1751" s="97"/>
      <c r="D1751" s="97"/>
      <c r="E1751" s="97"/>
      <c r="F1751" s="97" t="b">
        <v>0</v>
      </c>
      <c r="G1751" s="97" t="b">
        <v>0</v>
      </c>
      <c r="H1751" s="98"/>
      <c r="I1751" s="98"/>
      <c r="J1751" s="98"/>
      <c r="K1751" s="102"/>
      <c r="L1751" s="102"/>
      <c r="M1751" s="102"/>
      <c r="N1751" s="102"/>
      <c r="O1751" s="98"/>
      <c r="P1751" s="98"/>
      <c r="Q1751" s="98"/>
    </row>
    <row r="1752">
      <c r="A1752" s="96"/>
      <c r="B1752" s="97"/>
      <c r="C1752" s="97"/>
      <c r="D1752" s="97"/>
      <c r="E1752" s="97"/>
      <c r="F1752" s="97" t="b">
        <v>0</v>
      </c>
      <c r="G1752" s="97" t="b">
        <v>0</v>
      </c>
      <c r="H1752" s="98"/>
      <c r="I1752" s="98"/>
      <c r="J1752" s="98"/>
      <c r="K1752" s="102"/>
      <c r="L1752" s="102"/>
      <c r="M1752" s="102"/>
      <c r="N1752" s="102"/>
      <c r="O1752" s="98"/>
      <c r="P1752" s="98"/>
      <c r="Q1752" s="98"/>
    </row>
    <row r="1753">
      <c r="A1753" s="96"/>
      <c r="B1753" s="97"/>
      <c r="C1753" s="97"/>
      <c r="D1753" s="97"/>
      <c r="E1753" s="97"/>
      <c r="F1753" s="97" t="b">
        <v>0</v>
      </c>
      <c r="G1753" s="97" t="b">
        <v>0</v>
      </c>
      <c r="H1753" s="98"/>
      <c r="I1753" s="98"/>
      <c r="J1753" s="98"/>
      <c r="K1753" s="102"/>
      <c r="L1753" s="102"/>
      <c r="M1753" s="102"/>
      <c r="N1753" s="102"/>
      <c r="O1753" s="98"/>
      <c r="P1753" s="98"/>
      <c r="Q1753" s="98"/>
    </row>
    <row r="1754">
      <c r="A1754" s="96"/>
      <c r="B1754" s="97"/>
      <c r="C1754" s="97"/>
      <c r="D1754" s="97"/>
      <c r="E1754" s="97"/>
      <c r="F1754" s="97" t="b">
        <v>0</v>
      </c>
      <c r="G1754" s="97" t="b">
        <v>0</v>
      </c>
      <c r="H1754" s="98"/>
      <c r="I1754" s="98"/>
      <c r="J1754" s="98"/>
      <c r="K1754" s="102"/>
      <c r="L1754" s="102"/>
      <c r="M1754" s="102"/>
      <c r="N1754" s="102"/>
      <c r="O1754" s="98"/>
      <c r="P1754" s="98"/>
      <c r="Q1754" s="98"/>
    </row>
    <row r="1755">
      <c r="A1755" s="96"/>
      <c r="B1755" s="97"/>
      <c r="C1755" s="97"/>
      <c r="D1755" s="97"/>
      <c r="E1755" s="97"/>
      <c r="F1755" s="97" t="b">
        <v>0</v>
      </c>
      <c r="G1755" s="97" t="b">
        <v>0</v>
      </c>
      <c r="H1755" s="98"/>
      <c r="I1755" s="98"/>
      <c r="J1755" s="98"/>
      <c r="K1755" s="102"/>
      <c r="L1755" s="102"/>
      <c r="M1755" s="102"/>
      <c r="N1755" s="102"/>
      <c r="O1755" s="98"/>
      <c r="P1755" s="98"/>
      <c r="Q1755" s="98"/>
    </row>
    <row r="1756">
      <c r="A1756" s="96"/>
      <c r="B1756" s="97"/>
      <c r="C1756" s="97"/>
      <c r="D1756" s="97"/>
      <c r="E1756" s="97"/>
      <c r="F1756" s="97" t="b">
        <v>0</v>
      </c>
      <c r="G1756" s="97" t="b">
        <v>0</v>
      </c>
      <c r="H1756" s="98"/>
      <c r="I1756" s="98"/>
      <c r="J1756" s="98"/>
      <c r="K1756" s="102"/>
      <c r="L1756" s="102"/>
      <c r="M1756" s="102"/>
      <c r="N1756" s="102"/>
      <c r="O1756" s="98"/>
      <c r="P1756" s="98"/>
      <c r="Q1756" s="98"/>
    </row>
    <row r="1757">
      <c r="A1757" s="96"/>
      <c r="B1757" s="97"/>
      <c r="C1757" s="97"/>
      <c r="D1757" s="97"/>
      <c r="E1757" s="97"/>
      <c r="F1757" s="97" t="b">
        <v>0</v>
      </c>
      <c r="G1757" s="97" t="b">
        <v>0</v>
      </c>
      <c r="H1757" s="98"/>
      <c r="I1757" s="98"/>
      <c r="J1757" s="98"/>
      <c r="K1757" s="102"/>
      <c r="L1757" s="102"/>
      <c r="M1757" s="102"/>
      <c r="N1757" s="102"/>
      <c r="O1757" s="98"/>
      <c r="P1757" s="98"/>
      <c r="Q1757" s="98"/>
    </row>
    <row r="1758">
      <c r="A1758" s="96"/>
      <c r="B1758" s="97"/>
      <c r="C1758" s="97"/>
      <c r="D1758" s="97"/>
      <c r="E1758" s="97"/>
      <c r="F1758" s="97" t="b">
        <v>0</v>
      </c>
      <c r="G1758" s="97" t="b">
        <v>0</v>
      </c>
      <c r="H1758" s="98"/>
      <c r="I1758" s="98"/>
      <c r="J1758" s="98"/>
      <c r="K1758" s="102"/>
      <c r="L1758" s="102"/>
      <c r="M1758" s="102"/>
      <c r="N1758" s="102"/>
      <c r="O1758" s="98"/>
      <c r="P1758" s="98"/>
      <c r="Q1758" s="98"/>
    </row>
    <row r="1759">
      <c r="A1759" s="96"/>
      <c r="B1759" s="97"/>
      <c r="C1759" s="97"/>
      <c r="D1759" s="97"/>
      <c r="E1759" s="97"/>
      <c r="F1759" s="97" t="b">
        <v>0</v>
      </c>
      <c r="G1759" s="97" t="b">
        <v>0</v>
      </c>
      <c r="H1759" s="98"/>
      <c r="I1759" s="98"/>
      <c r="J1759" s="98"/>
      <c r="K1759" s="102"/>
      <c r="L1759" s="102"/>
      <c r="M1759" s="102"/>
      <c r="N1759" s="102"/>
      <c r="O1759" s="98"/>
      <c r="P1759" s="98"/>
      <c r="Q1759" s="98"/>
    </row>
    <row r="1760">
      <c r="A1760" s="96"/>
      <c r="B1760" s="97"/>
      <c r="C1760" s="97"/>
      <c r="D1760" s="97"/>
      <c r="E1760" s="97"/>
      <c r="F1760" s="97" t="b">
        <v>0</v>
      </c>
      <c r="G1760" s="97" t="b">
        <v>0</v>
      </c>
      <c r="H1760" s="98"/>
      <c r="I1760" s="98"/>
      <c r="J1760" s="98"/>
      <c r="K1760" s="102"/>
      <c r="L1760" s="102"/>
      <c r="M1760" s="102"/>
      <c r="N1760" s="102"/>
      <c r="O1760" s="98"/>
      <c r="P1760" s="98"/>
      <c r="Q1760" s="98"/>
    </row>
    <row r="1761">
      <c r="A1761" s="96"/>
      <c r="B1761" s="97"/>
      <c r="C1761" s="97"/>
      <c r="D1761" s="97"/>
      <c r="E1761" s="97"/>
      <c r="F1761" s="97" t="b">
        <v>0</v>
      </c>
      <c r="G1761" s="97" t="b">
        <v>0</v>
      </c>
      <c r="H1761" s="98"/>
      <c r="I1761" s="98"/>
      <c r="J1761" s="98"/>
      <c r="K1761" s="102"/>
      <c r="L1761" s="102"/>
      <c r="M1761" s="102"/>
      <c r="N1761" s="102"/>
      <c r="O1761" s="98"/>
      <c r="P1761" s="98"/>
      <c r="Q1761" s="98"/>
    </row>
    <row r="1762">
      <c r="A1762" s="96"/>
      <c r="B1762" s="97"/>
      <c r="C1762" s="97"/>
      <c r="D1762" s="97"/>
      <c r="E1762" s="97"/>
      <c r="F1762" s="97" t="b">
        <v>0</v>
      </c>
      <c r="G1762" s="97" t="b">
        <v>0</v>
      </c>
      <c r="H1762" s="98"/>
      <c r="I1762" s="98"/>
      <c r="J1762" s="98"/>
      <c r="K1762" s="102"/>
      <c r="L1762" s="102"/>
      <c r="M1762" s="102"/>
      <c r="N1762" s="102"/>
      <c r="O1762" s="98"/>
      <c r="P1762" s="98"/>
      <c r="Q1762" s="98"/>
    </row>
    <row r="1763">
      <c r="A1763" s="96"/>
      <c r="B1763" s="97"/>
      <c r="C1763" s="97"/>
      <c r="D1763" s="97"/>
      <c r="E1763" s="97"/>
      <c r="F1763" s="97" t="b">
        <v>0</v>
      </c>
      <c r="G1763" s="97" t="b">
        <v>0</v>
      </c>
      <c r="H1763" s="98"/>
      <c r="I1763" s="98"/>
      <c r="J1763" s="98"/>
      <c r="K1763" s="102"/>
      <c r="L1763" s="102"/>
      <c r="M1763" s="102"/>
      <c r="N1763" s="102"/>
      <c r="O1763" s="98"/>
      <c r="P1763" s="98"/>
      <c r="Q1763" s="98"/>
    </row>
    <row r="1764">
      <c r="A1764" s="96"/>
      <c r="B1764" s="97"/>
      <c r="C1764" s="97"/>
      <c r="D1764" s="97"/>
      <c r="E1764" s="97"/>
      <c r="F1764" s="97" t="b">
        <v>0</v>
      </c>
      <c r="G1764" s="97" t="b">
        <v>0</v>
      </c>
      <c r="H1764" s="98"/>
      <c r="I1764" s="98"/>
      <c r="J1764" s="98"/>
      <c r="K1764" s="102"/>
      <c r="L1764" s="102"/>
      <c r="M1764" s="102"/>
      <c r="N1764" s="102"/>
      <c r="O1764" s="98"/>
      <c r="P1764" s="98"/>
      <c r="Q1764" s="98"/>
    </row>
    <row r="1765">
      <c r="A1765" s="96"/>
      <c r="B1765" s="97"/>
      <c r="C1765" s="97"/>
      <c r="D1765" s="97"/>
      <c r="E1765" s="97"/>
      <c r="F1765" s="97" t="b">
        <v>0</v>
      </c>
      <c r="G1765" s="97" t="b">
        <v>0</v>
      </c>
      <c r="H1765" s="98"/>
      <c r="I1765" s="98"/>
      <c r="J1765" s="98"/>
      <c r="K1765" s="102"/>
      <c r="L1765" s="102"/>
      <c r="M1765" s="102"/>
      <c r="N1765" s="102"/>
      <c r="O1765" s="98"/>
      <c r="P1765" s="98"/>
      <c r="Q1765" s="98"/>
    </row>
    <row r="1766">
      <c r="A1766" s="96"/>
      <c r="B1766" s="97"/>
      <c r="C1766" s="97"/>
      <c r="D1766" s="97"/>
      <c r="E1766" s="97"/>
      <c r="F1766" s="97" t="b">
        <v>0</v>
      </c>
      <c r="G1766" s="97" t="b">
        <v>0</v>
      </c>
      <c r="H1766" s="98"/>
      <c r="I1766" s="98"/>
      <c r="J1766" s="98"/>
      <c r="K1766" s="102"/>
      <c r="L1766" s="102"/>
      <c r="M1766" s="102"/>
      <c r="N1766" s="102"/>
      <c r="O1766" s="98"/>
      <c r="P1766" s="98"/>
      <c r="Q1766" s="98"/>
    </row>
    <row r="1767">
      <c r="A1767" s="96"/>
      <c r="B1767" s="97"/>
      <c r="C1767" s="97"/>
      <c r="D1767" s="97"/>
      <c r="E1767" s="97"/>
      <c r="F1767" s="97" t="b">
        <v>0</v>
      </c>
      <c r="G1767" s="97" t="b">
        <v>0</v>
      </c>
      <c r="H1767" s="98"/>
      <c r="I1767" s="98"/>
      <c r="J1767" s="98"/>
      <c r="K1767" s="102"/>
      <c r="L1767" s="102"/>
      <c r="M1767" s="102"/>
      <c r="N1767" s="102"/>
      <c r="O1767" s="98"/>
      <c r="P1767" s="98"/>
      <c r="Q1767" s="98"/>
    </row>
    <row r="1768">
      <c r="A1768" s="96"/>
      <c r="B1768" s="97"/>
      <c r="C1768" s="97"/>
      <c r="D1768" s="97"/>
      <c r="E1768" s="97"/>
      <c r="F1768" s="97" t="b">
        <v>0</v>
      </c>
      <c r="G1768" s="97" t="b">
        <v>0</v>
      </c>
      <c r="H1768" s="98"/>
      <c r="I1768" s="98"/>
      <c r="J1768" s="98"/>
      <c r="K1768" s="102"/>
      <c r="L1768" s="102"/>
      <c r="M1768" s="102"/>
      <c r="N1768" s="102"/>
      <c r="O1768" s="98"/>
      <c r="P1768" s="98"/>
      <c r="Q1768" s="98"/>
    </row>
    <row r="1769">
      <c r="A1769" s="96"/>
      <c r="B1769" s="97"/>
      <c r="C1769" s="97"/>
      <c r="D1769" s="97"/>
      <c r="E1769" s="97"/>
      <c r="F1769" s="97" t="b">
        <v>0</v>
      </c>
      <c r="G1769" s="97" t="b">
        <v>0</v>
      </c>
      <c r="H1769" s="98"/>
      <c r="I1769" s="98"/>
      <c r="J1769" s="98"/>
      <c r="K1769" s="102"/>
      <c r="L1769" s="102"/>
      <c r="M1769" s="102"/>
      <c r="N1769" s="102"/>
      <c r="O1769" s="98"/>
      <c r="P1769" s="98"/>
      <c r="Q1769" s="98"/>
    </row>
    <row r="1770">
      <c r="A1770" s="96"/>
      <c r="B1770" s="97"/>
      <c r="C1770" s="97"/>
      <c r="D1770" s="97"/>
      <c r="E1770" s="97"/>
      <c r="F1770" s="97" t="b">
        <v>0</v>
      </c>
      <c r="G1770" s="97" t="b">
        <v>0</v>
      </c>
      <c r="H1770" s="98"/>
      <c r="I1770" s="98"/>
      <c r="J1770" s="98"/>
      <c r="K1770" s="102"/>
      <c r="L1770" s="102"/>
      <c r="M1770" s="102"/>
      <c r="N1770" s="102"/>
      <c r="O1770" s="98"/>
      <c r="P1770" s="98"/>
      <c r="Q1770" s="98"/>
    </row>
    <row r="1771">
      <c r="A1771" s="96"/>
      <c r="B1771" s="97"/>
      <c r="C1771" s="97"/>
      <c r="D1771" s="97"/>
      <c r="E1771" s="97"/>
      <c r="F1771" s="97" t="b">
        <v>0</v>
      </c>
      <c r="G1771" s="97" t="b">
        <v>0</v>
      </c>
      <c r="H1771" s="98"/>
      <c r="I1771" s="98"/>
      <c r="J1771" s="98"/>
      <c r="K1771" s="102"/>
      <c r="L1771" s="102"/>
      <c r="M1771" s="102"/>
      <c r="N1771" s="102"/>
      <c r="O1771" s="98"/>
      <c r="P1771" s="98"/>
      <c r="Q1771" s="98"/>
    </row>
    <row r="1772">
      <c r="A1772" s="96"/>
      <c r="B1772" s="97"/>
      <c r="C1772" s="97"/>
      <c r="D1772" s="97"/>
      <c r="E1772" s="97"/>
      <c r="F1772" s="97" t="b">
        <v>0</v>
      </c>
      <c r="G1772" s="97" t="b">
        <v>0</v>
      </c>
      <c r="H1772" s="98"/>
      <c r="I1772" s="98"/>
      <c r="J1772" s="98"/>
      <c r="K1772" s="102"/>
      <c r="L1772" s="102"/>
      <c r="M1772" s="102"/>
      <c r="N1772" s="102"/>
      <c r="O1772" s="98"/>
      <c r="P1772" s="98"/>
      <c r="Q1772" s="98"/>
    </row>
    <row r="1773">
      <c r="A1773" s="96"/>
      <c r="B1773" s="97"/>
      <c r="C1773" s="97"/>
      <c r="D1773" s="97"/>
      <c r="E1773" s="97"/>
      <c r="F1773" s="97" t="b">
        <v>0</v>
      </c>
      <c r="G1773" s="97" t="b">
        <v>0</v>
      </c>
      <c r="H1773" s="98"/>
      <c r="I1773" s="98"/>
      <c r="J1773" s="98"/>
      <c r="K1773" s="102"/>
      <c r="L1773" s="102"/>
      <c r="M1773" s="102"/>
      <c r="N1773" s="102"/>
      <c r="O1773" s="98"/>
      <c r="P1773" s="98"/>
      <c r="Q1773" s="98"/>
    </row>
    <row r="1774">
      <c r="A1774" s="96"/>
      <c r="B1774" s="97"/>
      <c r="C1774" s="97"/>
      <c r="D1774" s="97"/>
      <c r="E1774" s="97"/>
      <c r="F1774" s="97" t="b">
        <v>0</v>
      </c>
      <c r="G1774" s="97" t="b">
        <v>0</v>
      </c>
      <c r="H1774" s="98"/>
      <c r="I1774" s="98"/>
      <c r="J1774" s="98"/>
      <c r="K1774" s="102"/>
      <c r="L1774" s="102"/>
      <c r="M1774" s="102"/>
      <c r="N1774" s="102"/>
      <c r="O1774" s="98"/>
      <c r="P1774" s="98"/>
      <c r="Q1774" s="98"/>
    </row>
    <row r="1775">
      <c r="A1775" s="96"/>
      <c r="B1775" s="97"/>
      <c r="C1775" s="97"/>
      <c r="D1775" s="97"/>
      <c r="E1775" s="97"/>
      <c r="F1775" s="97" t="b">
        <v>0</v>
      </c>
      <c r="G1775" s="97" t="b">
        <v>0</v>
      </c>
      <c r="H1775" s="98"/>
      <c r="I1775" s="98"/>
      <c r="J1775" s="98"/>
      <c r="K1775" s="102"/>
      <c r="L1775" s="102"/>
      <c r="M1775" s="102"/>
      <c r="N1775" s="102"/>
      <c r="O1775" s="98"/>
      <c r="P1775" s="98"/>
      <c r="Q1775" s="98"/>
    </row>
    <row r="1776">
      <c r="A1776" s="96"/>
      <c r="B1776" s="97"/>
      <c r="C1776" s="97"/>
      <c r="D1776" s="97"/>
      <c r="E1776" s="97"/>
      <c r="F1776" s="97" t="b">
        <v>0</v>
      </c>
      <c r="G1776" s="97" t="b">
        <v>0</v>
      </c>
      <c r="H1776" s="98"/>
      <c r="I1776" s="98"/>
      <c r="J1776" s="98"/>
      <c r="K1776" s="102"/>
      <c r="L1776" s="102"/>
      <c r="M1776" s="102"/>
      <c r="N1776" s="102"/>
      <c r="O1776" s="98"/>
      <c r="P1776" s="98"/>
      <c r="Q1776" s="98"/>
    </row>
    <row r="1777">
      <c r="A1777" s="96"/>
      <c r="B1777" s="97"/>
      <c r="C1777" s="97"/>
      <c r="D1777" s="97"/>
      <c r="E1777" s="97"/>
      <c r="F1777" s="97" t="b">
        <v>0</v>
      </c>
      <c r="G1777" s="97" t="b">
        <v>0</v>
      </c>
      <c r="H1777" s="98"/>
      <c r="I1777" s="98"/>
      <c r="J1777" s="98"/>
      <c r="K1777" s="102"/>
      <c r="L1777" s="102"/>
      <c r="M1777" s="102"/>
      <c r="N1777" s="102"/>
      <c r="O1777" s="98"/>
      <c r="P1777" s="98"/>
      <c r="Q1777" s="98"/>
    </row>
    <row r="1778">
      <c r="A1778" s="96"/>
      <c r="B1778" s="97"/>
      <c r="C1778" s="97"/>
      <c r="D1778" s="97"/>
      <c r="E1778" s="97"/>
      <c r="F1778" s="97" t="b">
        <v>0</v>
      </c>
      <c r="G1778" s="97" t="b">
        <v>0</v>
      </c>
      <c r="H1778" s="98"/>
      <c r="I1778" s="98"/>
      <c r="J1778" s="98"/>
      <c r="K1778" s="102"/>
      <c r="L1778" s="102"/>
      <c r="M1778" s="102"/>
      <c r="N1778" s="102"/>
      <c r="O1778" s="98"/>
      <c r="P1778" s="98"/>
      <c r="Q1778" s="98"/>
    </row>
    <row r="1779">
      <c r="A1779" s="96"/>
      <c r="B1779" s="97"/>
      <c r="C1779" s="97"/>
      <c r="D1779" s="97"/>
      <c r="E1779" s="97"/>
      <c r="F1779" s="97" t="b">
        <v>0</v>
      </c>
      <c r="G1779" s="97" t="b">
        <v>0</v>
      </c>
      <c r="H1779" s="98"/>
      <c r="I1779" s="98"/>
      <c r="J1779" s="98"/>
      <c r="K1779" s="102"/>
      <c r="L1779" s="102"/>
      <c r="M1779" s="102"/>
      <c r="N1779" s="102"/>
      <c r="O1779" s="98"/>
      <c r="P1779" s="98"/>
      <c r="Q1779" s="98"/>
    </row>
    <row r="1780">
      <c r="A1780" s="96"/>
      <c r="B1780" s="97"/>
      <c r="C1780" s="97"/>
      <c r="D1780" s="97"/>
      <c r="E1780" s="97"/>
      <c r="F1780" s="97" t="b">
        <v>0</v>
      </c>
      <c r="G1780" s="97" t="b">
        <v>0</v>
      </c>
      <c r="H1780" s="98"/>
      <c r="I1780" s="98"/>
      <c r="J1780" s="98"/>
      <c r="K1780" s="102"/>
      <c r="L1780" s="102"/>
      <c r="M1780" s="102"/>
      <c r="N1780" s="102"/>
      <c r="O1780" s="98"/>
      <c r="P1780" s="98"/>
      <c r="Q1780" s="98"/>
    </row>
    <row r="1781">
      <c r="A1781" s="96"/>
      <c r="B1781" s="97"/>
      <c r="C1781" s="97"/>
      <c r="D1781" s="97"/>
      <c r="E1781" s="97"/>
      <c r="F1781" s="97" t="b">
        <v>0</v>
      </c>
      <c r="G1781" s="97" t="b">
        <v>0</v>
      </c>
      <c r="H1781" s="98"/>
      <c r="I1781" s="98"/>
      <c r="J1781" s="98"/>
      <c r="K1781" s="102"/>
      <c r="L1781" s="102"/>
      <c r="M1781" s="102"/>
      <c r="N1781" s="102"/>
      <c r="O1781" s="98"/>
      <c r="P1781" s="98"/>
      <c r="Q1781" s="98"/>
    </row>
    <row r="1782">
      <c r="A1782" s="96"/>
      <c r="B1782" s="97"/>
      <c r="C1782" s="97"/>
      <c r="D1782" s="97"/>
      <c r="E1782" s="97"/>
      <c r="F1782" s="97" t="b">
        <v>0</v>
      </c>
      <c r="G1782" s="97" t="b">
        <v>0</v>
      </c>
      <c r="H1782" s="98"/>
      <c r="I1782" s="98"/>
      <c r="J1782" s="98"/>
      <c r="K1782" s="102"/>
      <c r="L1782" s="102"/>
      <c r="M1782" s="102"/>
      <c r="N1782" s="102"/>
      <c r="O1782" s="98"/>
      <c r="P1782" s="98"/>
      <c r="Q1782" s="98"/>
    </row>
    <row r="1783">
      <c r="A1783" s="96"/>
      <c r="B1783" s="97"/>
      <c r="C1783" s="97"/>
      <c r="D1783" s="97"/>
      <c r="E1783" s="97"/>
      <c r="F1783" s="97" t="b">
        <v>0</v>
      </c>
      <c r="G1783" s="97" t="b">
        <v>0</v>
      </c>
      <c r="H1783" s="98"/>
      <c r="I1783" s="98"/>
      <c r="J1783" s="98"/>
      <c r="K1783" s="102"/>
      <c r="L1783" s="102"/>
      <c r="M1783" s="102"/>
      <c r="N1783" s="102"/>
      <c r="O1783" s="98"/>
      <c r="P1783" s="98"/>
      <c r="Q1783" s="98"/>
    </row>
    <row r="1784">
      <c r="A1784" s="96"/>
      <c r="B1784" s="97"/>
      <c r="C1784" s="97"/>
      <c r="D1784" s="97"/>
      <c r="E1784" s="97"/>
      <c r="F1784" s="97" t="b">
        <v>0</v>
      </c>
      <c r="G1784" s="97" t="b">
        <v>0</v>
      </c>
      <c r="H1784" s="98"/>
      <c r="I1784" s="98"/>
      <c r="J1784" s="98"/>
      <c r="K1784" s="102"/>
      <c r="L1784" s="102"/>
      <c r="M1784" s="102"/>
      <c r="N1784" s="102"/>
      <c r="O1784" s="98"/>
      <c r="P1784" s="98"/>
      <c r="Q1784" s="98"/>
    </row>
    <row r="1785">
      <c r="A1785" s="96"/>
      <c r="B1785" s="97"/>
      <c r="C1785" s="97"/>
      <c r="D1785" s="97"/>
      <c r="E1785" s="97"/>
      <c r="F1785" s="97" t="b">
        <v>0</v>
      </c>
      <c r="G1785" s="97" t="b">
        <v>0</v>
      </c>
      <c r="H1785" s="98"/>
      <c r="I1785" s="98"/>
      <c r="J1785" s="98"/>
      <c r="K1785" s="102"/>
      <c r="L1785" s="102"/>
      <c r="M1785" s="102"/>
      <c r="N1785" s="102"/>
      <c r="O1785" s="98"/>
      <c r="P1785" s="98"/>
      <c r="Q1785" s="98"/>
    </row>
    <row r="1786">
      <c r="A1786" s="96"/>
      <c r="B1786" s="97"/>
      <c r="C1786" s="97"/>
      <c r="D1786" s="97"/>
      <c r="E1786" s="97"/>
      <c r="F1786" s="97" t="b">
        <v>0</v>
      </c>
      <c r="G1786" s="97" t="b">
        <v>0</v>
      </c>
      <c r="H1786" s="98"/>
      <c r="I1786" s="98"/>
      <c r="J1786" s="98"/>
      <c r="K1786" s="102"/>
      <c r="L1786" s="102"/>
      <c r="M1786" s="102"/>
      <c r="N1786" s="102"/>
      <c r="O1786" s="98"/>
      <c r="P1786" s="98"/>
      <c r="Q1786" s="98"/>
    </row>
    <row r="1787">
      <c r="A1787" s="96"/>
      <c r="B1787" s="97"/>
      <c r="C1787" s="97"/>
      <c r="D1787" s="97"/>
      <c r="E1787" s="97"/>
      <c r="F1787" s="97" t="b">
        <v>0</v>
      </c>
      <c r="G1787" s="97" t="b">
        <v>0</v>
      </c>
      <c r="H1787" s="98"/>
      <c r="I1787" s="98"/>
      <c r="J1787" s="98"/>
      <c r="K1787" s="102"/>
      <c r="L1787" s="102"/>
      <c r="M1787" s="102"/>
      <c r="N1787" s="102"/>
      <c r="O1787" s="98"/>
      <c r="P1787" s="98"/>
      <c r="Q1787" s="98"/>
    </row>
    <row r="1788">
      <c r="A1788" s="96"/>
      <c r="B1788" s="97"/>
      <c r="C1788" s="97"/>
      <c r="D1788" s="97"/>
      <c r="E1788" s="97"/>
      <c r="F1788" s="97" t="b">
        <v>0</v>
      </c>
      <c r="G1788" s="97" t="b">
        <v>0</v>
      </c>
      <c r="H1788" s="98"/>
      <c r="I1788" s="98"/>
      <c r="J1788" s="98"/>
      <c r="K1788" s="102"/>
      <c r="L1788" s="102"/>
      <c r="M1788" s="102"/>
      <c r="N1788" s="102"/>
      <c r="O1788" s="98"/>
      <c r="P1788" s="98"/>
      <c r="Q1788" s="98"/>
    </row>
    <row r="1789">
      <c r="A1789" s="96"/>
      <c r="B1789" s="97"/>
      <c r="C1789" s="97"/>
      <c r="D1789" s="97"/>
      <c r="E1789" s="97"/>
      <c r="F1789" s="97" t="b">
        <v>0</v>
      </c>
      <c r="G1789" s="97" t="b">
        <v>0</v>
      </c>
      <c r="H1789" s="98"/>
      <c r="I1789" s="98"/>
      <c r="J1789" s="98"/>
      <c r="K1789" s="102"/>
      <c r="L1789" s="102"/>
      <c r="M1789" s="102"/>
      <c r="N1789" s="102"/>
      <c r="O1789" s="98"/>
      <c r="P1789" s="98"/>
      <c r="Q1789" s="98"/>
    </row>
    <row r="1790">
      <c r="A1790" s="96"/>
      <c r="B1790" s="97"/>
      <c r="C1790" s="97"/>
      <c r="D1790" s="97"/>
      <c r="E1790" s="97"/>
      <c r="F1790" s="97" t="b">
        <v>0</v>
      </c>
      <c r="G1790" s="97" t="b">
        <v>0</v>
      </c>
      <c r="H1790" s="98"/>
      <c r="I1790" s="98"/>
      <c r="J1790" s="98"/>
      <c r="K1790" s="102"/>
      <c r="L1790" s="102"/>
      <c r="M1790" s="102"/>
      <c r="N1790" s="102"/>
      <c r="O1790" s="98"/>
      <c r="P1790" s="98"/>
      <c r="Q1790" s="98"/>
    </row>
    <row r="1791">
      <c r="A1791" s="96"/>
      <c r="B1791" s="97"/>
      <c r="C1791" s="97"/>
      <c r="D1791" s="97"/>
      <c r="E1791" s="97"/>
      <c r="F1791" s="97" t="b">
        <v>0</v>
      </c>
      <c r="G1791" s="97" t="b">
        <v>0</v>
      </c>
      <c r="H1791" s="98"/>
      <c r="I1791" s="98"/>
      <c r="J1791" s="98"/>
      <c r="K1791" s="102"/>
      <c r="L1791" s="102"/>
      <c r="M1791" s="102"/>
      <c r="N1791" s="102"/>
      <c r="O1791" s="98"/>
      <c r="P1791" s="98"/>
      <c r="Q1791" s="98"/>
    </row>
    <row r="1792">
      <c r="A1792" s="96"/>
      <c r="B1792" s="97"/>
      <c r="C1792" s="97"/>
      <c r="D1792" s="97"/>
      <c r="E1792" s="97"/>
      <c r="F1792" s="97" t="b">
        <v>0</v>
      </c>
      <c r="G1792" s="97" t="b">
        <v>0</v>
      </c>
      <c r="H1792" s="98"/>
      <c r="I1792" s="98"/>
      <c r="J1792" s="98"/>
      <c r="K1792" s="102"/>
      <c r="L1792" s="102"/>
      <c r="M1792" s="102"/>
      <c r="N1792" s="102"/>
      <c r="O1792" s="98"/>
      <c r="P1792" s="98"/>
      <c r="Q1792" s="98"/>
    </row>
    <row r="1793">
      <c r="A1793" s="96"/>
      <c r="B1793" s="97"/>
      <c r="C1793" s="97"/>
      <c r="D1793" s="97"/>
      <c r="E1793" s="97"/>
      <c r="F1793" s="97" t="b">
        <v>0</v>
      </c>
      <c r="G1793" s="97" t="b">
        <v>0</v>
      </c>
      <c r="H1793" s="98"/>
      <c r="I1793" s="98"/>
      <c r="J1793" s="98"/>
      <c r="K1793" s="102"/>
      <c r="L1793" s="102"/>
      <c r="M1793" s="102"/>
      <c r="N1793" s="102"/>
      <c r="O1793" s="98"/>
      <c r="P1793" s="98"/>
      <c r="Q1793" s="98"/>
    </row>
    <row r="1794">
      <c r="A1794" s="96"/>
      <c r="B1794" s="97"/>
      <c r="C1794" s="97"/>
      <c r="D1794" s="97"/>
      <c r="E1794" s="97"/>
      <c r="F1794" s="97" t="b">
        <v>0</v>
      </c>
      <c r="G1794" s="97" t="b">
        <v>0</v>
      </c>
      <c r="H1794" s="98"/>
      <c r="I1794" s="98"/>
      <c r="J1794" s="98"/>
      <c r="K1794" s="102"/>
      <c r="L1794" s="102"/>
      <c r="M1794" s="102"/>
      <c r="N1794" s="102"/>
      <c r="O1794" s="98"/>
      <c r="P1794" s="98"/>
      <c r="Q1794" s="98"/>
    </row>
    <row r="1795">
      <c r="A1795" s="96"/>
      <c r="B1795" s="97"/>
      <c r="C1795" s="97"/>
      <c r="D1795" s="97"/>
      <c r="E1795" s="97"/>
      <c r="F1795" s="97" t="b">
        <v>0</v>
      </c>
      <c r="G1795" s="97" t="b">
        <v>0</v>
      </c>
      <c r="H1795" s="98"/>
      <c r="I1795" s="98"/>
      <c r="J1795" s="98"/>
      <c r="K1795" s="102"/>
      <c r="L1795" s="102"/>
      <c r="M1795" s="102"/>
      <c r="N1795" s="102"/>
      <c r="O1795" s="98"/>
      <c r="P1795" s="98"/>
      <c r="Q1795" s="98"/>
    </row>
    <row r="1796">
      <c r="A1796" s="96"/>
      <c r="B1796" s="97"/>
      <c r="C1796" s="97"/>
      <c r="D1796" s="97"/>
      <c r="E1796" s="97"/>
      <c r="F1796" s="97" t="b">
        <v>0</v>
      </c>
      <c r="G1796" s="97" t="b">
        <v>0</v>
      </c>
      <c r="H1796" s="98"/>
      <c r="I1796" s="98"/>
      <c r="J1796" s="98"/>
      <c r="K1796" s="102"/>
      <c r="L1796" s="102"/>
      <c r="M1796" s="102"/>
      <c r="N1796" s="102"/>
      <c r="O1796" s="98"/>
      <c r="P1796" s="98"/>
      <c r="Q1796" s="98"/>
    </row>
    <row r="1797">
      <c r="A1797" s="96"/>
      <c r="B1797" s="97"/>
      <c r="C1797" s="97"/>
      <c r="D1797" s="97"/>
      <c r="E1797" s="97"/>
      <c r="F1797" s="97" t="b">
        <v>0</v>
      </c>
      <c r="G1797" s="97" t="b">
        <v>0</v>
      </c>
      <c r="H1797" s="98"/>
      <c r="I1797" s="98"/>
      <c r="J1797" s="98"/>
      <c r="K1797" s="102"/>
      <c r="L1797" s="102"/>
      <c r="M1797" s="102"/>
      <c r="N1797" s="102"/>
      <c r="O1797" s="98"/>
      <c r="P1797" s="98"/>
      <c r="Q1797" s="98"/>
    </row>
    <row r="1798">
      <c r="A1798" s="96"/>
      <c r="B1798" s="97"/>
      <c r="C1798" s="97"/>
      <c r="D1798" s="97"/>
      <c r="E1798" s="97"/>
      <c r="F1798" s="97" t="b">
        <v>0</v>
      </c>
      <c r="G1798" s="97" t="b">
        <v>0</v>
      </c>
      <c r="H1798" s="98"/>
      <c r="I1798" s="98"/>
      <c r="J1798" s="98"/>
      <c r="K1798" s="102"/>
      <c r="L1798" s="102"/>
      <c r="M1798" s="102"/>
      <c r="N1798" s="102"/>
      <c r="O1798" s="98"/>
      <c r="P1798" s="98"/>
      <c r="Q1798" s="98"/>
    </row>
    <row r="1799">
      <c r="A1799" s="96"/>
      <c r="B1799" s="97"/>
      <c r="C1799" s="97"/>
      <c r="D1799" s="97"/>
      <c r="E1799" s="97"/>
      <c r="F1799" s="97" t="b">
        <v>0</v>
      </c>
      <c r="G1799" s="97" t="b">
        <v>0</v>
      </c>
      <c r="H1799" s="98"/>
      <c r="I1799" s="98"/>
      <c r="J1799" s="98"/>
      <c r="K1799" s="102"/>
      <c r="L1799" s="102"/>
      <c r="M1799" s="102"/>
      <c r="N1799" s="102"/>
      <c r="O1799" s="98"/>
      <c r="P1799" s="98"/>
      <c r="Q1799" s="98"/>
    </row>
    <row r="1800">
      <c r="A1800" s="96"/>
      <c r="B1800" s="97"/>
      <c r="C1800" s="97"/>
      <c r="D1800" s="97"/>
      <c r="E1800" s="97"/>
      <c r="F1800" s="97" t="b">
        <v>0</v>
      </c>
      <c r="G1800" s="97" t="b">
        <v>0</v>
      </c>
      <c r="H1800" s="98"/>
      <c r="I1800" s="98"/>
      <c r="J1800" s="98"/>
      <c r="K1800" s="102"/>
      <c r="L1800" s="102"/>
      <c r="M1800" s="102"/>
      <c r="N1800" s="102"/>
      <c r="O1800" s="98"/>
      <c r="P1800" s="98"/>
      <c r="Q1800" s="98"/>
    </row>
    <row r="1801">
      <c r="A1801" s="96"/>
      <c r="B1801" s="97"/>
      <c r="C1801" s="97"/>
      <c r="D1801" s="97"/>
      <c r="E1801" s="97"/>
      <c r="F1801" s="97" t="b">
        <v>0</v>
      </c>
      <c r="G1801" s="97" t="b">
        <v>0</v>
      </c>
      <c r="H1801" s="98"/>
      <c r="I1801" s="98"/>
      <c r="J1801" s="98"/>
      <c r="K1801" s="102"/>
      <c r="L1801" s="102"/>
      <c r="M1801" s="102"/>
      <c r="N1801" s="102"/>
      <c r="O1801" s="98"/>
      <c r="P1801" s="98"/>
      <c r="Q1801" s="98"/>
    </row>
    <row r="1802">
      <c r="A1802" s="96"/>
      <c r="B1802" s="97"/>
      <c r="C1802" s="97"/>
      <c r="D1802" s="97"/>
      <c r="E1802" s="97"/>
      <c r="F1802" s="97" t="b">
        <v>0</v>
      </c>
      <c r="G1802" s="97" t="b">
        <v>0</v>
      </c>
      <c r="H1802" s="98"/>
      <c r="I1802" s="98"/>
      <c r="J1802" s="98"/>
      <c r="K1802" s="102"/>
      <c r="L1802" s="102"/>
      <c r="M1802" s="102"/>
      <c r="N1802" s="102"/>
      <c r="O1802" s="98"/>
      <c r="P1802" s="98"/>
      <c r="Q1802" s="98"/>
    </row>
    <row r="1803">
      <c r="A1803" s="96"/>
      <c r="B1803" s="97"/>
      <c r="C1803" s="97"/>
      <c r="D1803" s="97"/>
      <c r="E1803" s="97"/>
      <c r="F1803" s="97" t="b">
        <v>0</v>
      </c>
      <c r="G1803" s="97" t="b">
        <v>0</v>
      </c>
      <c r="H1803" s="98"/>
      <c r="I1803" s="98"/>
      <c r="J1803" s="98"/>
      <c r="K1803" s="102"/>
      <c r="L1803" s="102"/>
      <c r="M1803" s="102"/>
      <c r="N1803" s="102"/>
      <c r="O1803" s="98"/>
      <c r="P1803" s="98"/>
      <c r="Q1803" s="98"/>
    </row>
    <row r="1804">
      <c r="A1804" s="96"/>
      <c r="B1804" s="97"/>
      <c r="C1804" s="97"/>
      <c r="D1804" s="97"/>
      <c r="E1804" s="97"/>
      <c r="F1804" s="97" t="b">
        <v>0</v>
      </c>
      <c r="G1804" s="97" t="b">
        <v>0</v>
      </c>
      <c r="H1804" s="98"/>
      <c r="I1804" s="98"/>
      <c r="J1804" s="98"/>
      <c r="K1804" s="102"/>
      <c r="L1804" s="102"/>
      <c r="M1804" s="102"/>
      <c r="N1804" s="102"/>
      <c r="O1804" s="98"/>
      <c r="P1804" s="98"/>
      <c r="Q1804" s="98"/>
    </row>
    <row r="1805">
      <c r="A1805" s="96"/>
      <c r="B1805" s="97"/>
      <c r="C1805" s="97"/>
      <c r="D1805" s="97"/>
      <c r="E1805" s="97"/>
      <c r="F1805" s="97" t="b">
        <v>0</v>
      </c>
      <c r="G1805" s="97" t="b">
        <v>0</v>
      </c>
      <c r="H1805" s="98"/>
      <c r="I1805" s="98"/>
      <c r="J1805" s="98"/>
      <c r="K1805" s="102"/>
      <c r="L1805" s="102"/>
      <c r="M1805" s="102"/>
      <c r="N1805" s="102"/>
      <c r="O1805" s="98"/>
      <c r="P1805" s="98"/>
      <c r="Q1805" s="98"/>
    </row>
    <row r="1806">
      <c r="A1806" s="96"/>
      <c r="B1806" s="97"/>
      <c r="C1806" s="97"/>
      <c r="D1806" s="97"/>
      <c r="E1806" s="97"/>
      <c r="F1806" s="97" t="b">
        <v>0</v>
      </c>
      <c r="G1806" s="97" t="b">
        <v>0</v>
      </c>
      <c r="H1806" s="98"/>
      <c r="I1806" s="98"/>
      <c r="J1806" s="98"/>
      <c r="K1806" s="102"/>
      <c r="L1806" s="102"/>
      <c r="M1806" s="102"/>
      <c r="N1806" s="102"/>
      <c r="O1806" s="98"/>
      <c r="P1806" s="98"/>
      <c r="Q1806" s="98"/>
    </row>
    <row r="1807">
      <c r="A1807" s="96"/>
      <c r="B1807" s="97"/>
      <c r="C1807" s="97"/>
      <c r="D1807" s="97"/>
      <c r="E1807" s="97"/>
      <c r="F1807" s="97" t="b">
        <v>0</v>
      </c>
      <c r="G1807" s="97" t="b">
        <v>0</v>
      </c>
      <c r="H1807" s="98"/>
      <c r="I1807" s="98"/>
      <c r="J1807" s="98"/>
      <c r="K1807" s="102"/>
      <c r="L1807" s="102"/>
      <c r="M1807" s="102"/>
      <c r="N1807" s="102"/>
      <c r="O1807" s="98"/>
      <c r="P1807" s="98"/>
      <c r="Q1807" s="98"/>
    </row>
    <row r="1808">
      <c r="A1808" s="96"/>
      <c r="B1808" s="97"/>
      <c r="C1808" s="97"/>
      <c r="D1808" s="97"/>
      <c r="E1808" s="97"/>
      <c r="F1808" s="97" t="b">
        <v>0</v>
      </c>
      <c r="G1808" s="97" t="b">
        <v>0</v>
      </c>
      <c r="H1808" s="98"/>
      <c r="I1808" s="98"/>
      <c r="J1808" s="98"/>
      <c r="K1808" s="102"/>
      <c r="L1808" s="102"/>
      <c r="M1808" s="102"/>
      <c r="N1808" s="102"/>
      <c r="O1808" s="98"/>
      <c r="P1808" s="98"/>
      <c r="Q1808" s="98"/>
    </row>
    <row r="1809">
      <c r="A1809" s="96"/>
      <c r="B1809" s="97"/>
      <c r="C1809" s="97"/>
      <c r="D1809" s="97"/>
      <c r="E1809" s="97"/>
      <c r="F1809" s="97" t="b">
        <v>0</v>
      </c>
      <c r="G1809" s="97" t="b">
        <v>0</v>
      </c>
      <c r="H1809" s="98"/>
      <c r="I1809" s="98"/>
      <c r="J1809" s="98"/>
      <c r="K1809" s="102"/>
      <c r="L1809" s="102"/>
      <c r="M1809" s="102"/>
      <c r="N1809" s="102"/>
      <c r="O1809" s="98"/>
      <c r="P1809" s="98"/>
      <c r="Q1809" s="98"/>
    </row>
    <row r="1810">
      <c r="A1810" s="96"/>
      <c r="B1810" s="97"/>
      <c r="C1810" s="97"/>
      <c r="D1810" s="97"/>
      <c r="E1810" s="97"/>
      <c r="F1810" s="97" t="b">
        <v>0</v>
      </c>
      <c r="G1810" s="97" t="b">
        <v>0</v>
      </c>
      <c r="H1810" s="98"/>
      <c r="I1810" s="98"/>
      <c r="J1810" s="98"/>
      <c r="K1810" s="102"/>
      <c r="L1810" s="102"/>
      <c r="M1810" s="102"/>
      <c r="N1810" s="102"/>
      <c r="O1810" s="98"/>
      <c r="P1810" s="98"/>
      <c r="Q1810" s="98"/>
    </row>
    <row r="1811">
      <c r="A1811" s="96"/>
      <c r="B1811" s="97"/>
      <c r="C1811" s="97"/>
      <c r="D1811" s="97"/>
      <c r="E1811" s="97"/>
      <c r="F1811" s="97" t="b">
        <v>0</v>
      </c>
      <c r="G1811" s="97" t="b">
        <v>0</v>
      </c>
      <c r="H1811" s="98"/>
      <c r="I1811" s="98"/>
      <c r="J1811" s="98"/>
      <c r="K1811" s="102"/>
      <c r="L1811" s="102"/>
      <c r="M1811" s="102"/>
      <c r="N1811" s="102"/>
      <c r="O1811" s="98"/>
      <c r="P1811" s="98"/>
      <c r="Q1811" s="98"/>
    </row>
    <row r="1812">
      <c r="A1812" s="96"/>
      <c r="B1812" s="97"/>
      <c r="C1812" s="97"/>
      <c r="D1812" s="97"/>
      <c r="E1812" s="97"/>
      <c r="F1812" s="97" t="b">
        <v>0</v>
      </c>
      <c r="G1812" s="97" t="b">
        <v>0</v>
      </c>
      <c r="H1812" s="98"/>
      <c r="I1812" s="98"/>
      <c r="J1812" s="98"/>
      <c r="K1812" s="102"/>
      <c r="L1812" s="102"/>
      <c r="M1812" s="102"/>
      <c r="N1812" s="102"/>
      <c r="O1812" s="98"/>
      <c r="P1812" s="98"/>
      <c r="Q1812" s="98"/>
    </row>
    <row r="1813">
      <c r="A1813" s="96"/>
      <c r="B1813" s="97"/>
      <c r="C1813" s="97"/>
      <c r="D1813" s="97"/>
      <c r="E1813" s="97"/>
      <c r="F1813" s="97" t="b">
        <v>0</v>
      </c>
      <c r="G1813" s="97" t="b">
        <v>0</v>
      </c>
      <c r="H1813" s="98"/>
      <c r="I1813" s="98"/>
      <c r="J1813" s="98"/>
      <c r="K1813" s="102"/>
      <c r="L1813" s="102"/>
      <c r="M1813" s="102"/>
      <c r="N1813" s="102"/>
      <c r="O1813" s="98"/>
      <c r="P1813" s="98"/>
      <c r="Q1813" s="98"/>
    </row>
    <row r="1814">
      <c r="A1814" s="96"/>
      <c r="B1814" s="97"/>
      <c r="C1814" s="97"/>
      <c r="D1814" s="97"/>
      <c r="E1814" s="97"/>
      <c r="F1814" s="97" t="b">
        <v>0</v>
      </c>
      <c r="G1814" s="97" t="b">
        <v>0</v>
      </c>
      <c r="H1814" s="98"/>
      <c r="I1814" s="98"/>
      <c r="J1814" s="98"/>
      <c r="K1814" s="102"/>
      <c r="L1814" s="102"/>
      <c r="M1814" s="102"/>
      <c r="N1814" s="102"/>
      <c r="O1814" s="98"/>
      <c r="P1814" s="98"/>
      <c r="Q1814" s="98"/>
    </row>
    <row r="1815">
      <c r="A1815" s="96"/>
      <c r="B1815" s="97"/>
      <c r="C1815" s="97"/>
      <c r="D1815" s="97"/>
      <c r="E1815" s="97"/>
      <c r="F1815" s="97" t="b">
        <v>0</v>
      </c>
      <c r="G1815" s="97" t="b">
        <v>0</v>
      </c>
      <c r="H1815" s="98"/>
      <c r="I1815" s="98"/>
      <c r="J1815" s="98"/>
      <c r="K1815" s="102"/>
      <c r="L1815" s="102"/>
      <c r="M1815" s="102"/>
      <c r="N1815" s="102"/>
      <c r="O1815" s="98"/>
      <c r="P1815" s="98"/>
      <c r="Q1815" s="98"/>
    </row>
    <row r="1816">
      <c r="A1816" s="96"/>
      <c r="B1816" s="97"/>
      <c r="C1816" s="97"/>
      <c r="D1816" s="97"/>
      <c r="E1816" s="97"/>
      <c r="F1816" s="97" t="b">
        <v>0</v>
      </c>
      <c r="G1816" s="97" t="b">
        <v>0</v>
      </c>
      <c r="H1816" s="98"/>
      <c r="I1816" s="98"/>
      <c r="J1816" s="98"/>
      <c r="K1816" s="102"/>
      <c r="L1816" s="102"/>
      <c r="M1816" s="102"/>
      <c r="N1816" s="102"/>
      <c r="O1816" s="98"/>
      <c r="P1816" s="98"/>
      <c r="Q1816" s="98"/>
    </row>
    <row r="1817">
      <c r="A1817" s="96"/>
      <c r="B1817" s="97"/>
      <c r="C1817" s="97"/>
      <c r="D1817" s="97"/>
      <c r="E1817" s="97"/>
      <c r="F1817" s="97" t="b">
        <v>0</v>
      </c>
      <c r="G1817" s="97" t="b">
        <v>0</v>
      </c>
      <c r="H1817" s="98"/>
      <c r="I1817" s="98"/>
      <c r="J1817" s="98"/>
      <c r="K1817" s="102"/>
      <c r="L1817" s="102"/>
      <c r="M1817" s="102"/>
      <c r="N1817" s="102"/>
      <c r="O1817" s="98"/>
      <c r="P1817" s="98"/>
      <c r="Q1817" s="98"/>
    </row>
    <row r="1818">
      <c r="A1818" s="96"/>
      <c r="B1818" s="97"/>
      <c r="C1818" s="97"/>
      <c r="D1818" s="97"/>
      <c r="E1818" s="97"/>
      <c r="F1818" s="97" t="b">
        <v>0</v>
      </c>
      <c r="G1818" s="97" t="b">
        <v>0</v>
      </c>
      <c r="H1818" s="98"/>
      <c r="I1818" s="98"/>
      <c r="J1818" s="98"/>
      <c r="K1818" s="102"/>
      <c r="L1818" s="102"/>
      <c r="M1818" s="102"/>
      <c r="N1818" s="102"/>
      <c r="O1818" s="98"/>
      <c r="P1818" s="98"/>
      <c r="Q1818" s="98"/>
    </row>
    <row r="1819">
      <c r="A1819" s="96"/>
      <c r="B1819" s="97"/>
      <c r="C1819" s="97"/>
      <c r="D1819" s="97"/>
      <c r="E1819" s="97"/>
      <c r="F1819" s="97" t="b">
        <v>0</v>
      </c>
      <c r="G1819" s="97" t="b">
        <v>0</v>
      </c>
      <c r="H1819" s="98"/>
      <c r="I1819" s="98"/>
      <c r="J1819" s="98"/>
      <c r="K1819" s="102"/>
      <c r="L1819" s="102"/>
      <c r="M1819" s="102"/>
      <c r="N1819" s="102"/>
      <c r="O1819" s="98"/>
      <c r="P1819" s="98"/>
      <c r="Q1819" s="98"/>
    </row>
    <row r="1820">
      <c r="A1820" s="96"/>
      <c r="B1820" s="97"/>
      <c r="C1820" s="97"/>
      <c r="D1820" s="97"/>
      <c r="E1820" s="97"/>
      <c r="F1820" s="97" t="b">
        <v>0</v>
      </c>
      <c r="G1820" s="97" t="b">
        <v>0</v>
      </c>
      <c r="H1820" s="98"/>
      <c r="I1820" s="98"/>
      <c r="J1820" s="98"/>
      <c r="K1820" s="102"/>
      <c r="L1820" s="102"/>
      <c r="M1820" s="102"/>
      <c r="N1820" s="102"/>
      <c r="O1820" s="98"/>
      <c r="P1820" s="98"/>
      <c r="Q1820" s="98"/>
    </row>
    <row r="1821">
      <c r="A1821" s="96"/>
      <c r="B1821" s="97"/>
      <c r="C1821" s="97"/>
      <c r="D1821" s="97"/>
      <c r="E1821" s="97"/>
      <c r="F1821" s="97" t="b">
        <v>0</v>
      </c>
      <c r="G1821" s="97" t="b">
        <v>0</v>
      </c>
      <c r="H1821" s="98"/>
      <c r="I1821" s="98"/>
      <c r="J1821" s="98"/>
      <c r="K1821" s="102"/>
      <c r="L1821" s="102"/>
      <c r="M1821" s="102"/>
      <c r="N1821" s="102"/>
      <c r="O1821" s="98"/>
      <c r="P1821" s="98"/>
      <c r="Q1821" s="98"/>
    </row>
    <row r="1822">
      <c r="A1822" s="96"/>
      <c r="B1822" s="97"/>
      <c r="C1822" s="97"/>
      <c r="D1822" s="97"/>
      <c r="E1822" s="97"/>
      <c r="F1822" s="97" t="b">
        <v>0</v>
      </c>
      <c r="G1822" s="97" t="b">
        <v>0</v>
      </c>
      <c r="H1822" s="98"/>
      <c r="I1822" s="98"/>
      <c r="J1822" s="98"/>
      <c r="K1822" s="102"/>
      <c r="L1822" s="102"/>
      <c r="M1822" s="102"/>
      <c r="N1822" s="102"/>
      <c r="O1822" s="98"/>
      <c r="P1822" s="98"/>
      <c r="Q1822" s="98"/>
    </row>
    <row r="1823">
      <c r="A1823" s="96"/>
      <c r="B1823" s="97"/>
      <c r="C1823" s="97"/>
      <c r="D1823" s="97"/>
      <c r="E1823" s="97"/>
      <c r="F1823" s="97" t="b">
        <v>0</v>
      </c>
      <c r="G1823" s="97" t="b">
        <v>0</v>
      </c>
      <c r="H1823" s="98"/>
      <c r="I1823" s="98"/>
      <c r="J1823" s="98"/>
      <c r="K1823" s="102"/>
      <c r="L1823" s="102"/>
      <c r="M1823" s="102"/>
      <c r="N1823" s="102"/>
      <c r="O1823" s="98"/>
      <c r="P1823" s="98"/>
      <c r="Q1823" s="98"/>
    </row>
    <row r="1824">
      <c r="A1824" s="96"/>
      <c r="B1824" s="97"/>
      <c r="C1824" s="97"/>
      <c r="D1824" s="97"/>
      <c r="E1824" s="97"/>
      <c r="F1824" s="97" t="b">
        <v>0</v>
      </c>
      <c r="G1824" s="97" t="b">
        <v>0</v>
      </c>
      <c r="H1824" s="98"/>
      <c r="I1824" s="98"/>
      <c r="J1824" s="98"/>
      <c r="K1824" s="102"/>
      <c r="L1824" s="102"/>
      <c r="M1824" s="102"/>
      <c r="N1824" s="102"/>
      <c r="O1824" s="98"/>
      <c r="P1824" s="98"/>
      <c r="Q1824" s="98"/>
    </row>
    <row r="1825">
      <c r="A1825" s="96"/>
      <c r="B1825" s="97"/>
      <c r="C1825" s="97"/>
      <c r="D1825" s="97"/>
      <c r="E1825" s="97"/>
      <c r="F1825" s="97" t="b">
        <v>0</v>
      </c>
      <c r="G1825" s="97" t="b">
        <v>0</v>
      </c>
      <c r="H1825" s="98"/>
      <c r="I1825" s="98"/>
      <c r="J1825" s="98"/>
      <c r="K1825" s="102"/>
      <c r="L1825" s="102"/>
      <c r="M1825" s="102"/>
      <c r="N1825" s="102"/>
      <c r="O1825" s="98"/>
      <c r="P1825" s="98"/>
      <c r="Q1825" s="98"/>
    </row>
    <row r="1826">
      <c r="A1826" s="96"/>
      <c r="B1826" s="97"/>
      <c r="C1826" s="97"/>
      <c r="D1826" s="97"/>
      <c r="E1826" s="97"/>
      <c r="F1826" s="97" t="b">
        <v>0</v>
      </c>
      <c r="G1826" s="97" t="b">
        <v>0</v>
      </c>
      <c r="H1826" s="98"/>
      <c r="I1826" s="98"/>
      <c r="J1826" s="98"/>
      <c r="K1826" s="102"/>
      <c r="L1826" s="102"/>
      <c r="M1826" s="102"/>
      <c r="N1826" s="102"/>
      <c r="O1826" s="98"/>
      <c r="P1826" s="98"/>
      <c r="Q1826" s="98"/>
    </row>
    <row r="1827">
      <c r="A1827" s="96"/>
      <c r="B1827" s="97"/>
      <c r="C1827" s="97"/>
      <c r="D1827" s="97"/>
      <c r="E1827" s="97"/>
      <c r="F1827" s="97" t="b">
        <v>0</v>
      </c>
      <c r="G1827" s="97" t="b">
        <v>0</v>
      </c>
      <c r="H1827" s="98"/>
      <c r="I1827" s="98"/>
      <c r="J1827" s="98"/>
      <c r="K1827" s="102"/>
      <c r="L1827" s="102"/>
      <c r="M1827" s="102"/>
      <c r="N1827" s="102"/>
      <c r="O1827" s="98"/>
      <c r="P1827" s="98"/>
      <c r="Q1827" s="98"/>
    </row>
    <row r="1828">
      <c r="A1828" s="96"/>
      <c r="B1828" s="97"/>
      <c r="C1828" s="97"/>
      <c r="D1828" s="97"/>
      <c r="E1828" s="97"/>
      <c r="F1828" s="97" t="b">
        <v>0</v>
      </c>
      <c r="G1828" s="97" t="b">
        <v>0</v>
      </c>
      <c r="H1828" s="98"/>
      <c r="I1828" s="98"/>
      <c r="J1828" s="98"/>
      <c r="K1828" s="102"/>
      <c r="L1828" s="102"/>
      <c r="M1828" s="102"/>
      <c r="N1828" s="102"/>
      <c r="O1828" s="98"/>
      <c r="P1828" s="98"/>
      <c r="Q1828" s="98"/>
    </row>
    <row r="1829">
      <c r="A1829" s="96"/>
      <c r="B1829" s="97"/>
      <c r="C1829" s="97"/>
      <c r="D1829" s="97"/>
      <c r="E1829" s="97"/>
      <c r="F1829" s="97" t="b">
        <v>0</v>
      </c>
      <c r="G1829" s="97" t="b">
        <v>0</v>
      </c>
      <c r="H1829" s="98"/>
      <c r="I1829" s="98"/>
      <c r="J1829" s="98"/>
      <c r="K1829" s="102"/>
      <c r="L1829" s="102"/>
      <c r="M1829" s="102"/>
      <c r="N1829" s="102"/>
      <c r="O1829" s="98"/>
      <c r="P1829" s="98"/>
      <c r="Q1829" s="98"/>
    </row>
    <row r="1830">
      <c r="A1830" s="96"/>
      <c r="B1830" s="97"/>
      <c r="C1830" s="97"/>
      <c r="D1830" s="97"/>
      <c r="E1830" s="97"/>
      <c r="F1830" s="97" t="b">
        <v>0</v>
      </c>
      <c r="G1830" s="97" t="b">
        <v>0</v>
      </c>
      <c r="H1830" s="98"/>
      <c r="I1830" s="98"/>
      <c r="J1830" s="98"/>
      <c r="K1830" s="102"/>
      <c r="L1830" s="102"/>
      <c r="M1830" s="102"/>
      <c r="N1830" s="102"/>
      <c r="O1830" s="98"/>
      <c r="P1830" s="98"/>
      <c r="Q1830" s="98"/>
    </row>
    <row r="1831">
      <c r="A1831" s="96"/>
      <c r="B1831" s="97"/>
      <c r="C1831" s="97"/>
      <c r="D1831" s="97"/>
      <c r="E1831" s="97"/>
      <c r="F1831" s="97" t="b">
        <v>0</v>
      </c>
      <c r="G1831" s="97" t="b">
        <v>0</v>
      </c>
      <c r="H1831" s="98"/>
      <c r="I1831" s="98"/>
      <c r="J1831" s="98"/>
      <c r="K1831" s="102"/>
      <c r="L1831" s="102"/>
      <c r="M1831" s="102"/>
      <c r="N1831" s="102"/>
      <c r="O1831" s="98"/>
      <c r="P1831" s="98"/>
      <c r="Q1831" s="98"/>
    </row>
    <row r="1832">
      <c r="A1832" s="96"/>
      <c r="B1832" s="97"/>
      <c r="C1832" s="97"/>
      <c r="D1832" s="97"/>
      <c r="E1832" s="97"/>
      <c r="F1832" s="97" t="b">
        <v>0</v>
      </c>
      <c r="G1832" s="97" t="b">
        <v>0</v>
      </c>
      <c r="H1832" s="98"/>
      <c r="I1832" s="98"/>
      <c r="J1832" s="98"/>
      <c r="K1832" s="102"/>
      <c r="L1832" s="102"/>
      <c r="M1832" s="102"/>
      <c r="N1832" s="102"/>
      <c r="O1832" s="98"/>
      <c r="P1832" s="98"/>
      <c r="Q1832" s="98"/>
    </row>
    <row r="1833">
      <c r="A1833" s="96"/>
      <c r="B1833" s="97"/>
      <c r="C1833" s="97"/>
      <c r="D1833" s="97"/>
      <c r="E1833" s="97"/>
      <c r="F1833" s="97" t="b">
        <v>0</v>
      </c>
      <c r="G1833" s="97" t="b">
        <v>0</v>
      </c>
      <c r="H1833" s="98"/>
      <c r="I1833" s="98"/>
      <c r="J1833" s="98"/>
      <c r="K1833" s="102"/>
      <c r="L1833" s="102"/>
      <c r="M1833" s="102"/>
      <c r="N1833" s="102"/>
      <c r="O1833" s="98"/>
      <c r="P1833" s="98"/>
      <c r="Q1833" s="98"/>
    </row>
    <row r="1834">
      <c r="A1834" s="96"/>
      <c r="B1834" s="97"/>
      <c r="C1834" s="97"/>
      <c r="D1834" s="97"/>
      <c r="E1834" s="97"/>
      <c r="F1834" s="97" t="b">
        <v>0</v>
      </c>
      <c r="G1834" s="97" t="b">
        <v>0</v>
      </c>
      <c r="H1834" s="98"/>
      <c r="I1834" s="98"/>
      <c r="J1834" s="98"/>
      <c r="K1834" s="102"/>
      <c r="L1834" s="102"/>
      <c r="M1834" s="102"/>
      <c r="N1834" s="102"/>
      <c r="O1834" s="98"/>
      <c r="P1834" s="98"/>
      <c r="Q1834" s="98"/>
    </row>
    <row r="1835">
      <c r="A1835" s="96"/>
      <c r="B1835" s="97"/>
      <c r="C1835" s="97"/>
      <c r="D1835" s="97"/>
      <c r="E1835" s="97"/>
      <c r="F1835" s="97" t="b">
        <v>0</v>
      </c>
      <c r="G1835" s="97" t="b">
        <v>0</v>
      </c>
      <c r="H1835" s="98"/>
      <c r="I1835" s="98"/>
      <c r="J1835" s="98"/>
      <c r="K1835" s="102"/>
      <c r="L1835" s="102"/>
      <c r="M1835" s="102"/>
      <c r="N1835" s="102"/>
      <c r="O1835" s="98"/>
      <c r="P1835" s="98"/>
      <c r="Q1835" s="98"/>
    </row>
    <row r="1836">
      <c r="A1836" s="96"/>
      <c r="B1836" s="97"/>
      <c r="C1836" s="97"/>
      <c r="D1836" s="97"/>
      <c r="E1836" s="97"/>
      <c r="F1836" s="97" t="b">
        <v>0</v>
      </c>
      <c r="G1836" s="97" t="b">
        <v>0</v>
      </c>
      <c r="H1836" s="98"/>
      <c r="I1836" s="98"/>
      <c r="J1836" s="98"/>
      <c r="K1836" s="102"/>
      <c r="L1836" s="102"/>
      <c r="M1836" s="102"/>
      <c r="N1836" s="102"/>
      <c r="O1836" s="98"/>
      <c r="P1836" s="98"/>
      <c r="Q1836" s="98"/>
    </row>
    <row r="1837">
      <c r="A1837" s="96"/>
      <c r="B1837" s="97"/>
      <c r="C1837" s="97"/>
      <c r="D1837" s="97"/>
      <c r="E1837" s="97"/>
      <c r="F1837" s="97" t="b">
        <v>0</v>
      </c>
      <c r="G1837" s="97" t="b">
        <v>0</v>
      </c>
      <c r="H1837" s="98"/>
      <c r="I1837" s="98"/>
      <c r="J1837" s="98"/>
      <c r="K1837" s="102"/>
      <c r="L1837" s="102"/>
      <c r="M1837" s="102"/>
      <c r="N1837" s="102"/>
      <c r="O1837" s="98"/>
      <c r="P1837" s="98"/>
      <c r="Q1837" s="98"/>
    </row>
    <row r="1838">
      <c r="A1838" s="96"/>
      <c r="B1838" s="97"/>
      <c r="C1838" s="97"/>
      <c r="D1838" s="97"/>
      <c r="E1838" s="97"/>
      <c r="F1838" s="97" t="b">
        <v>0</v>
      </c>
      <c r="G1838" s="97" t="b">
        <v>0</v>
      </c>
      <c r="H1838" s="98"/>
      <c r="I1838" s="98"/>
      <c r="J1838" s="98"/>
      <c r="K1838" s="102"/>
      <c r="L1838" s="102"/>
      <c r="M1838" s="102"/>
      <c r="N1838" s="102"/>
      <c r="O1838" s="98"/>
      <c r="P1838" s="98"/>
      <c r="Q1838" s="98"/>
    </row>
    <row r="1839">
      <c r="A1839" s="96"/>
      <c r="B1839" s="97"/>
      <c r="C1839" s="97"/>
      <c r="D1839" s="97"/>
      <c r="E1839" s="97"/>
      <c r="F1839" s="97" t="b">
        <v>0</v>
      </c>
      <c r="G1839" s="97" t="b">
        <v>0</v>
      </c>
      <c r="H1839" s="98"/>
      <c r="I1839" s="98"/>
      <c r="J1839" s="98"/>
      <c r="K1839" s="102"/>
      <c r="L1839" s="102"/>
      <c r="M1839" s="102"/>
      <c r="N1839" s="102"/>
      <c r="O1839" s="98"/>
      <c r="P1839" s="98"/>
      <c r="Q1839" s="98"/>
    </row>
    <row r="1840">
      <c r="A1840" s="96"/>
      <c r="B1840" s="97"/>
      <c r="C1840" s="97"/>
      <c r="D1840" s="97"/>
      <c r="E1840" s="97"/>
      <c r="F1840" s="97" t="b">
        <v>0</v>
      </c>
      <c r="G1840" s="97" t="b">
        <v>0</v>
      </c>
      <c r="H1840" s="98"/>
      <c r="I1840" s="98"/>
      <c r="J1840" s="98"/>
      <c r="K1840" s="102"/>
      <c r="L1840" s="102"/>
      <c r="M1840" s="102"/>
      <c r="N1840" s="102"/>
      <c r="O1840" s="98"/>
      <c r="P1840" s="98"/>
      <c r="Q1840" s="98"/>
    </row>
    <row r="1841">
      <c r="A1841" s="96"/>
      <c r="B1841" s="97"/>
      <c r="C1841" s="97"/>
      <c r="D1841" s="97"/>
      <c r="E1841" s="97"/>
      <c r="F1841" s="97" t="b">
        <v>0</v>
      </c>
      <c r="G1841" s="97" t="b">
        <v>0</v>
      </c>
      <c r="H1841" s="98"/>
      <c r="I1841" s="98"/>
      <c r="J1841" s="98"/>
      <c r="K1841" s="102"/>
      <c r="L1841" s="102"/>
      <c r="M1841" s="102"/>
      <c r="N1841" s="102"/>
      <c r="O1841" s="98"/>
      <c r="P1841" s="98"/>
      <c r="Q1841" s="98"/>
    </row>
    <row r="1842">
      <c r="A1842" s="96"/>
      <c r="B1842" s="97"/>
      <c r="C1842" s="97"/>
      <c r="D1842" s="97"/>
      <c r="E1842" s="97"/>
      <c r="F1842" s="97" t="b">
        <v>0</v>
      </c>
      <c r="G1842" s="97" t="b">
        <v>0</v>
      </c>
      <c r="H1842" s="98"/>
      <c r="I1842" s="98"/>
      <c r="J1842" s="98"/>
      <c r="K1842" s="102"/>
      <c r="L1842" s="102"/>
      <c r="M1842" s="102"/>
      <c r="N1842" s="102"/>
      <c r="O1842" s="98"/>
      <c r="P1842" s="98"/>
      <c r="Q1842" s="98"/>
    </row>
    <row r="1843">
      <c r="A1843" s="96"/>
      <c r="B1843" s="97"/>
      <c r="C1843" s="97"/>
      <c r="D1843" s="97"/>
      <c r="E1843" s="97"/>
      <c r="F1843" s="97" t="b">
        <v>0</v>
      </c>
      <c r="G1843" s="97" t="b">
        <v>0</v>
      </c>
      <c r="H1843" s="98"/>
      <c r="I1843" s="98"/>
      <c r="J1843" s="98"/>
      <c r="K1843" s="102"/>
      <c r="L1843" s="102"/>
      <c r="M1843" s="102"/>
      <c r="N1843" s="102"/>
      <c r="O1843" s="98"/>
      <c r="P1843" s="98"/>
      <c r="Q1843" s="98"/>
    </row>
    <row r="1844">
      <c r="A1844" s="96"/>
      <c r="B1844" s="97"/>
      <c r="C1844" s="97"/>
      <c r="D1844" s="97"/>
      <c r="E1844" s="97"/>
      <c r="F1844" s="97" t="b">
        <v>0</v>
      </c>
      <c r="G1844" s="97" t="b">
        <v>0</v>
      </c>
      <c r="H1844" s="98"/>
      <c r="I1844" s="98"/>
      <c r="J1844" s="98"/>
      <c r="K1844" s="102"/>
      <c r="L1844" s="102"/>
      <c r="M1844" s="102"/>
      <c r="N1844" s="102"/>
      <c r="O1844" s="98"/>
      <c r="P1844" s="98"/>
      <c r="Q1844" s="98"/>
    </row>
    <row r="1845">
      <c r="A1845" s="96"/>
      <c r="B1845" s="97"/>
      <c r="C1845" s="97"/>
      <c r="D1845" s="97"/>
      <c r="E1845" s="97"/>
      <c r="F1845" s="97" t="b">
        <v>0</v>
      </c>
      <c r="G1845" s="97" t="b">
        <v>0</v>
      </c>
      <c r="H1845" s="98"/>
      <c r="I1845" s="98"/>
      <c r="J1845" s="98"/>
      <c r="K1845" s="102"/>
      <c r="L1845" s="102"/>
      <c r="M1845" s="102"/>
      <c r="N1845" s="102"/>
      <c r="O1845" s="98"/>
      <c r="P1845" s="98"/>
      <c r="Q1845" s="98"/>
    </row>
    <row r="1846">
      <c r="A1846" s="96"/>
      <c r="B1846" s="97"/>
      <c r="C1846" s="97"/>
      <c r="D1846" s="97"/>
      <c r="E1846" s="97"/>
      <c r="F1846" s="97" t="b">
        <v>0</v>
      </c>
      <c r="G1846" s="97" t="b">
        <v>0</v>
      </c>
      <c r="H1846" s="98"/>
      <c r="I1846" s="98"/>
      <c r="J1846" s="98"/>
      <c r="K1846" s="102"/>
      <c r="L1846" s="102"/>
      <c r="M1846" s="102"/>
      <c r="N1846" s="102"/>
      <c r="O1846" s="98"/>
      <c r="P1846" s="98"/>
      <c r="Q1846" s="98"/>
    </row>
    <row r="1847">
      <c r="A1847" s="96"/>
      <c r="B1847" s="97"/>
      <c r="C1847" s="97"/>
      <c r="D1847" s="97"/>
      <c r="E1847" s="97"/>
      <c r="F1847" s="97" t="b">
        <v>0</v>
      </c>
      <c r="G1847" s="97" t="b">
        <v>0</v>
      </c>
      <c r="H1847" s="98"/>
      <c r="I1847" s="98"/>
      <c r="J1847" s="98"/>
      <c r="K1847" s="102"/>
      <c r="L1847" s="102"/>
      <c r="M1847" s="102"/>
      <c r="N1847" s="102"/>
      <c r="O1847" s="98"/>
      <c r="P1847" s="98"/>
      <c r="Q1847" s="98"/>
    </row>
    <row r="1848">
      <c r="A1848" s="96"/>
      <c r="B1848" s="97"/>
      <c r="C1848" s="97"/>
      <c r="D1848" s="97"/>
      <c r="E1848" s="97"/>
      <c r="F1848" s="97" t="b">
        <v>0</v>
      </c>
      <c r="G1848" s="97" t="b">
        <v>0</v>
      </c>
      <c r="H1848" s="98"/>
      <c r="I1848" s="98"/>
      <c r="J1848" s="98"/>
      <c r="K1848" s="102"/>
      <c r="L1848" s="102"/>
      <c r="M1848" s="102"/>
      <c r="N1848" s="102"/>
      <c r="O1848" s="98"/>
      <c r="P1848" s="98"/>
      <c r="Q1848" s="98"/>
    </row>
    <row r="1849">
      <c r="A1849" s="96"/>
      <c r="B1849" s="97"/>
      <c r="C1849" s="97"/>
      <c r="D1849" s="97"/>
      <c r="E1849" s="97"/>
      <c r="F1849" s="97" t="b">
        <v>0</v>
      </c>
      <c r="G1849" s="97" t="b">
        <v>0</v>
      </c>
      <c r="H1849" s="98"/>
      <c r="I1849" s="98"/>
      <c r="J1849" s="98"/>
      <c r="K1849" s="102"/>
      <c r="L1849" s="102"/>
      <c r="M1849" s="102"/>
      <c r="N1849" s="102"/>
      <c r="O1849" s="98"/>
      <c r="P1849" s="98"/>
      <c r="Q1849" s="98"/>
    </row>
    <row r="1850">
      <c r="A1850" s="96"/>
      <c r="B1850" s="97"/>
      <c r="C1850" s="97"/>
      <c r="D1850" s="97"/>
      <c r="E1850" s="97"/>
      <c r="F1850" s="97" t="b">
        <v>0</v>
      </c>
      <c r="G1850" s="97" t="b">
        <v>0</v>
      </c>
      <c r="H1850" s="98"/>
      <c r="I1850" s="98"/>
      <c r="J1850" s="98"/>
      <c r="K1850" s="102"/>
      <c r="L1850" s="102"/>
      <c r="M1850" s="102"/>
      <c r="N1850" s="102"/>
      <c r="O1850" s="98"/>
      <c r="P1850" s="98"/>
      <c r="Q1850" s="98"/>
    </row>
    <row r="1851">
      <c r="A1851" s="96"/>
      <c r="B1851" s="97"/>
      <c r="C1851" s="97"/>
      <c r="D1851" s="97"/>
      <c r="E1851" s="97"/>
      <c r="F1851" s="97" t="b">
        <v>0</v>
      </c>
      <c r="G1851" s="97" t="b">
        <v>0</v>
      </c>
      <c r="H1851" s="98"/>
      <c r="I1851" s="98"/>
      <c r="J1851" s="98"/>
      <c r="K1851" s="102"/>
      <c r="L1851" s="102"/>
      <c r="M1851" s="102"/>
      <c r="N1851" s="102"/>
      <c r="O1851" s="98"/>
      <c r="P1851" s="98"/>
      <c r="Q1851" s="98"/>
    </row>
    <row r="1852">
      <c r="A1852" s="96"/>
      <c r="B1852" s="97"/>
      <c r="C1852" s="97"/>
      <c r="D1852" s="97"/>
      <c r="E1852" s="97"/>
      <c r="F1852" s="97" t="b">
        <v>0</v>
      </c>
      <c r="G1852" s="97" t="b">
        <v>0</v>
      </c>
      <c r="H1852" s="98"/>
      <c r="I1852" s="98"/>
      <c r="J1852" s="98"/>
      <c r="K1852" s="102"/>
      <c r="L1852" s="102"/>
      <c r="M1852" s="102"/>
      <c r="N1852" s="102"/>
      <c r="O1852" s="98"/>
      <c r="P1852" s="98"/>
      <c r="Q1852" s="98"/>
    </row>
    <row r="1853">
      <c r="A1853" s="96"/>
      <c r="B1853" s="97"/>
      <c r="C1853" s="97"/>
      <c r="D1853" s="97"/>
      <c r="E1853" s="97"/>
      <c r="F1853" s="97" t="b">
        <v>0</v>
      </c>
      <c r="G1853" s="97" t="b">
        <v>0</v>
      </c>
      <c r="H1853" s="98"/>
      <c r="I1853" s="98"/>
      <c r="J1853" s="98"/>
      <c r="K1853" s="102"/>
      <c r="L1853" s="102"/>
      <c r="M1853" s="102"/>
      <c r="N1853" s="102"/>
      <c r="O1853" s="98"/>
      <c r="P1853" s="98"/>
      <c r="Q1853" s="98"/>
    </row>
    <row r="1854">
      <c r="A1854" s="96"/>
      <c r="B1854" s="97"/>
      <c r="C1854" s="97"/>
      <c r="D1854" s="97"/>
      <c r="E1854" s="97"/>
      <c r="F1854" s="97" t="b">
        <v>0</v>
      </c>
      <c r="G1854" s="97" t="b">
        <v>0</v>
      </c>
      <c r="H1854" s="98"/>
      <c r="I1854" s="98"/>
      <c r="J1854" s="98"/>
      <c r="K1854" s="102"/>
      <c r="L1854" s="102"/>
      <c r="M1854" s="102"/>
      <c r="N1854" s="102"/>
      <c r="O1854" s="98"/>
      <c r="P1854" s="98"/>
      <c r="Q1854" s="98"/>
    </row>
    <row r="1855">
      <c r="A1855" s="96"/>
      <c r="B1855" s="97"/>
      <c r="C1855" s="97"/>
      <c r="D1855" s="97"/>
      <c r="E1855" s="97"/>
      <c r="F1855" s="97" t="b">
        <v>0</v>
      </c>
      <c r="G1855" s="97" t="b">
        <v>0</v>
      </c>
      <c r="H1855" s="98"/>
      <c r="I1855" s="98"/>
      <c r="J1855" s="98"/>
      <c r="K1855" s="102"/>
      <c r="L1855" s="102"/>
      <c r="M1855" s="102"/>
      <c r="N1855" s="102"/>
      <c r="O1855" s="98"/>
      <c r="P1855" s="98"/>
      <c r="Q1855" s="98"/>
    </row>
    <row r="1856">
      <c r="A1856" s="96"/>
      <c r="B1856" s="97"/>
      <c r="C1856" s="97"/>
      <c r="D1856" s="97"/>
      <c r="E1856" s="97"/>
      <c r="F1856" s="97" t="b">
        <v>0</v>
      </c>
      <c r="G1856" s="97" t="b">
        <v>0</v>
      </c>
      <c r="H1856" s="98"/>
      <c r="I1856" s="98"/>
      <c r="J1856" s="98"/>
      <c r="K1856" s="102"/>
      <c r="L1856" s="102"/>
      <c r="M1856" s="102"/>
      <c r="N1856" s="102"/>
      <c r="O1856" s="98"/>
      <c r="P1856" s="98"/>
      <c r="Q1856" s="98"/>
    </row>
    <row r="1857">
      <c r="A1857" s="96"/>
      <c r="B1857" s="97"/>
      <c r="C1857" s="97"/>
      <c r="D1857" s="97"/>
      <c r="E1857" s="97"/>
      <c r="F1857" s="97" t="b">
        <v>0</v>
      </c>
      <c r="G1857" s="97" t="b">
        <v>0</v>
      </c>
      <c r="H1857" s="98"/>
      <c r="I1857" s="98"/>
      <c r="J1857" s="98"/>
      <c r="K1857" s="102"/>
      <c r="L1857" s="102"/>
      <c r="M1857" s="102"/>
      <c r="N1857" s="102"/>
      <c r="O1857" s="98"/>
      <c r="P1857" s="98"/>
      <c r="Q1857" s="98"/>
    </row>
    <row r="1858">
      <c r="A1858" s="96"/>
      <c r="B1858" s="97"/>
      <c r="C1858" s="97"/>
      <c r="D1858" s="97"/>
      <c r="E1858" s="97"/>
      <c r="F1858" s="97" t="b">
        <v>0</v>
      </c>
      <c r="G1858" s="97" t="b">
        <v>0</v>
      </c>
      <c r="H1858" s="98"/>
      <c r="I1858" s="98"/>
      <c r="J1858" s="98"/>
      <c r="K1858" s="102"/>
      <c r="L1858" s="102"/>
      <c r="M1858" s="102"/>
      <c r="N1858" s="102"/>
      <c r="O1858" s="98"/>
      <c r="P1858" s="98"/>
      <c r="Q1858" s="98"/>
    </row>
    <row r="1859">
      <c r="A1859" s="96"/>
      <c r="B1859" s="97"/>
      <c r="C1859" s="97"/>
      <c r="D1859" s="97"/>
      <c r="E1859" s="97"/>
      <c r="F1859" s="97" t="b">
        <v>0</v>
      </c>
      <c r="G1859" s="97" t="b">
        <v>0</v>
      </c>
      <c r="H1859" s="98"/>
      <c r="I1859" s="98"/>
      <c r="J1859" s="98"/>
      <c r="K1859" s="102"/>
      <c r="L1859" s="102"/>
      <c r="M1859" s="102"/>
      <c r="N1859" s="102"/>
      <c r="O1859" s="98"/>
      <c r="P1859" s="98"/>
      <c r="Q1859" s="98"/>
    </row>
    <row r="1860">
      <c r="A1860" s="96"/>
      <c r="B1860" s="97"/>
      <c r="C1860" s="97"/>
      <c r="D1860" s="97"/>
      <c r="E1860" s="97"/>
      <c r="F1860" s="97" t="b">
        <v>0</v>
      </c>
      <c r="G1860" s="97" t="b">
        <v>0</v>
      </c>
      <c r="H1860" s="98"/>
      <c r="I1860" s="98"/>
      <c r="J1860" s="98"/>
      <c r="K1860" s="102"/>
      <c r="L1860" s="102"/>
      <c r="M1860" s="102"/>
      <c r="N1860" s="102"/>
      <c r="O1860" s="98"/>
      <c r="P1860" s="98"/>
      <c r="Q1860" s="98"/>
    </row>
    <row r="1861">
      <c r="A1861" s="96"/>
      <c r="B1861" s="97"/>
      <c r="C1861" s="97"/>
      <c r="D1861" s="97"/>
      <c r="E1861" s="97"/>
      <c r="F1861" s="97" t="b">
        <v>0</v>
      </c>
      <c r="G1861" s="97" t="b">
        <v>0</v>
      </c>
      <c r="H1861" s="98"/>
      <c r="I1861" s="98"/>
      <c r="J1861" s="98"/>
      <c r="K1861" s="102"/>
      <c r="L1861" s="102"/>
      <c r="M1861" s="102"/>
      <c r="N1861" s="102"/>
      <c r="O1861" s="98"/>
      <c r="P1861" s="98"/>
      <c r="Q1861" s="98"/>
    </row>
    <row r="1862">
      <c r="A1862" s="96"/>
      <c r="B1862" s="97"/>
      <c r="C1862" s="97"/>
      <c r="D1862" s="97"/>
      <c r="E1862" s="97"/>
      <c r="F1862" s="97" t="b">
        <v>0</v>
      </c>
      <c r="G1862" s="97" t="b">
        <v>0</v>
      </c>
      <c r="H1862" s="98"/>
      <c r="I1862" s="98"/>
      <c r="J1862" s="98"/>
      <c r="K1862" s="102"/>
      <c r="L1862" s="102"/>
      <c r="M1862" s="102"/>
      <c r="N1862" s="102"/>
      <c r="O1862" s="98"/>
      <c r="P1862" s="98"/>
      <c r="Q1862" s="98"/>
    </row>
    <row r="1863">
      <c r="A1863" s="96"/>
      <c r="B1863" s="97"/>
      <c r="C1863" s="97"/>
      <c r="D1863" s="97"/>
      <c r="E1863" s="97"/>
      <c r="F1863" s="97" t="b">
        <v>0</v>
      </c>
      <c r="G1863" s="97" t="b">
        <v>0</v>
      </c>
      <c r="H1863" s="98"/>
      <c r="I1863" s="98"/>
      <c r="J1863" s="98"/>
      <c r="K1863" s="102"/>
      <c r="L1863" s="102"/>
      <c r="M1863" s="102"/>
      <c r="N1863" s="102"/>
      <c r="O1863" s="98"/>
      <c r="P1863" s="98"/>
      <c r="Q1863" s="98"/>
    </row>
    <row r="1864">
      <c r="A1864" s="96"/>
      <c r="B1864" s="97"/>
      <c r="C1864" s="97"/>
      <c r="D1864" s="97"/>
      <c r="E1864" s="97"/>
      <c r="F1864" s="97" t="b">
        <v>0</v>
      </c>
      <c r="G1864" s="97" t="b">
        <v>0</v>
      </c>
      <c r="H1864" s="98"/>
      <c r="I1864" s="98"/>
      <c r="J1864" s="98"/>
      <c r="K1864" s="102"/>
      <c r="L1864" s="102"/>
      <c r="M1864" s="102"/>
      <c r="N1864" s="102"/>
      <c r="O1864" s="98"/>
      <c r="P1864" s="98"/>
      <c r="Q1864" s="98"/>
    </row>
    <row r="1865">
      <c r="A1865" s="96"/>
      <c r="B1865" s="97"/>
      <c r="C1865" s="97"/>
      <c r="D1865" s="97"/>
      <c r="E1865" s="97"/>
      <c r="F1865" s="97" t="b">
        <v>0</v>
      </c>
      <c r="G1865" s="97" t="b">
        <v>0</v>
      </c>
      <c r="H1865" s="98"/>
      <c r="I1865" s="98"/>
      <c r="J1865" s="98"/>
      <c r="K1865" s="102"/>
      <c r="L1865" s="102"/>
      <c r="M1865" s="102"/>
      <c r="N1865" s="102"/>
      <c r="O1865" s="98"/>
      <c r="P1865" s="98"/>
      <c r="Q1865" s="98"/>
    </row>
    <row r="1866">
      <c r="A1866" s="96"/>
      <c r="B1866" s="97"/>
      <c r="C1866" s="97"/>
      <c r="D1866" s="97"/>
      <c r="E1866" s="97"/>
      <c r="F1866" s="97" t="b">
        <v>0</v>
      </c>
      <c r="G1866" s="97" t="b">
        <v>0</v>
      </c>
      <c r="H1866" s="98"/>
      <c r="I1866" s="98"/>
      <c r="J1866" s="98"/>
      <c r="K1866" s="102"/>
      <c r="L1866" s="102"/>
      <c r="M1866" s="102"/>
      <c r="N1866" s="102"/>
      <c r="O1866" s="98"/>
      <c r="P1866" s="98"/>
      <c r="Q1866" s="98"/>
    </row>
    <row r="1867">
      <c r="A1867" s="96"/>
      <c r="B1867" s="97"/>
      <c r="C1867" s="97"/>
      <c r="D1867" s="97"/>
      <c r="E1867" s="97"/>
      <c r="F1867" s="97" t="b">
        <v>0</v>
      </c>
      <c r="G1867" s="97" t="b">
        <v>0</v>
      </c>
      <c r="H1867" s="98"/>
      <c r="I1867" s="98"/>
      <c r="J1867" s="98"/>
      <c r="K1867" s="102"/>
      <c r="L1867" s="102"/>
      <c r="M1867" s="102"/>
      <c r="N1867" s="102"/>
      <c r="O1867" s="98"/>
      <c r="P1867" s="98"/>
      <c r="Q1867" s="98"/>
    </row>
    <row r="1868">
      <c r="A1868" s="96"/>
      <c r="B1868" s="97"/>
      <c r="C1868" s="97"/>
      <c r="D1868" s="97"/>
      <c r="E1868" s="97"/>
      <c r="F1868" s="97" t="b">
        <v>0</v>
      </c>
      <c r="G1868" s="97" t="b">
        <v>0</v>
      </c>
      <c r="H1868" s="98"/>
      <c r="I1868" s="98"/>
      <c r="J1868" s="98"/>
      <c r="K1868" s="102"/>
      <c r="L1868" s="102"/>
      <c r="M1868" s="102"/>
      <c r="N1868" s="102"/>
      <c r="O1868" s="98"/>
      <c r="P1868" s="98"/>
      <c r="Q1868" s="98"/>
    </row>
    <row r="1869">
      <c r="A1869" s="96"/>
      <c r="B1869" s="97"/>
      <c r="C1869" s="97"/>
      <c r="D1869" s="97"/>
      <c r="E1869" s="97"/>
      <c r="F1869" s="97" t="b">
        <v>0</v>
      </c>
      <c r="G1869" s="97" t="b">
        <v>0</v>
      </c>
      <c r="H1869" s="98"/>
      <c r="I1869" s="98"/>
      <c r="J1869" s="98"/>
      <c r="K1869" s="102"/>
      <c r="L1869" s="102"/>
      <c r="M1869" s="102"/>
      <c r="N1869" s="102"/>
      <c r="O1869" s="98"/>
      <c r="P1869" s="98"/>
      <c r="Q1869" s="98"/>
    </row>
    <row r="1870">
      <c r="A1870" s="96"/>
      <c r="B1870" s="97"/>
      <c r="C1870" s="97"/>
      <c r="D1870" s="97"/>
      <c r="E1870" s="97"/>
      <c r="F1870" s="97" t="b">
        <v>0</v>
      </c>
      <c r="G1870" s="97" t="b">
        <v>0</v>
      </c>
      <c r="H1870" s="98"/>
      <c r="I1870" s="98"/>
      <c r="J1870" s="98"/>
      <c r="K1870" s="102"/>
      <c r="L1870" s="102"/>
      <c r="M1870" s="102"/>
      <c r="N1870" s="102"/>
      <c r="O1870" s="98"/>
      <c r="P1870" s="98"/>
      <c r="Q1870" s="98"/>
    </row>
    <row r="1871">
      <c r="A1871" s="96"/>
      <c r="B1871" s="97"/>
      <c r="C1871" s="97"/>
      <c r="D1871" s="97"/>
      <c r="E1871" s="97"/>
      <c r="F1871" s="97" t="b">
        <v>0</v>
      </c>
      <c r="G1871" s="97" t="b">
        <v>0</v>
      </c>
      <c r="H1871" s="98"/>
      <c r="I1871" s="98"/>
      <c r="J1871" s="98"/>
      <c r="K1871" s="102"/>
      <c r="L1871" s="102"/>
      <c r="M1871" s="102"/>
      <c r="N1871" s="102"/>
      <c r="O1871" s="98"/>
      <c r="P1871" s="98"/>
      <c r="Q1871" s="98"/>
    </row>
    <row r="1872">
      <c r="A1872" s="96"/>
      <c r="B1872" s="97"/>
      <c r="C1872" s="97"/>
      <c r="D1872" s="97"/>
      <c r="E1872" s="97"/>
      <c r="F1872" s="97" t="b">
        <v>0</v>
      </c>
      <c r="G1872" s="97" t="b">
        <v>0</v>
      </c>
      <c r="H1872" s="98"/>
      <c r="I1872" s="98"/>
      <c r="J1872" s="98"/>
      <c r="K1872" s="102"/>
      <c r="L1872" s="102"/>
      <c r="M1872" s="102"/>
      <c r="N1872" s="102"/>
      <c r="O1872" s="98"/>
      <c r="P1872" s="98"/>
      <c r="Q1872" s="98"/>
    </row>
    <row r="1873">
      <c r="A1873" s="96"/>
      <c r="B1873" s="97"/>
      <c r="C1873" s="97"/>
      <c r="D1873" s="97"/>
      <c r="E1873" s="97"/>
      <c r="F1873" s="97" t="b">
        <v>0</v>
      </c>
      <c r="G1873" s="97" t="b">
        <v>0</v>
      </c>
      <c r="H1873" s="98"/>
      <c r="I1873" s="98"/>
      <c r="J1873" s="98"/>
      <c r="K1873" s="102"/>
      <c r="L1873" s="102"/>
      <c r="M1873" s="102"/>
      <c r="N1873" s="102"/>
      <c r="O1873" s="98"/>
      <c r="P1873" s="98"/>
      <c r="Q1873" s="98"/>
    </row>
    <row r="1874">
      <c r="A1874" s="96"/>
      <c r="B1874" s="97"/>
      <c r="C1874" s="97"/>
      <c r="D1874" s="97"/>
      <c r="E1874" s="97"/>
      <c r="F1874" s="97" t="b">
        <v>0</v>
      </c>
      <c r="G1874" s="97" t="b">
        <v>0</v>
      </c>
      <c r="H1874" s="98"/>
      <c r="I1874" s="98"/>
      <c r="J1874" s="98"/>
      <c r="K1874" s="102"/>
      <c r="L1874" s="102"/>
      <c r="M1874" s="102"/>
      <c r="N1874" s="102"/>
      <c r="O1874" s="98"/>
      <c r="P1874" s="98"/>
      <c r="Q1874" s="98"/>
    </row>
    <row r="1875">
      <c r="A1875" s="96"/>
      <c r="B1875" s="97"/>
      <c r="C1875" s="97"/>
      <c r="D1875" s="97"/>
      <c r="E1875" s="97"/>
      <c r="F1875" s="97" t="b">
        <v>0</v>
      </c>
      <c r="G1875" s="97" t="b">
        <v>0</v>
      </c>
      <c r="H1875" s="98"/>
      <c r="I1875" s="98"/>
      <c r="J1875" s="98"/>
      <c r="K1875" s="102"/>
      <c r="L1875" s="102"/>
      <c r="M1875" s="102"/>
      <c r="N1875" s="102"/>
      <c r="O1875" s="98"/>
      <c r="P1875" s="98"/>
      <c r="Q1875" s="98"/>
    </row>
    <row r="1876">
      <c r="A1876" s="96"/>
      <c r="B1876" s="97"/>
      <c r="C1876" s="97"/>
      <c r="D1876" s="97"/>
      <c r="E1876" s="97"/>
      <c r="F1876" s="97" t="b">
        <v>0</v>
      </c>
      <c r="G1876" s="97" t="b">
        <v>0</v>
      </c>
      <c r="H1876" s="98"/>
      <c r="I1876" s="98"/>
      <c r="J1876" s="98"/>
      <c r="K1876" s="102"/>
      <c r="L1876" s="102"/>
      <c r="M1876" s="102"/>
      <c r="N1876" s="102"/>
      <c r="O1876" s="98"/>
      <c r="P1876" s="98"/>
      <c r="Q1876" s="98"/>
    </row>
    <row r="1877">
      <c r="A1877" s="96"/>
      <c r="B1877" s="97"/>
      <c r="C1877" s="97"/>
      <c r="D1877" s="97"/>
      <c r="E1877" s="97"/>
      <c r="F1877" s="97" t="b">
        <v>0</v>
      </c>
      <c r="G1877" s="97" t="b">
        <v>0</v>
      </c>
      <c r="H1877" s="98"/>
      <c r="I1877" s="98"/>
      <c r="J1877" s="98"/>
      <c r="K1877" s="102"/>
      <c r="L1877" s="102"/>
      <c r="M1877" s="102"/>
      <c r="N1877" s="102"/>
      <c r="O1877" s="98"/>
      <c r="P1877" s="98"/>
      <c r="Q1877" s="98"/>
    </row>
    <row r="1878">
      <c r="A1878" s="96"/>
      <c r="B1878" s="97"/>
      <c r="C1878" s="97"/>
      <c r="D1878" s="97"/>
      <c r="E1878" s="97"/>
      <c r="F1878" s="97" t="b">
        <v>0</v>
      </c>
      <c r="G1878" s="97" t="b">
        <v>0</v>
      </c>
      <c r="H1878" s="98"/>
      <c r="I1878" s="98"/>
      <c r="J1878" s="98"/>
      <c r="K1878" s="102"/>
      <c r="L1878" s="102"/>
      <c r="M1878" s="102"/>
      <c r="N1878" s="102"/>
      <c r="O1878" s="98"/>
      <c r="P1878" s="98"/>
      <c r="Q1878" s="98"/>
    </row>
    <row r="1879">
      <c r="A1879" s="96"/>
      <c r="B1879" s="97"/>
      <c r="C1879" s="97"/>
      <c r="D1879" s="97"/>
      <c r="E1879" s="97"/>
      <c r="F1879" s="97" t="b">
        <v>0</v>
      </c>
      <c r="G1879" s="97" t="b">
        <v>0</v>
      </c>
      <c r="H1879" s="98"/>
      <c r="I1879" s="98"/>
      <c r="J1879" s="98"/>
      <c r="K1879" s="102"/>
      <c r="L1879" s="102"/>
      <c r="M1879" s="102"/>
      <c r="N1879" s="102"/>
      <c r="O1879" s="98"/>
      <c r="P1879" s="98"/>
      <c r="Q1879" s="98"/>
    </row>
    <row r="1880">
      <c r="A1880" s="96"/>
      <c r="B1880" s="97"/>
      <c r="C1880" s="97"/>
      <c r="D1880" s="97"/>
      <c r="E1880" s="97"/>
      <c r="F1880" s="97" t="b">
        <v>0</v>
      </c>
      <c r="G1880" s="97" t="b">
        <v>0</v>
      </c>
      <c r="H1880" s="98"/>
      <c r="I1880" s="98"/>
      <c r="J1880" s="98"/>
      <c r="K1880" s="102"/>
      <c r="L1880" s="102"/>
      <c r="M1880" s="102"/>
      <c r="N1880" s="102"/>
      <c r="O1880" s="98"/>
      <c r="P1880" s="98"/>
      <c r="Q1880" s="98"/>
    </row>
    <row r="1881">
      <c r="A1881" s="96"/>
      <c r="B1881" s="97"/>
      <c r="C1881" s="97"/>
      <c r="D1881" s="97"/>
      <c r="E1881" s="97"/>
      <c r="F1881" s="97" t="b">
        <v>0</v>
      </c>
      <c r="G1881" s="97" t="b">
        <v>0</v>
      </c>
      <c r="H1881" s="98"/>
      <c r="I1881" s="98"/>
      <c r="J1881" s="98"/>
      <c r="K1881" s="102"/>
      <c r="L1881" s="102"/>
      <c r="M1881" s="102"/>
      <c r="N1881" s="102"/>
      <c r="O1881" s="98"/>
      <c r="P1881" s="98"/>
      <c r="Q1881" s="98"/>
    </row>
    <row r="1882">
      <c r="A1882" s="96"/>
      <c r="B1882" s="97"/>
      <c r="C1882" s="97"/>
      <c r="D1882" s="97"/>
      <c r="E1882" s="97"/>
      <c r="F1882" s="97" t="b">
        <v>0</v>
      </c>
      <c r="G1882" s="97" t="b">
        <v>0</v>
      </c>
      <c r="H1882" s="98"/>
      <c r="I1882" s="98"/>
      <c r="J1882" s="98"/>
      <c r="K1882" s="102"/>
      <c r="L1882" s="102"/>
      <c r="M1882" s="102"/>
      <c r="N1882" s="102"/>
      <c r="O1882" s="98"/>
      <c r="P1882" s="98"/>
      <c r="Q1882" s="98"/>
    </row>
    <row r="1883">
      <c r="A1883" s="96"/>
      <c r="B1883" s="97"/>
      <c r="C1883" s="97"/>
      <c r="D1883" s="97"/>
      <c r="E1883" s="97"/>
      <c r="F1883" s="97" t="b">
        <v>0</v>
      </c>
      <c r="G1883" s="97" t="b">
        <v>0</v>
      </c>
      <c r="H1883" s="98"/>
      <c r="I1883" s="98"/>
      <c r="J1883" s="98"/>
      <c r="K1883" s="102"/>
      <c r="L1883" s="102"/>
      <c r="M1883" s="102"/>
      <c r="N1883" s="102"/>
      <c r="O1883" s="98"/>
      <c r="P1883" s="98"/>
      <c r="Q1883" s="98"/>
    </row>
    <row r="1884">
      <c r="A1884" s="96"/>
      <c r="B1884" s="97"/>
      <c r="C1884" s="97"/>
      <c r="D1884" s="97"/>
      <c r="E1884" s="97"/>
      <c r="F1884" s="97" t="b">
        <v>0</v>
      </c>
      <c r="G1884" s="97" t="b">
        <v>0</v>
      </c>
      <c r="H1884" s="98"/>
      <c r="I1884" s="98"/>
      <c r="J1884" s="98"/>
      <c r="K1884" s="102"/>
      <c r="L1884" s="102"/>
      <c r="M1884" s="102"/>
      <c r="N1884" s="102"/>
      <c r="O1884" s="98"/>
      <c r="P1884" s="98"/>
      <c r="Q1884" s="98"/>
    </row>
    <row r="1885">
      <c r="A1885" s="96"/>
      <c r="B1885" s="97"/>
      <c r="C1885" s="97"/>
      <c r="D1885" s="97"/>
      <c r="E1885" s="97"/>
      <c r="F1885" s="97" t="b">
        <v>0</v>
      </c>
      <c r="G1885" s="97" t="b">
        <v>0</v>
      </c>
      <c r="H1885" s="98"/>
      <c r="I1885" s="98"/>
      <c r="J1885" s="98"/>
      <c r="K1885" s="102"/>
      <c r="L1885" s="102"/>
      <c r="M1885" s="102"/>
      <c r="N1885" s="102"/>
      <c r="O1885" s="98"/>
      <c r="P1885" s="98"/>
      <c r="Q1885" s="98"/>
    </row>
    <row r="1886">
      <c r="A1886" s="96"/>
      <c r="B1886" s="97"/>
      <c r="C1886" s="97"/>
      <c r="D1886" s="97"/>
      <c r="E1886" s="97"/>
      <c r="F1886" s="97" t="b">
        <v>0</v>
      </c>
      <c r="G1886" s="97" t="b">
        <v>0</v>
      </c>
      <c r="H1886" s="98"/>
      <c r="I1886" s="98"/>
      <c r="J1886" s="98"/>
      <c r="K1886" s="102"/>
      <c r="L1886" s="102"/>
      <c r="M1886" s="102"/>
      <c r="N1886" s="102"/>
      <c r="O1886" s="98"/>
      <c r="P1886" s="98"/>
      <c r="Q1886" s="98"/>
    </row>
    <row r="1887">
      <c r="A1887" s="96"/>
      <c r="B1887" s="97"/>
      <c r="C1887" s="97"/>
      <c r="D1887" s="97"/>
      <c r="E1887" s="97"/>
      <c r="F1887" s="97" t="b">
        <v>0</v>
      </c>
      <c r="G1887" s="97" t="b">
        <v>0</v>
      </c>
      <c r="H1887" s="98"/>
      <c r="I1887" s="98"/>
      <c r="J1887" s="98"/>
      <c r="K1887" s="102"/>
      <c r="L1887" s="102"/>
      <c r="M1887" s="102"/>
      <c r="N1887" s="102"/>
      <c r="O1887" s="98"/>
      <c r="P1887" s="98"/>
      <c r="Q1887" s="98"/>
    </row>
    <row r="1888">
      <c r="A1888" s="96"/>
      <c r="B1888" s="97"/>
      <c r="C1888" s="97"/>
      <c r="D1888" s="97"/>
      <c r="E1888" s="97"/>
      <c r="F1888" s="97" t="b">
        <v>0</v>
      </c>
      <c r="G1888" s="97" t="b">
        <v>0</v>
      </c>
      <c r="H1888" s="98"/>
      <c r="I1888" s="98"/>
      <c r="J1888" s="98"/>
      <c r="K1888" s="102"/>
      <c r="L1888" s="102"/>
      <c r="M1888" s="102"/>
      <c r="N1888" s="102"/>
      <c r="O1888" s="98"/>
      <c r="P1888" s="98"/>
      <c r="Q1888" s="98"/>
    </row>
    <row r="1889">
      <c r="A1889" s="96"/>
      <c r="B1889" s="97"/>
      <c r="C1889" s="97"/>
      <c r="D1889" s="97"/>
      <c r="E1889" s="97"/>
      <c r="F1889" s="97" t="b">
        <v>0</v>
      </c>
      <c r="G1889" s="97" t="b">
        <v>0</v>
      </c>
      <c r="H1889" s="98"/>
      <c r="I1889" s="98"/>
      <c r="J1889" s="98"/>
      <c r="K1889" s="102"/>
      <c r="L1889" s="102"/>
      <c r="M1889" s="102"/>
      <c r="N1889" s="102"/>
      <c r="O1889" s="98"/>
      <c r="P1889" s="98"/>
      <c r="Q1889" s="98"/>
    </row>
    <row r="1890">
      <c r="A1890" s="96"/>
      <c r="B1890" s="97"/>
      <c r="C1890" s="97"/>
      <c r="D1890" s="97"/>
      <c r="E1890" s="97"/>
      <c r="F1890" s="97" t="b">
        <v>0</v>
      </c>
      <c r="G1890" s="97" t="b">
        <v>0</v>
      </c>
      <c r="H1890" s="98"/>
      <c r="I1890" s="98"/>
      <c r="J1890" s="98"/>
      <c r="K1890" s="102"/>
      <c r="L1890" s="102"/>
      <c r="M1890" s="102"/>
      <c r="N1890" s="102"/>
      <c r="O1890" s="98"/>
      <c r="P1890" s="98"/>
      <c r="Q1890" s="98"/>
    </row>
    <row r="1891">
      <c r="A1891" s="96"/>
      <c r="B1891" s="97"/>
      <c r="C1891" s="97"/>
      <c r="D1891" s="97"/>
      <c r="E1891" s="97"/>
      <c r="F1891" s="97" t="b">
        <v>0</v>
      </c>
      <c r="G1891" s="97" t="b">
        <v>0</v>
      </c>
      <c r="H1891" s="98"/>
      <c r="I1891" s="98"/>
      <c r="J1891" s="98"/>
      <c r="K1891" s="102"/>
      <c r="L1891" s="102"/>
      <c r="M1891" s="102"/>
      <c r="N1891" s="102"/>
      <c r="O1891" s="98"/>
      <c r="P1891" s="98"/>
      <c r="Q1891" s="98"/>
    </row>
    <row r="1892">
      <c r="A1892" s="96"/>
      <c r="B1892" s="97"/>
      <c r="C1892" s="97"/>
      <c r="D1892" s="97"/>
      <c r="E1892" s="97"/>
      <c r="F1892" s="97" t="b">
        <v>0</v>
      </c>
      <c r="G1892" s="97" t="b">
        <v>0</v>
      </c>
      <c r="H1892" s="98"/>
      <c r="I1892" s="98"/>
      <c r="J1892" s="98"/>
      <c r="K1892" s="102"/>
      <c r="L1892" s="102"/>
      <c r="M1892" s="102"/>
      <c r="N1892" s="102"/>
      <c r="O1892" s="98"/>
      <c r="P1892" s="98"/>
      <c r="Q1892" s="98"/>
    </row>
    <row r="1893">
      <c r="A1893" s="96"/>
      <c r="B1893" s="97"/>
      <c r="C1893" s="97"/>
      <c r="D1893" s="97"/>
      <c r="E1893" s="97"/>
      <c r="F1893" s="97" t="b">
        <v>0</v>
      </c>
      <c r="G1893" s="97" t="b">
        <v>0</v>
      </c>
      <c r="H1893" s="98"/>
      <c r="I1893" s="98"/>
      <c r="J1893" s="98"/>
      <c r="K1893" s="102"/>
      <c r="L1893" s="102"/>
      <c r="M1893" s="102"/>
      <c r="N1893" s="102"/>
      <c r="O1893" s="98"/>
      <c r="P1893" s="98"/>
      <c r="Q1893" s="98"/>
    </row>
    <row r="1894">
      <c r="A1894" s="96"/>
      <c r="B1894" s="97"/>
      <c r="C1894" s="97"/>
      <c r="D1894" s="97"/>
      <c r="E1894" s="97"/>
      <c r="F1894" s="97" t="b">
        <v>0</v>
      </c>
      <c r="G1894" s="97" t="b">
        <v>0</v>
      </c>
      <c r="H1894" s="98"/>
      <c r="I1894" s="98"/>
      <c r="J1894" s="98"/>
      <c r="K1894" s="102"/>
      <c r="L1894" s="102"/>
      <c r="M1894" s="102"/>
      <c r="N1894" s="102"/>
      <c r="O1894" s="98"/>
      <c r="P1894" s="98"/>
      <c r="Q1894" s="98"/>
    </row>
    <row r="1895">
      <c r="A1895" s="96"/>
      <c r="B1895" s="97"/>
      <c r="C1895" s="97"/>
      <c r="D1895" s="97"/>
      <c r="E1895" s="97"/>
      <c r="F1895" s="97" t="b">
        <v>0</v>
      </c>
      <c r="G1895" s="97" t="b">
        <v>0</v>
      </c>
      <c r="H1895" s="98"/>
      <c r="I1895" s="98"/>
      <c r="J1895" s="98"/>
      <c r="K1895" s="102"/>
      <c r="L1895" s="102"/>
      <c r="M1895" s="102"/>
      <c r="N1895" s="102"/>
      <c r="O1895" s="98"/>
      <c r="P1895" s="98"/>
      <c r="Q1895" s="98"/>
    </row>
    <row r="1896">
      <c r="A1896" s="96"/>
      <c r="B1896" s="97"/>
      <c r="C1896" s="97"/>
      <c r="D1896" s="97"/>
      <c r="E1896" s="97"/>
      <c r="F1896" s="97" t="b">
        <v>0</v>
      </c>
      <c r="G1896" s="97" t="b">
        <v>0</v>
      </c>
      <c r="H1896" s="98"/>
      <c r="I1896" s="98"/>
      <c r="J1896" s="98"/>
      <c r="K1896" s="102"/>
      <c r="L1896" s="102"/>
      <c r="M1896" s="102"/>
      <c r="N1896" s="102"/>
      <c r="O1896" s="98"/>
      <c r="P1896" s="98"/>
      <c r="Q1896" s="98"/>
    </row>
    <row r="1897">
      <c r="A1897" s="96"/>
      <c r="B1897" s="97"/>
      <c r="C1897" s="97"/>
      <c r="D1897" s="97"/>
      <c r="E1897" s="97"/>
      <c r="F1897" s="97" t="b">
        <v>0</v>
      </c>
      <c r="G1897" s="97" t="b">
        <v>0</v>
      </c>
      <c r="H1897" s="98"/>
      <c r="I1897" s="98"/>
      <c r="J1897" s="98"/>
      <c r="K1897" s="102"/>
      <c r="L1897" s="102"/>
      <c r="M1897" s="102"/>
      <c r="N1897" s="102"/>
      <c r="O1897" s="98"/>
      <c r="P1897" s="98"/>
      <c r="Q1897" s="98"/>
    </row>
    <row r="1898">
      <c r="A1898" s="96"/>
      <c r="B1898" s="97"/>
      <c r="C1898" s="97"/>
      <c r="D1898" s="97"/>
      <c r="E1898" s="97"/>
      <c r="F1898" s="97" t="b">
        <v>0</v>
      </c>
      <c r="G1898" s="97" t="b">
        <v>0</v>
      </c>
      <c r="H1898" s="98"/>
      <c r="I1898" s="98"/>
      <c r="J1898" s="98"/>
      <c r="K1898" s="102"/>
      <c r="L1898" s="102"/>
      <c r="M1898" s="102"/>
      <c r="N1898" s="102"/>
      <c r="O1898" s="98"/>
      <c r="P1898" s="98"/>
      <c r="Q1898" s="98"/>
    </row>
    <row r="1899">
      <c r="A1899" s="96"/>
      <c r="B1899" s="97"/>
      <c r="C1899" s="97"/>
      <c r="D1899" s="97"/>
      <c r="E1899" s="97"/>
      <c r="F1899" s="97" t="b">
        <v>0</v>
      </c>
      <c r="G1899" s="97" t="b">
        <v>0</v>
      </c>
      <c r="H1899" s="98"/>
      <c r="I1899" s="98"/>
      <c r="J1899" s="98"/>
      <c r="K1899" s="102"/>
      <c r="L1899" s="102"/>
      <c r="M1899" s="102"/>
      <c r="N1899" s="102"/>
      <c r="O1899" s="98"/>
      <c r="P1899" s="98"/>
      <c r="Q1899" s="98"/>
    </row>
    <row r="1900">
      <c r="A1900" s="96"/>
      <c r="B1900" s="97"/>
      <c r="C1900" s="97"/>
      <c r="D1900" s="97"/>
      <c r="E1900" s="97"/>
      <c r="F1900" s="97" t="b">
        <v>0</v>
      </c>
      <c r="G1900" s="97" t="b">
        <v>0</v>
      </c>
      <c r="H1900" s="98"/>
      <c r="I1900" s="98"/>
      <c r="J1900" s="98"/>
      <c r="K1900" s="102"/>
      <c r="L1900" s="102"/>
      <c r="M1900" s="102"/>
      <c r="N1900" s="102"/>
      <c r="O1900" s="98"/>
      <c r="P1900" s="98"/>
      <c r="Q1900" s="98"/>
    </row>
    <row r="1901">
      <c r="A1901" s="96"/>
      <c r="B1901" s="97"/>
      <c r="C1901" s="97"/>
      <c r="D1901" s="97"/>
      <c r="E1901" s="97"/>
      <c r="F1901" s="97" t="b">
        <v>0</v>
      </c>
      <c r="G1901" s="97" t="b">
        <v>0</v>
      </c>
      <c r="H1901" s="98"/>
      <c r="I1901" s="98"/>
      <c r="J1901" s="98"/>
      <c r="K1901" s="102"/>
      <c r="L1901" s="102"/>
      <c r="M1901" s="102"/>
      <c r="N1901" s="102"/>
      <c r="O1901" s="98"/>
      <c r="P1901" s="98"/>
      <c r="Q1901" s="98"/>
    </row>
    <row r="1902">
      <c r="A1902" s="96"/>
      <c r="B1902" s="97"/>
      <c r="C1902" s="97"/>
      <c r="D1902" s="97"/>
      <c r="E1902" s="97"/>
      <c r="F1902" s="97" t="b">
        <v>0</v>
      </c>
      <c r="G1902" s="97" t="b">
        <v>0</v>
      </c>
      <c r="H1902" s="98"/>
      <c r="I1902" s="98"/>
      <c r="J1902" s="98"/>
      <c r="K1902" s="102"/>
      <c r="L1902" s="102"/>
      <c r="M1902" s="102"/>
      <c r="N1902" s="102"/>
      <c r="O1902" s="98"/>
      <c r="P1902" s="98"/>
      <c r="Q1902" s="98"/>
    </row>
    <row r="1903">
      <c r="A1903" s="96"/>
      <c r="B1903" s="97"/>
      <c r="C1903" s="97"/>
      <c r="D1903" s="97"/>
      <c r="E1903" s="97"/>
      <c r="F1903" s="97" t="b">
        <v>0</v>
      </c>
      <c r="G1903" s="97" t="b">
        <v>0</v>
      </c>
      <c r="H1903" s="98"/>
      <c r="I1903" s="98"/>
      <c r="J1903" s="98"/>
      <c r="K1903" s="102"/>
      <c r="L1903" s="102"/>
      <c r="M1903" s="102"/>
      <c r="N1903" s="102"/>
      <c r="O1903" s="98"/>
      <c r="P1903" s="98"/>
      <c r="Q1903" s="98"/>
    </row>
    <row r="1904">
      <c r="A1904" s="96"/>
      <c r="B1904" s="97"/>
      <c r="C1904" s="97"/>
      <c r="D1904" s="97"/>
      <c r="E1904" s="97"/>
      <c r="F1904" s="97" t="b">
        <v>0</v>
      </c>
      <c r="G1904" s="97" t="b">
        <v>0</v>
      </c>
      <c r="H1904" s="98"/>
      <c r="I1904" s="98"/>
      <c r="J1904" s="98"/>
      <c r="K1904" s="102"/>
      <c r="L1904" s="102"/>
      <c r="M1904" s="102"/>
      <c r="N1904" s="102"/>
      <c r="O1904" s="98"/>
      <c r="P1904" s="98"/>
      <c r="Q1904" s="98"/>
    </row>
    <row r="1905">
      <c r="A1905" s="96"/>
      <c r="B1905" s="97"/>
      <c r="C1905" s="97"/>
      <c r="D1905" s="97"/>
      <c r="E1905" s="97"/>
      <c r="F1905" s="97" t="b">
        <v>0</v>
      </c>
      <c r="G1905" s="97" t="b">
        <v>0</v>
      </c>
      <c r="H1905" s="98"/>
      <c r="I1905" s="98"/>
      <c r="J1905" s="98"/>
      <c r="K1905" s="102"/>
      <c r="L1905" s="102"/>
      <c r="M1905" s="102"/>
      <c r="N1905" s="102"/>
      <c r="O1905" s="98"/>
      <c r="P1905" s="98"/>
      <c r="Q1905" s="98"/>
    </row>
    <row r="1906">
      <c r="A1906" s="96"/>
      <c r="B1906" s="97"/>
      <c r="C1906" s="97"/>
      <c r="D1906" s="97"/>
      <c r="E1906" s="97"/>
      <c r="F1906" s="97" t="b">
        <v>0</v>
      </c>
      <c r="G1906" s="97" t="b">
        <v>0</v>
      </c>
      <c r="H1906" s="98"/>
      <c r="I1906" s="98"/>
      <c r="J1906" s="98"/>
      <c r="K1906" s="102"/>
      <c r="L1906" s="102"/>
      <c r="M1906" s="102"/>
      <c r="N1906" s="102"/>
      <c r="O1906" s="98"/>
      <c r="P1906" s="98"/>
      <c r="Q1906" s="98"/>
    </row>
    <row r="1907">
      <c r="A1907" s="96"/>
      <c r="B1907" s="97"/>
      <c r="C1907" s="97"/>
      <c r="D1907" s="97"/>
      <c r="E1907" s="97"/>
      <c r="F1907" s="97" t="b">
        <v>0</v>
      </c>
      <c r="G1907" s="97" t="b">
        <v>0</v>
      </c>
      <c r="H1907" s="98"/>
      <c r="I1907" s="98"/>
      <c r="J1907" s="98"/>
      <c r="K1907" s="102"/>
      <c r="L1907" s="102"/>
      <c r="M1907" s="102"/>
      <c r="N1907" s="102"/>
      <c r="O1907" s="98"/>
      <c r="P1907" s="98"/>
      <c r="Q1907" s="98"/>
    </row>
    <row r="1908">
      <c r="A1908" s="96"/>
      <c r="B1908" s="97"/>
      <c r="C1908" s="97"/>
      <c r="D1908" s="97"/>
      <c r="E1908" s="97"/>
      <c r="F1908" s="97" t="b">
        <v>0</v>
      </c>
      <c r="G1908" s="97" t="b">
        <v>0</v>
      </c>
      <c r="H1908" s="98"/>
      <c r="I1908" s="98"/>
      <c r="J1908" s="98"/>
      <c r="K1908" s="102"/>
      <c r="L1908" s="102"/>
      <c r="M1908" s="102"/>
      <c r="N1908" s="102"/>
      <c r="O1908" s="98"/>
      <c r="P1908" s="98"/>
      <c r="Q1908" s="98"/>
    </row>
    <row r="1909">
      <c r="A1909" s="96"/>
      <c r="B1909" s="97"/>
      <c r="C1909" s="97"/>
      <c r="D1909" s="97"/>
      <c r="E1909" s="97"/>
      <c r="F1909" s="97" t="b">
        <v>0</v>
      </c>
      <c r="G1909" s="97" t="b">
        <v>0</v>
      </c>
      <c r="H1909" s="98"/>
      <c r="I1909" s="98"/>
      <c r="J1909" s="98"/>
      <c r="K1909" s="102"/>
      <c r="L1909" s="102"/>
      <c r="M1909" s="102"/>
      <c r="N1909" s="102"/>
      <c r="O1909" s="98"/>
      <c r="P1909" s="98"/>
      <c r="Q1909" s="98"/>
    </row>
    <row r="1910">
      <c r="A1910" s="96"/>
      <c r="B1910" s="97"/>
      <c r="C1910" s="97"/>
      <c r="D1910" s="97"/>
      <c r="E1910" s="97"/>
      <c r="F1910" s="97" t="b">
        <v>0</v>
      </c>
      <c r="G1910" s="97" t="b">
        <v>0</v>
      </c>
      <c r="H1910" s="98"/>
      <c r="I1910" s="98"/>
      <c r="J1910" s="98"/>
      <c r="K1910" s="102"/>
      <c r="L1910" s="102"/>
      <c r="M1910" s="102"/>
      <c r="N1910" s="102"/>
      <c r="O1910" s="98"/>
      <c r="P1910" s="98"/>
      <c r="Q1910" s="98"/>
    </row>
    <row r="1911">
      <c r="A1911" s="96"/>
      <c r="B1911" s="97"/>
      <c r="C1911" s="97"/>
      <c r="D1911" s="97"/>
      <c r="E1911" s="97"/>
      <c r="F1911" s="97" t="b">
        <v>0</v>
      </c>
      <c r="G1911" s="97" t="b">
        <v>0</v>
      </c>
      <c r="H1911" s="98"/>
      <c r="I1911" s="98"/>
      <c r="J1911" s="98"/>
      <c r="K1911" s="102"/>
      <c r="L1911" s="102"/>
      <c r="M1911" s="102"/>
      <c r="N1911" s="102"/>
      <c r="O1911" s="98"/>
      <c r="P1911" s="98"/>
      <c r="Q1911" s="98"/>
    </row>
    <row r="1912">
      <c r="A1912" s="96"/>
      <c r="B1912" s="97"/>
      <c r="C1912" s="97"/>
      <c r="D1912" s="97"/>
      <c r="E1912" s="97"/>
      <c r="F1912" s="97" t="b">
        <v>0</v>
      </c>
      <c r="G1912" s="97" t="b">
        <v>0</v>
      </c>
      <c r="H1912" s="98"/>
      <c r="I1912" s="98"/>
      <c r="J1912" s="98"/>
      <c r="K1912" s="102"/>
      <c r="L1912" s="102"/>
      <c r="M1912" s="102"/>
      <c r="N1912" s="102"/>
      <c r="O1912" s="98"/>
      <c r="P1912" s="98"/>
      <c r="Q1912" s="98"/>
    </row>
    <row r="1913">
      <c r="A1913" s="96"/>
      <c r="B1913" s="97"/>
      <c r="C1913" s="97"/>
      <c r="D1913" s="97"/>
      <c r="E1913" s="97"/>
      <c r="F1913" s="97" t="b">
        <v>0</v>
      </c>
      <c r="G1913" s="97" t="b">
        <v>0</v>
      </c>
      <c r="H1913" s="98"/>
      <c r="I1913" s="98"/>
      <c r="J1913" s="98"/>
      <c r="K1913" s="102"/>
      <c r="L1913" s="102"/>
      <c r="M1913" s="102"/>
      <c r="N1913" s="102"/>
      <c r="O1913" s="98"/>
      <c r="P1913" s="98"/>
      <c r="Q1913" s="98"/>
    </row>
    <row r="1914">
      <c r="A1914" s="96"/>
      <c r="B1914" s="97"/>
      <c r="C1914" s="97"/>
      <c r="D1914" s="97"/>
      <c r="E1914" s="97"/>
      <c r="F1914" s="97" t="b">
        <v>0</v>
      </c>
      <c r="G1914" s="97" t="b">
        <v>0</v>
      </c>
      <c r="H1914" s="98"/>
      <c r="I1914" s="98"/>
      <c r="J1914" s="98"/>
      <c r="K1914" s="102"/>
      <c r="L1914" s="102"/>
      <c r="M1914" s="102"/>
      <c r="N1914" s="102"/>
      <c r="O1914" s="98"/>
      <c r="P1914" s="98"/>
      <c r="Q1914" s="98"/>
    </row>
    <row r="1915">
      <c r="A1915" s="96"/>
      <c r="B1915" s="97"/>
      <c r="C1915" s="97"/>
      <c r="D1915" s="97"/>
      <c r="E1915" s="97"/>
      <c r="F1915" s="97" t="b">
        <v>0</v>
      </c>
      <c r="G1915" s="97" t="b">
        <v>0</v>
      </c>
      <c r="H1915" s="98"/>
      <c r="I1915" s="98"/>
      <c r="J1915" s="98"/>
      <c r="K1915" s="102"/>
      <c r="L1915" s="102"/>
      <c r="M1915" s="102"/>
      <c r="N1915" s="102"/>
      <c r="O1915" s="98"/>
      <c r="P1915" s="98"/>
      <c r="Q1915" s="98"/>
    </row>
    <row r="1916">
      <c r="A1916" s="96"/>
      <c r="B1916" s="97"/>
      <c r="C1916" s="97"/>
      <c r="D1916" s="97"/>
      <c r="E1916" s="97"/>
      <c r="F1916" s="97" t="b">
        <v>0</v>
      </c>
      <c r="G1916" s="97" t="b">
        <v>0</v>
      </c>
      <c r="H1916" s="98"/>
      <c r="I1916" s="98"/>
      <c r="J1916" s="98"/>
      <c r="K1916" s="102"/>
      <c r="L1916" s="102"/>
      <c r="M1916" s="102"/>
      <c r="N1916" s="102"/>
      <c r="O1916" s="98"/>
      <c r="P1916" s="98"/>
      <c r="Q1916" s="98"/>
    </row>
    <row r="1917">
      <c r="A1917" s="96"/>
      <c r="B1917" s="97"/>
      <c r="C1917" s="97"/>
      <c r="D1917" s="97"/>
      <c r="E1917" s="97"/>
      <c r="F1917" s="97" t="b">
        <v>0</v>
      </c>
      <c r="G1917" s="97" t="b">
        <v>0</v>
      </c>
      <c r="H1917" s="98"/>
      <c r="I1917" s="98"/>
      <c r="J1917" s="98"/>
      <c r="K1917" s="102"/>
      <c r="L1917" s="102"/>
      <c r="M1917" s="102"/>
      <c r="N1917" s="102"/>
      <c r="O1917" s="98"/>
      <c r="P1917" s="98"/>
      <c r="Q1917" s="98"/>
    </row>
    <row r="1918">
      <c r="A1918" s="96"/>
      <c r="B1918" s="97"/>
      <c r="C1918" s="97"/>
      <c r="D1918" s="97"/>
      <c r="E1918" s="97"/>
      <c r="F1918" s="97" t="b">
        <v>0</v>
      </c>
      <c r="G1918" s="97" t="b">
        <v>0</v>
      </c>
      <c r="H1918" s="98"/>
      <c r="I1918" s="98"/>
      <c r="J1918" s="98"/>
      <c r="K1918" s="102"/>
      <c r="L1918" s="102"/>
      <c r="M1918" s="102"/>
      <c r="N1918" s="102"/>
      <c r="O1918" s="98"/>
      <c r="P1918" s="98"/>
      <c r="Q1918" s="98"/>
    </row>
    <row r="1919">
      <c r="A1919" s="96"/>
      <c r="B1919" s="97"/>
      <c r="C1919" s="97"/>
      <c r="D1919" s="97"/>
      <c r="E1919" s="97"/>
      <c r="F1919" s="97" t="b">
        <v>0</v>
      </c>
      <c r="G1919" s="97" t="b">
        <v>0</v>
      </c>
      <c r="H1919" s="98"/>
      <c r="I1919" s="98"/>
      <c r="J1919" s="98"/>
      <c r="K1919" s="102"/>
      <c r="L1919" s="102"/>
      <c r="M1919" s="102"/>
      <c r="N1919" s="102"/>
      <c r="O1919" s="98"/>
      <c r="P1919" s="98"/>
      <c r="Q1919" s="98"/>
    </row>
    <row r="1920">
      <c r="A1920" s="96"/>
      <c r="B1920" s="97"/>
      <c r="C1920" s="97"/>
      <c r="D1920" s="97"/>
      <c r="E1920" s="97"/>
      <c r="F1920" s="97" t="b">
        <v>0</v>
      </c>
      <c r="G1920" s="97" t="b">
        <v>0</v>
      </c>
      <c r="H1920" s="98"/>
      <c r="I1920" s="98"/>
      <c r="J1920" s="98"/>
      <c r="K1920" s="102"/>
      <c r="L1920" s="102"/>
      <c r="M1920" s="102"/>
      <c r="N1920" s="102"/>
      <c r="O1920" s="98"/>
      <c r="P1920" s="98"/>
      <c r="Q1920" s="98"/>
    </row>
    <row r="1921">
      <c r="A1921" s="96"/>
      <c r="B1921" s="97"/>
      <c r="C1921" s="97"/>
      <c r="D1921" s="97"/>
      <c r="E1921" s="97"/>
      <c r="F1921" s="97" t="b">
        <v>0</v>
      </c>
      <c r="G1921" s="97" t="b">
        <v>0</v>
      </c>
      <c r="H1921" s="98"/>
      <c r="I1921" s="98"/>
      <c r="J1921" s="98"/>
      <c r="K1921" s="102"/>
      <c r="L1921" s="102"/>
      <c r="M1921" s="102"/>
      <c r="N1921" s="102"/>
      <c r="O1921" s="98"/>
      <c r="P1921" s="98"/>
      <c r="Q1921" s="98"/>
    </row>
    <row r="1922">
      <c r="A1922" s="96"/>
      <c r="B1922" s="97"/>
      <c r="C1922" s="97"/>
      <c r="D1922" s="97"/>
      <c r="E1922" s="97"/>
      <c r="F1922" s="97" t="b">
        <v>0</v>
      </c>
      <c r="G1922" s="97" t="b">
        <v>0</v>
      </c>
      <c r="H1922" s="98"/>
      <c r="I1922" s="98"/>
      <c r="J1922" s="98"/>
      <c r="K1922" s="102"/>
      <c r="L1922" s="102"/>
      <c r="M1922" s="102"/>
      <c r="N1922" s="102"/>
      <c r="O1922" s="98"/>
      <c r="P1922" s="98"/>
      <c r="Q1922" s="98"/>
    </row>
    <row r="1923">
      <c r="A1923" s="96"/>
      <c r="B1923" s="97"/>
      <c r="C1923" s="97"/>
      <c r="D1923" s="97"/>
      <c r="E1923" s="97"/>
      <c r="F1923" s="97" t="b">
        <v>0</v>
      </c>
      <c r="G1923" s="97" t="b">
        <v>0</v>
      </c>
      <c r="H1923" s="98"/>
      <c r="I1923" s="98"/>
      <c r="J1923" s="98"/>
      <c r="K1923" s="102"/>
      <c r="L1923" s="102"/>
      <c r="M1923" s="102"/>
      <c r="N1923" s="102"/>
      <c r="O1923" s="98"/>
      <c r="P1923" s="98"/>
      <c r="Q1923" s="98"/>
    </row>
    <row r="1924">
      <c r="A1924" s="96"/>
      <c r="B1924" s="97"/>
      <c r="C1924" s="97"/>
      <c r="D1924" s="97"/>
      <c r="E1924" s="97"/>
      <c r="F1924" s="97" t="b">
        <v>0</v>
      </c>
      <c r="G1924" s="97" t="b">
        <v>0</v>
      </c>
      <c r="H1924" s="98"/>
      <c r="I1924" s="98"/>
      <c r="J1924" s="98"/>
      <c r="K1924" s="102"/>
      <c r="L1924" s="102"/>
      <c r="M1924" s="102"/>
      <c r="N1924" s="102"/>
      <c r="O1924" s="98"/>
      <c r="P1924" s="98"/>
      <c r="Q1924" s="98"/>
    </row>
    <row r="1925">
      <c r="A1925" s="96"/>
      <c r="B1925" s="97"/>
      <c r="C1925" s="97"/>
      <c r="D1925" s="97"/>
      <c r="E1925" s="97"/>
      <c r="F1925" s="97" t="b">
        <v>0</v>
      </c>
      <c r="G1925" s="97" t="b">
        <v>0</v>
      </c>
      <c r="H1925" s="98"/>
      <c r="I1925" s="98"/>
      <c r="J1925" s="98"/>
      <c r="K1925" s="102"/>
      <c r="L1925" s="102"/>
      <c r="M1925" s="102"/>
      <c r="N1925" s="102"/>
      <c r="O1925" s="98"/>
      <c r="P1925" s="98"/>
      <c r="Q1925" s="98"/>
    </row>
    <row r="1926">
      <c r="A1926" s="96"/>
      <c r="B1926" s="97"/>
      <c r="C1926" s="97"/>
      <c r="D1926" s="97"/>
      <c r="E1926" s="97"/>
      <c r="F1926" s="97" t="b">
        <v>0</v>
      </c>
      <c r="G1926" s="97" t="b">
        <v>0</v>
      </c>
      <c r="H1926" s="98"/>
      <c r="I1926" s="98"/>
      <c r="J1926" s="98"/>
      <c r="K1926" s="102"/>
      <c r="L1926" s="102"/>
      <c r="M1926" s="102"/>
      <c r="N1926" s="102"/>
      <c r="O1926" s="98"/>
      <c r="P1926" s="98"/>
      <c r="Q1926" s="98"/>
    </row>
    <row r="1927">
      <c r="A1927" s="96"/>
      <c r="B1927" s="97"/>
      <c r="C1927" s="97"/>
      <c r="D1927" s="97"/>
      <c r="E1927" s="97"/>
      <c r="F1927" s="97" t="b">
        <v>0</v>
      </c>
      <c r="G1927" s="97" t="b">
        <v>0</v>
      </c>
      <c r="H1927" s="98"/>
      <c r="I1927" s="98"/>
      <c r="J1927" s="98"/>
      <c r="K1927" s="102"/>
      <c r="L1927" s="102"/>
      <c r="M1927" s="102"/>
      <c r="N1927" s="102"/>
      <c r="O1927" s="98"/>
      <c r="P1927" s="98"/>
      <c r="Q1927" s="98"/>
    </row>
    <row r="1928">
      <c r="A1928" s="96"/>
      <c r="B1928" s="97"/>
      <c r="C1928" s="97"/>
      <c r="D1928" s="97"/>
      <c r="E1928" s="97"/>
      <c r="F1928" s="97" t="b">
        <v>0</v>
      </c>
      <c r="G1928" s="97" t="b">
        <v>0</v>
      </c>
      <c r="H1928" s="98"/>
      <c r="I1928" s="98"/>
      <c r="J1928" s="98"/>
      <c r="K1928" s="102"/>
      <c r="L1928" s="102"/>
      <c r="M1928" s="102"/>
      <c r="N1928" s="102"/>
      <c r="O1928" s="98"/>
      <c r="P1928" s="98"/>
      <c r="Q1928" s="98"/>
    </row>
    <row r="1929">
      <c r="A1929" s="96"/>
      <c r="B1929" s="97"/>
      <c r="C1929" s="97"/>
      <c r="D1929" s="97"/>
      <c r="E1929" s="97"/>
      <c r="F1929" s="97" t="b">
        <v>0</v>
      </c>
      <c r="G1929" s="97" t="b">
        <v>0</v>
      </c>
      <c r="H1929" s="98"/>
      <c r="I1929" s="98"/>
      <c r="J1929" s="98"/>
      <c r="K1929" s="102"/>
      <c r="L1929" s="102"/>
      <c r="M1929" s="102"/>
      <c r="N1929" s="102"/>
      <c r="O1929" s="98"/>
      <c r="P1929" s="98"/>
      <c r="Q1929" s="98"/>
    </row>
    <row r="1930">
      <c r="A1930" s="96"/>
      <c r="B1930" s="97"/>
      <c r="C1930" s="97"/>
      <c r="D1930" s="97"/>
      <c r="E1930" s="97"/>
      <c r="F1930" s="97" t="b">
        <v>0</v>
      </c>
      <c r="G1930" s="97" t="b">
        <v>0</v>
      </c>
      <c r="H1930" s="98"/>
      <c r="I1930" s="98"/>
      <c r="J1930" s="98"/>
      <c r="K1930" s="102"/>
      <c r="L1930" s="102"/>
      <c r="M1930" s="102"/>
      <c r="N1930" s="102"/>
      <c r="O1930" s="98"/>
      <c r="P1930" s="98"/>
      <c r="Q1930" s="98"/>
    </row>
    <row r="1931">
      <c r="A1931" s="96"/>
      <c r="B1931" s="97"/>
      <c r="C1931" s="97"/>
      <c r="D1931" s="97"/>
      <c r="E1931" s="97"/>
      <c r="F1931" s="97" t="b">
        <v>0</v>
      </c>
      <c r="G1931" s="97" t="b">
        <v>0</v>
      </c>
      <c r="H1931" s="98"/>
      <c r="I1931" s="98"/>
      <c r="J1931" s="98"/>
      <c r="K1931" s="102"/>
      <c r="L1931" s="102"/>
      <c r="M1931" s="102"/>
      <c r="N1931" s="102"/>
      <c r="O1931" s="98"/>
      <c r="P1931" s="98"/>
      <c r="Q1931" s="98"/>
    </row>
    <row r="1932">
      <c r="A1932" s="96"/>
      <c r="B1932" s="97"/>
      <c r="C1932" s="97"/>
      <c r="D1932" s="97"/>
      <c r="E1932" s="97"/>
      <c r="F1932" s="97" t="b">
        <v>0</v>
      </c>
      <c r="G1932" s="97" t="b">
        <v>0</v>
      </c>
      <c r="H1932" s="98"/>
      <c r="I1932" s="98"/>
      <c r="J1932" s="98"/>
      <c r="K1932" s="102"/>
      <c r="L1932" s="102"/>
      <c r="M1932" s="102"/>
      <c r="N1932" s="102"/>
      <c r="O1932" s="98"/>
      <c r="P1932" s="98"/>
      <c r="Q1932" s="98"/>
    </row>
    <row r="1933">
      <c r="A1933" s="96"/>
      <c r="B1933" s="97"/>
      <c r="C1933" s="97"/>
      <c r="D1933" s="97"/>
      <c r="E1933" s="97"/>
      <c r="F1933" s="97" t="b">
        <v>0</v>
      </c>
      <c r="G1933" s="97" t="b">
        <v>0</v>
      </c>
      <c r="H1933" s="98"/>
      <c r="I1933" s="98"/>
      <c r="J1933" s="98"/>
      <c r="K1933" s="102"/>
      <c r="L1933" s="102"/>
      <c r="M1933" s="102"/>
      <c r="N1933" s="102"/>
      <c r="O1933" s="98"/>
      <c r="P1933" s="98"/>
      <c r="Q1933" s="98"/>
    </row>
    <row r="1934">
      <c r="A1934" s="96"/>
      <c r="B1934" s="97"/>
      <c r="C1934" s="97"/>
      <c r="D1934" s="97"/>
      <c r="E1934" s="97"/>
      <c r="F1934" s="97" t="b">
        <v>0</v>
      </c>
      <c r="G1934" s="97" t="b">
        <v>0</v>
      </c>
      <c r="H1934" s="98"/>
      <c r="I1934" s="98"/>
      <c r="J1934" s="98"/>
      <c r="K1934" s="102"/>
      <c r="L1934" s="102"/>
      <c r="M1934" s="102"/>
      <c r="N1934" s="102"/>
      <c r="O1934" s="98"/>
      <c r="P1934" s="98"/>
      <c r="Q1934" s="98"/>
    </row>
    <row r="1935">
      <c r="A1935" s="96"/>
      <c r="B1935" s="97"/>
      <c r="C1935" s="97"/>
      <c r="D1935" s="97"/>
      <c r="E1935" s="97"/>
      <c r="F1935" s="97" t="b">
        <v>0</v>
      </c>
      <c r="G1935" s="97" t="b">
        <v>0</v>
      </c>
      <c r="H1935" s="98"/>
      <c r="I1935" s="98"/>
      <c r="J1935" s="98"/>
      <c r="K1935" s="102"/>
      <c r="L1935" s="102"/>
      <c r="M1935" s="102"/>
      <c r="N1935" s="102"/>
      <c r="O1935" s="98"/>
      <c r="P1935" s="98"/>
      <c r="Q1935" s="98"/>
    </row>
    <row r="1936">
      <c r="A1936" s="96"/>
      <c r="B1936" s="97"/>
      <c r="C1936" s="97"/>
      <c r="D1936" s="97"/>
      <c r="E1936" s="97"/>
      <c r="F1936" s="97" t="b">
        <v>0</v>
      </c>
      <c r="G1936" s="97" t="b">
        <v>0</v>
      </c>
      <c r="H1936" s="98"/>
      <c r="I1936" s="98"/>
      <c r="J1936" s="98"/>
      <c r="K1936" s="102"/>
      <c r="L1936" s="102"/>
      <c r="M1936" s="102"/>
      <c r="N1936" s="102"/>
      <c r="O1936" s="98"/>
      <c r="P1936" s="98"/>
      <c r="Q1936" s="98"/>
    </row>
    <row r="1937">
      <c r="A1937" s="96"/>
      <c r="B1937" s="97"/>
      <c r="C1937" s="97"/>
      <c r="D1937" s="97"/>
      <c r="E1937" s="97"/>
      <c r="F1937" s="97" t="b">
        <v>0</v>
      </c>
      <c r="G1937" s="97" t="b">
        <v>0</v>
      </c>
      <c r="H1937" s="98"/>
      <c r="I1937" s="98"/>
      <c r="J1937" s="98"/>
      <c r="K1937" s="102"/>
      <c r="L1937" s="102"/>
      <c r="M1937" s="102"/>
      <c r="N1937" s="102"/>
      <c r="O1937" s="98"/>
      <c r="P1937" s="98"/>
      <c r="Q1937" s="98"/>
    </row>
    <row r="1938">
      <c r="A1938" s="96"/>
      <c r="B1938" s="97"/>
      <c r="C1938" s="97"/>
      <c r="D1938" s="97"/>
      <c r="E1938" s="97"/>
      <c r="F1938" s="97" t="b">
        <v>0</v>
      </c>
      <c r="G1938" s="97" t="b">
        <v>0</v>
      </c>
      <c r="H1938" s="98"/>
      <c r="I1938" s="98"/>
      <c r="J1938" s="98"/>
      <c r="K1938" s="102"/>
      <c r="L1938" s="102"/>
      <c r="M1938" s="102"/>
      <c r="N1938" s="102"/>
      <c r="O1938" s="98"/>
      <c r="P1938" s="98"/>
      <c r="Q1938" s="98"/>
    </row>
    <row r="1939">
      <c r="A1939" s="96"/>
      <c r="B1939" s="97"/>
      <c r="C1939" s="97"/>
      <c r="D1939" s="97"/>
      <c r="E1939" s="97"/>
      <c r="F1939" s="97" t="b">
        <v>0</v>
      </c>
      <c r="G1939" s="97" t="b">
        <v>0</v>
      </c>
      <c r="H1939" s="98"/>
      <c r="I1939" s="98"/>
      <c r="J1939" s="98"/>
      <c r="K1939" s="102"/>
      <c r="L1939" s="102"/>
      <c r="M1939" s="102"/>
      <c r="N1939" s="102"/>
      <c r="O1939" s="98"/>
      <c r="P1939" s="98"/>
      <c r="Q1939" s="98"/>
    </row>
    <row r="1940">
      <c r="A1940" s="96"/>
      <c r="B1940" s="97"/>
      <c r="C1940" s="97"/>
      <c r="D1940" s="97"/>
      <c r="E1940" s="97"/>
      <c r="F1940" s="97" t="b">
        <v>0</v>
      </c>
      <c r="G1940" s="97" t="b">
        <v>0</v>
      </c>
      <c r="H1940" s="98"/>
      <c r="I1940" s="98"/>
      <c r="J1940" s="98"/>
      <c r="K1940" s="102"/>
      <c r="L1940" s="102"/>
      <c r="M1940" s="102"/>
      <c r="N1940" s="102"/>
      <c r="O1940" s="98"/>
      <c r="P1940" s="98"/>
      <c r="Q1940" s="98"/>
    </row>
    <row r="1941">
      <c r="A1941" s="96"/>
      <c r="B1941" s="97"/>
      <c r="C1941" s="97"/>
      <c r="D1941" s="97"/>
      <c r="E1941" s="97"/>
      <c r="F1941" s="97" t="b">
        <v>0</v>
      </c>
      <c r="G1941" s="97" t="b">
        <v>0</v>
      </c>
      <c r="H1941" s="98"/>
      <c r="I1941" s="98"/>
      <c r="J1941" s="98"/>
      <c r="K1941" s="102"/>
      <c r="L1941" s="102"/>
      <c r="M1941" s="102"/>
      <c r="N1941" s="102"/>
      <c r="O1941" s="98"/>
      <c r="P1941" s="98"/>
      <c r="Q1941" s="98"/>
    </row>
    <row r="1942">
      <c r="A1942" s="96"/>
      <c r="B1942" s="97"/>
      <c r="C1942" s="97"/>
      <c r="D1942" s="97"/>
      <c r="E1942" s="97"/>
      <c r="F1942" s="97" t="b">
        <v>0</v>
      </c>
      <c r="G1942" s="97" t="b">
        <v>0</v>
      </c>
      <c r="H1942" s="98"/>
      <c r="I1942" s="98"/>
      <c r="J1942" s="98"/>
      <c r="K1942" s="102"/>
      <c r="L1942" s="102"/>
      <c r="M1942" s="102"/>
      <c r="N1942" s="102"/>
      <c r="O1942" s="98"/>
      <c r="P1942" s="98"/>
      <c r="Q1942" s="98"/>
    </row>
    <row r="1943">
      <c r="A1943" s="96"/>
      <c r="B1943" s="97"/>
      <c r="C1943" s="97"/>
      <c r="D1943" s="97"/>
      <c r="E1943" s="97"/>
      <c r="F1943" s="97" t="b">
        <v>0</v>
      </c>
      <c r="G1943" s="97" t="b">
        <v>0</v>
      </c>
      <c r="H1943" s="98"/>
      <c r="I1943" s="98"/>
      <c r="J1943" s="98"/>
      <c r="K1943" s="102"/>
      <c r="L1943" s="102"/>
      <c r="M1943" s="102"/>
      <c r="N1943" s="102"/>
      <c r="O1943" s="98"/>
      <c r="P1943" s="98"/>
      <c r="Q1943" s="98"/>
    </row>
    <row r="1944">
      <c r="A1944" s="96"/>
      <c r="B1944" s="97"/>
      <c r="C1944" s="97"/>
      <c r="D1944" s="97"/>
      <c r="E1944" s="97"/>
      <c r="F1944" s="97" t="b">
        <v>0</v>
      </c>
      <c r="G1944" s="97" t="b">
        <v>0</v>
      </c>
      <c r="H1944" s="98"/>
      <c r="I1944" s="98"/>
      <c r="J1944" s="98"/>
      <c r="K1944" s="102"/>
      <c r="L1944" s="102"/>
      <c r="M1944" s="102"/>
      <c r="N1944" s="102"/>
      <c r="O1944" s="98"/>
      <c r="P1944" s="98"/>
      <c r="Q1944" s="98"/>
    </row>
    <row r="1945">
      <c r="A1945" s="96"/>
      <c r="B1945" s="97"/>
      <c r="C1945" s="97"/>
      <c r="D1945" s="97"/>
      <c r="E1945" s="97"/>
      <c r="F1945" s="97" t="b">
        <v>0</v>
      </c>
      <c r="G1945" s="97" t="b">
        <v>0</v>
      </c>
      <c r="H1945" s="98"/>
      <c r="I1945" s="98"/>
      <c r="J1945" s="98"/>
      <c r="K1945" s="102"/>
      <c r="L1945" s="102"/>
      <c r="M1945" s="102"/>
      <c r="N1945" s="102"/>
      <c r="O1945" s="98"/>
      <c r="P1945" s="98"/>
      <c r="Q1945" s="98"/>
    </row>
    <row r="1946">
      <c r="A1946" s="96"/>
      <c r="B1946" s="97"/>
      <c r="C1946" s="97"/>
      <c r="D1946" s="97"/>
      <c r="E1946" s="97"/>
      <c r="F1946" s="97" t="b">
        <v>0</v>
      </c>
      <c r="G1946" s="97" t="b">
        <v>0</v>
      </c>
      <c r="H1946" s="98"/>
      <c r="I1946" s="98"/>
      <c r="J1946" s="98"/>
      <c r="K1946" s="102"/>
      <c r="L1946" s="102"/>
      <c r="M1946" s="102"/>
      <c r="N1946" s="102"/>
      <c r="O1946" s="98"/>
      <c r="P1946" s="98"/>
      <c r="Q1946" s="98"/>
    </row>
    <row r="1947">
      <c r="A1947" s="96"/>
      <c r="B1947" s="97"/>
      <c r="C1947" s="97"/>
      <c r="D1947" s="97"/>
      <c r="E1947" s="97"/>
      <c r="F1947" s="97" t="b">
        <v>0</v>
      </c>
      <c r="G1947" s="97" t="b">
        <v>0</v>
      </c>
      <c r="H1947" s="98"/>
      <c r="I1947" s="98"/>
      <c r="J1947" s="98"/>
      <c r="K1947" s="102"/>
      <c r="L1947" s="102"/>
      <c r="M1947" s="102"/>
      <c r="N1947" s="102"/>
      <c r="O1947" s="98"/>
      <c r="P1947" s="98"/>
      <c r="Q1947" s="98"/>
    </row>
    <row r="1948">
      <c r="A1948" s="96"/>
      <c r="B1948" s="97"/>
      <c r="C1948" s="97"/>
      <c r="D1948" s="97"/>
      <c r="E1948" s="97"/>
      <c r="F1948" s="97" t="b">
        <v>0</v>
      </c>
      <c r="G1948" s="97" t="b">
        <v>0</v>
      </c>
      <c r="H1948" s="98"/>
      <c r="I1948" s="98"/>
      <c r="J1948" s="98"/>
      <c r="K1948" s="102"/>
      <c r="L1948" s="102"/>
      <c r="M1948" s="102"/>
      <c r="N1948" s="102"/>
      <c r="O1948" s="98"/>
      <c r="P1948" s="98"/>
      <c r="Q1948" s="98"/>
    </row>
    <row r="1949">
      <c r="A1949" s="96"/>
      <c r="B1949" s="97"/>
      <c r="C1949" s="97"/>
      <c r="D1949" s="97"/>
      <c r="E1949" s="97"/>
      <c r="F1949" s="97" t="b">
        <v>0</v>
      </c>
      <c r="G1949" s="97" t="b">
        <v>0</v>
      </c>
      <c r="H1949" s="98"/>
      <c r="I1949" s="98"/>
      <c r="J1949" s="98"/>
      <c r="K1949" s="102"/>
      <c r="L1949" s="102"/>
      <c r="M1949" s="102"/>
      <c r="N1949" s="102"/>
      <c r="O1949" s="98"/>
      <c r="P1949" s="98"/>
      <c r="Q1949" s="98"/>
    </row>
    <row r="1950">
      <c r="A1950" s="96"/>
      <c r="B1950" s="97"/>
      <c r="C1950" s="97"/>
      <c r="D1950" s="97"/>
      <c r="E1950" s="97"/>
      <c r="F1950" s="97" t="b">
        <v>0</v>
      </c>
      <c r="G1950" s="97" t="b">
        <v>0</v>
      </c>
      <c r="H1950" s="98"/>
      <c r="I1950" s="98"/>
      <c r="J1950" s="98"/>
      <c r="K1950" s="102"/>
      <c r="L1950" s="102"/>
      <c r="M1950" s="102"/>
      <c r="N1950" s="102"/>
      <c r="O1950" s="98"/>
      <c r="P1950" s="98"/>
      <c r="Q1950" s="98"/>
    </row>
    <row r="1951">
      <c r="A1951" s="96"/>
      <c r="B1951" s="97"/>
      <c r="C1951" s="97"/>
      <c r="D1951" s="97"/>
      <c r="E1951" s="97"/>
      <c r="F1951" s="97" t="b">
        <v>0</v>
      </c>
      <c r="G1951" s="97" t="b">
        <v>0</v>
      </c>
      <c r="H1951" s="98"/>
      <c r="I1951" s="98"/>
      <c r="J1951" s="98"/>
      <c r="K1951" s="102"/>
      <c r="L1951" s="102"/>
      <c r="M1951" s="102"/>
      <c r="N1951" s="102"/>
      <c r="O1951" s="98"/>
      <c r="P1951" s="98"/>
      <c r="Q1951" s="98"/>
    </row>
    <row r="1952">
      <c r="A1952" s="96"/>
      <c r="B1952" s="97"/>
      <c r="C1952" s="97"/>
      <c r="D1952" s="97"/>
      <c r="E1952" s="97"/>
      <c r="F1952" s="97" t="b">
        <v>0</v>
      </c>
      <c r="G1952" s="97" t="b">
        <v>0</v>
      </c>
      <c r="H1952" s="98"/>
      <c r="I1952" s="98"/>
      <c r="J1952" s="98"/>
      <c r="K1952" s="102"/>
      <c r="L1952" s="102"/>
      <c r="M1952" s="102"/>
      <c r="N1952" s="102"/>
      <c r="O1952" s="98"/>
      <c r="P1952" s="98"/>
      <c r="Q1952" s="98"/>
    </row>
    <row r="1953">
      <c r="A1953" s="96"/>
      <c r="B1953" s="97"/>
      <c r="C1953" s="97"/>
      <c r="D1953" s="97"/>
      <c r="E1953" s="97"/>
      <c r="F1953" s="97" t="b">
        <v>0</v>
      </c>
      <c r="G1953" s="97" t="b">
        <v>0</v>
      </c>
      <c r="H1953" s="98"/>
      <c r="I1953" s="98"/>
      <c r="J1953" s="98"/>
      <c r="K1953" s="102"/>
      <c r="L1953" s="102"/>
      <c r="M1953" s="102"/>
      <c r="N1953" s="102"/>
      <c r="O1953" s="98"/>
      <c r="P1953" s="98"/>
      <c r="Q1953" s="98"/>
    </row>
    <row r="1954">
      <c r="A1954" s="96"/>
      <c r="B1954" s="97"/>
      <c r="C1954" s="97"/>
      <c r="D1954" s="97"/>
      <c r="E1954" s="97"/>
      <c r="F1954" s="97" t="b">
        <v>0</v>
      </c>
      <c r="G1954" s="97" t="b">
        <v>0</v>
      </c>
      <c r="H1954" s="98"/>
      <c r="I1954" s="98"/>
      <c r="J1954" s="98"/>
      <c r="K1954" s="102"/>
      <c r="L1954" s="102"/>
      <c r="M1954" s="102"/>
      <c r="N1954" s="102"/>
      <c r="O1954" s="98"/>
      <c r="P1954" s="98"/>
      <c r="Q1954" s="98"/>
    </row>
    <row r="1955">
      <c r="A1955" s="96"/>
      <c r="B1955" s="97"/>
      <c r="C1955" s="97"/>
      <c r="D1955" s="97"/>
      <c r="E1955" s="97"/>
      <c r="F1955" s="97" t="b">
        <v>0</v>
      </c>
      <c r="G1955" s="97" t="b">
        <v>0</v>
      </c>
      <c r="H1955" s="98"/>
      <c r="I1955" s="98"/>
      <c r="J1955" s="98"/>
      <c r="K1955" s="102"/>
      <c r="L1955" s="102"/>
      <c r="M1955" s="102"/>
      <c r="N1955" s="102"/>
      <c r="O1955" s="98"/>
      <c r="P1955" s="98"/>
      <c r="Q1955" s="98"/>
    </row>
    <row r="1956">
      <c r="A1956" s="96"/>
      <c r="B1956" s="97"/>
      <c r="C1956" s="97"/>
      <c r="D1956" s="97"/>
      <c r="E1956" s="97"/>
      <c r="F1956" s="97" t="b">
        <v>0</v>
      </c>
      <c r="G1956" s="97" t="b">
        <v>0</v>
      </c>
      <c r="H1956" s="98"/>
      <c r="I1956" s="98"/>
      <c r="J1956" s="98"/>
      <c r="K1956" s="102"/>
      <c r="L1956" s="102"/>
      <c r="M1956" s="102"/>
      <c r="N1956" s="102"/>
      <c r="O1956" s="98"/>
      <c r="P1956" s="98"/>
      <c r="Q1956" s="98"/>
    </row>
    <row r="1957">
      <c r="A1957" s="96"/>
      <c r="B1957" s="97"/>
      <c r="C1957" s="97"/>
      <c r="D1957" s="97"/>
      <c r="E1957" s="97"/>
      <c r="F1957" s="97" t="b">
        <v>0</v>
      </c>
      <c r="G1957" s="97" t="b">
        <v>0</v>
      </c>
      <c r="H1957" s="98"/>
      <c r="I1957" s="98"/>
      <c r="J1957" s="98"/>
      <c r="K1957" s="102"/>
      <c r="L1957" s="102"/>
      <c r="M1957" s="102"/>
      <c r="N1957" s="102"/>
      <c r="O1957" s="98"/>
      <c r="P1957" s="98"/>
      <c r="Q1957" s="98"/>
    </row>
    <row r="1958">
      <c r="A1958" s="96"/>
      <c r="B1958" s="97"/>
      <c r="C1958" s="97"/>
      <c r="D1958" s="97"/>
      <c r="E1958" s="97"/>
      <c r="F1958" s="97" t="b">
        <v>0</v>
      </c>
      <c r="G1958" s="97" t="b">
        <v>0</v>
      </c>
      <c r="H1958" s="98"/>
      <c r="I1958" s="98"/>
      <c r="J1958" s="98"/>
      <c r="K1958" s="102"/>
      <c r="L1958" s="102"/>
      <c r="M1958" s="102"/>
      <c r="N1958" s="102"/>
      <c r="O1958" s="98"/>
      <c r="P1958" s="98"/>
      <c r="Q1958" s="98"/>
    </row>
    <row r="1959">
      <c r="A1959" s="96"/>
      <c r="B1959" s="97"/>
      <c r="C1959" s="97"/>
      <c r="D1959" s="97"/>
      <c r="E1959" s="97"/>
      <c r="F1959" s="97" t="b">
        <v>0</v>
      </c>
      <c r="G1959" s="97" t="b">
        <v>0</v>
      </c>
      <c r="H1959" s="98"/>
      <c r="I1959" s="98"/>
      <c r="J1959" s="98"/>
      <c r="K1959" s="102"/>
      <c r="L1959" s="102"/>
      <c r="M1959" s="102"/>
      <c r="N1959" s="102"/>
      <c r="O1959" s="98"/>
      <c r="P1959" s="98"/>
      <c r="Q1959" s="98"/>
    </row>
    <row r="1960">
      <c r="A1960" s="96"/>
      <c r="B1960" s="97"/>
      <c r="C1960" s="97"/>
      <c r="D1960" s="97"/>
      <c r="E1960" s="97"/>
      <c r="F1960" s="97" t="b">
        <v>0</v>
      </c>
      <c r="G1960" s="97" t="b">
        <v>0</v>
      </c>
      <c r="H1960" s="98"/>
      <c r="I1960" s="98"/>
      <c r="J1960" s="98"/>
      <c r="K1960" s="102"/>
      <c r="L1960" s="102"/>
      <c r="M1960" s="102"/>
      <c r="N1960" s="102"/>
      <c r="O1960" s="98"/>
      <c r="P1960" s="98"/>
      <c r="Q1960" s="98"/>
    </row>
    <row r="1961">
      <c r="A1961" s="96"/>
      <c r="B1961" s="97"/>
      <c r="C1961" s="97"/>
      <c r="D1961" s="97"/>
      <c r="E1961" s="97"/>
      <c r="F1961" s="97" t="b">
        <v>0</v>
      </c>
      <c r="G1961" s="97" t="b">
        <v>0</v>
      </c>
      <c r="H1961" s="98"/>
      <c r="I1961" s="98"/>
      <c r="J1961" s="98"/>
      <c r="K1961" s="102"/>
      <c r="L1961" s="102"/>
      <c r="M1961" s="102"/>
      <c r="N1961" s="102"/>
      <c r="O1961" s="98"/>
      <c r="P1961" s="98"/>
      <c r="Q1961" s="98"/>
    </row>
    <row r="1962">
      <c r="A1962" s="96"/>
      <c r="B1962" s="97"/>
      <c r="C1962" s="97"/>
      <c r="D1962" s="97"/>
      <c r="E1962" s="97"/>
      <c r="F1962" s="97" t="b">
        <v>0</v>
      </c>
      <c r="G1962" s="97" t="b">
        <v>0</v>
      </c>
      <c r="H1962" s="98"/>
      <c r="I1962" s="98"/>
      <c r="J1962" s="98"/>
      <c r="K1962" s="102"/>
      <c r="L1962" s="102"/>
      <c r="M1962" s="102"/>
      <c r="N1962" s="102"/>
      <c r="O1962" s="98"/>
      <c r="P1962" s="98"/>
      <c r="Q1962" s="98"/>
    </row>
    <row r="1963">
      <c r="A1963" s="96"/>
      <c r="B1963" s="97"/>
      <c r="C1963" s="97"/>
      <c r="D1963" s="97"/>
      <c r="E1963" s="97"/>
      <c r="F1963" s="97" t="b">
        <v>0</v>
      </c>
      <c r="G1963" s="97" t="b">
        <v>0</v>
      </c>
      <c r="H1963" s="98"/>
      <c r="I1963" s="98"/>
      <c r="J1963" s="98"/>
      <c r="K1963" s="102"/>
      <c r="L1963" s="102"/>
      <c r="M1963" s="102"/>
      <c r="N1963" s="102"/>
      <c r="O1963" s="98"/>
      <c r="P1963" s="98"/>
      <c r="Q1963" s="98"/>
    </row>
    <row r="1964">
      <c r="A1964" s="96"/>
      <c r="B1964" s="97"/>
      <c r="C1964" s="97"/>
      <c r="D1964" s="97"/>
      <c r="E1964" s="97"/>
      <c r="F1964" s="97" t="b">
        <v>0</v>
      </c>
      <c r="G1964" s="97" t="b">
        <v>0</v>
      </c>
      <c r="H1964" s="98"/>
      <c r="I1964" s="98"/>
      <c r="J1964" s="98"/>
      <c r="K1964" s="102"/>
      <c r="L1964" s="102"/>
      <c r="M1964" s="102"/>
      <c r="N1964" s="102"/>
      <c r="O1964" s="98"/>
      <c r="P1964" s="98"/>
      <c r="Q1964" s="98"/>
    </row>
    <row r="1965">
      <c r="A1965" s="96"/>
      <c r="B1965" s="97"/>
      <c r="C1965" s="97"/>
      <c r="D1965" s="97"/>
      <c r="E1965" s="97"/>
      <c r="F1965" s="97" t="b">
        <v>0</v>
      </c>
      <c r="G1965" s="97" t="b">
        <v>0</v>
      </c>
      <c r="H1965" s="98"/>
      <c r="I1965" s="98"/>
      <c r="J1965" s="98"/>
      <c r="K1965" s="102"/>
      <c r="L1965" s="102"/>
      <c r="M1965" s="102"/>
      <c r="N1965" s="102"/>
      <c r="O1965" s="98"/>
      <c r="P1965" s="98"/>
      <c r="Q1965" s="98"/>
    </row>
    <row r="1966">
      <c r="A1966" s="96"/>
      <c r="B1966" s="97"/>
      <c r="C1966" s="97"/>
      <c r="D1966" s="97"/>
      <c r="E1966" s="97"/>
      <c r="F1966" s="97" t="b">
        <v>0</v>
      </c>
      <c r="G1966" s="97" t="b">
        <v>0</v>
      </c>
      <c r="H1966" s="98"/>
      <c r="I1966" s="98"/>
      <c r="J1966" s="98"/>
      <c r="K1966" s="102"/>
      <c r="L1966" s="102"/>
      <c r="M1966" s="102"/>
      <c r="N1966" s="102"/>
      <c r="O1966" s="98"/>
      <c r="P1966" s="98"/>
      <c r="Q1966" s="98"/>
    </row>
    <row r="1967">
      <c r="A1967" s="96"/>
      <c r="B1967" s="97"/>
      <c r="C1967" s="97"/>
      <c r="D1967" s="97"/>
      <c r="E1967" s="97"/>
      <c r="F1967" s="97" t="b">
        <v>0</v>
      </c>
      <c r="G1967" s="97" t="b">
        <v>0</v>
      </c>
      <c r="H1967" s="98"/>
      <c r="I1967" s="98"/>
      <c r="J1967" s="98"/>
      <c r="K1967" s="102"/>
      <c r="L1967" s="102"/>
      <c r="M1967" s="102"/>
      <c r="N1967" s="102"/>
      <c r="O1967" s="98"/>
      <c r="P1967" s="98"/>
      <c r="Q1967" s="98"/>
    </row>
    <row r="1968">
      <c r="A1968" s="96"/>
      <c r="B1968" s="97"/>
      <c r="C1968" s="97"/>
      <c r="D1968" s="97"/>
      <c r="E1968" s="97"/>
      <c r="F1968" s="97" t="b">
        <v>0</v>
      </c>
      <c r="G1968" s="97" t="b">
        <v>0</v>
      </c>
      <c r="H1968" s="98"/>
      <c r="I1968" s="98"/>
      <c r="J1968" s="98"/>
      <c r="K1968" s="102"/>
      <c r="L1968" s="102"/>
      <c r="M1968" s="102"/>
      <c r="N1968" s="102"/>
      <c r="O1968" s="98"/>
      <c r="P1968" s="98"/>
      <c r="Q1968" s="98"/>
    </row>
    <row r="1969">
      <c r="A1969" s="96"/>
      <c r="B1969" s="97"/>
      <c r="C1969" s="97"/>
      <c r="D1969" s="97"/>
      <c r="E1969" s="97"/>
      <c r="F1969" s="97" t="b">
        <v>0</v>
      </c>
      <c r="G1969" s="97" t="b">
        <v>0</v>
      </c>
      <c r="H1969" s="98"/>
      <c r="I1969" s="98"/>
      <c r="J1969" s="98"/>
      <c r="K1969" s="102"/>
      <c r="L1969" s="102"/>
      <c r="M1969" s="102"/>
      <c r="N1969" s="102"/>
      <c r="O1969" s="98"/>
      <c r="P1969" s="98"/>
      <c r="Q1969" s="98"/>
    </row>
    <row r="1970">
      <c r="A1970" s="96"/>
      <c r="B1970" s="97"/>
      <c r="C1970" s="97"/>
      <c r="D1970" s="97"/>
      <c r="E1970" s="97"/>
      <c r="F1970" s="97" t="b">
        <v>0</v>
      </c>
      <c r="G1970" s="97" t="b">
        <v>0</v>
      </c>
      <c r="H1970" s="98"/>
      <c r="I1970" s="98"/>
      <c r="J1970" s="98"/>
      <c r="K1970" s="102"/>
      <c r="L1970" s="102"/>
      <c r="M1970" s="102"/>
      <c r="N1970" s="102"/>
      <c r="O1970" s="98"/>
      <c r="P1970" s="98"/>
      <c r="Q1970" s="98"/>
    </row>
    <row r="1971">
      <c r="A1971" s="96"/>
      <c r="B1971" s="97"/>
      <c r="C1971" s="97"/>
      <c r="D1971" s="97"/>
      <c r="E1971" s="97"/>
      <c r="F1971" s="97" t="b">
        <v>0</v>
      </c>
      <c r="G1971" s="97" t="b">
        <v>0</v>
      </c>
      <c r="H1971" s="98"/>
      <c r="I1971" s="98"/>
      <c r="J1971" s="98"/>
      <c r="K1971" s="102"/>
      <c r="L1971" s="102"/>
      <c r="M1971" s="102"/>
      <c r="N1971" s="102"/>
      <c r="O1971" s="98"/>
      <c r="P1971" s="98"/>
      <c r="Q1971" s="98"/>
    </row>
    <row r="1972">
      <c r="A1972" s="96"/>
      <c r="B1972" s="97"/>
      <c r="C1972" s="97"/>
      <c r="D1972" s="97"/>
      <c r="E1972" s="97"/>
      <c r="F1972" s="97" t="b">
        <v>0</v>
      </c>
      <c r="G1972" s="97" t="b">
        <v>0</v>
      </c>
      <c r="H1972" s="98"/>
      <c r="I1972" s="98"/>
      <c r="J1972" s="98"/>
      <c r="K1972" s="102"/>
      <c r="L1972" s="102"/>
      <c r="M1972" s="102"/>
      <c r="N1972" s="102"/>
      <c r="O1972" s="98"/>
      <c r="P1972" s="98"/>
      <c r="Q1972" s="98"/>
    </row>
    <row r="1973">
      <c r="A1973" s="96"/>
      <c r="B1973" s="97"/>
      <c r="C1973" s="97"/>
      <c r="D1973" s="97"/>
      <c r="E1973" s="97"/>
      <c r="F1973" s="97" t="b">
        <v>0</v>
      </c>
      <c r="G1973" s="97" t="b">
        <v>0</v>
      </c>
      <c r="H1973" s="98"/>
      <c r="I1973" s="98"/>
      <c r="J1973" s="98"/>
      <c r="K1973" s="102"/>
      <c r="L1973" s="102"/>
      <c r="M1973" s="102"/>
      <c r="N1973" s="102"/>
      <c r="O1973" s="98"/>
      <c r="P1973" s="98"/>
      <c r="Q1973" s="98"/>
    </row>
    <row r="1974">
      <c r="A1974" s="96"/>
      <c r="B1974" s="97"/>
      <c r="C1974" s="97"/>
      <c r="D1974" s="97"/>
      <c r="E1974" s="97"/>
      <c r="F1974" s="97" t="b">
        <v>0</v>
      </c>
      <c r="G1974" s="97" t="b">
        <v>0</v>
      </c>
      <c r="H1974" s="98"/>
      <c r="I1974" s="98"/>
      <c r="J1974" s="98"/>
      <c r="K1974" s="102"/>
      <c r="L1974" s="102"/>
      <c r="M1974" s="102"/>
      <c r="N1974" s="102"/>
      <c r="O1974" s="98"/>
      <c r="P1974" s="98"/>
      <c r="Q1974" s="98"/>
    </row>
    <row r="1975">
      <c r="A1975" s="96"/>
      <c r="B1975" s="97"/>
      <c r="C1975" s="97"/>
      <c r="D1975" s="97"/>
      <c r="E1975" s="97"/>
      <c r="F1975" s="97" t="b">
        <v>0</v>
      </c>
      <c r="G1975" s="97" t="b">
        <v>0</v>
      </c>
      <c r="H1975" s="98"/>
      <c r="I1975" s="98"/>
      <c r="J1975" s="98"/>
      <c r="K1975" s="102"/>
      <c r="L1975" s="102"/>
      <c r="M1975" s="102"/>
      <c r="N1975" s="102"/>
      <c r="O1975" s="98"/>
      <c r="P1975" s="98"/>
      <c r="Q1975" s="98"/>
    </row>
    <row r="1976">
      <c r="A1976" s="96"/>
      <c r="B1976" s="97"/>
      <c r="C1976" s="97"/>
      <c r="D1976" s="97"/>
      <c r="E1976" s="97"/>
      <c r="F1976" s="97" t="b">
        <v>0</v>
      </c>
      <c r="G1976" s="97" t="b">
        <v>0</v>
      </c>
      <c r="H1976" s="98"/>
      <c r="I1976" s="98"/>
      <c r="J1976" s="98"/>
      <c r="K1976" s="102"/>
      <c r="L1976" s="102"/>
      <c r="M1976" s="102"/>
      <c r="N1976" s="102"/>
      <c r="O1976" s="98"/>
      <c r="P1976" s="98"/>
      <c r="Q1976" s="98"/>
    </row>
    <row r="1977">
      <c r="A1977" s="96"/>
      <c r="B1977" s="97"/>
      <c r="C1977" s="97"/>
      <c r="D1977" s="97"/>
      <c r="E1977" s="97"/>
      <c r="F1977" s="97" t="b">
        <v>0</v>
      </c>
      <c r="G1977" s="97" t="b">
        <v>0</v>
      </c>
      <c r="H1977" s="98"/>
      <c r="I1977" s="98"/>
      <c r="J1977" s="98"/>
      <c r="K1977" s="102"/>
      <c r="L1977" s="102"/>
      <c r="M1977" s="102"/>
      <c r="N1977" s="102"/>
      <c r="O1977" s="98"/>
      <c r="P1977" s="98"/>
      <c r="Q1977" s="98"/>
    </row>
    <row r="1978">
      <c r="A1978" s="96"/>
      <c r="B1978" s="97"/>
      <c r="C1978" s="97"/>
      <c r="D1978" s="97"/>
      <c r="E1978" s="97"/>
      <c r="F1978" s="97" t="b">
        <v>0</v>
      </c>
      <c r="G1978" s="97" t="b">
        <v>0</v>
      </c>
      <c r="H1978" s="98"/>
      <c r="I1978" s="98"/>
      <c r="J1978" s="98"/>
      <c r="K1978" s="102"/>
      <c r="L1978" s="102"/>
      <c r="M1978" s="102"/>
      <c r="N1978" s="102"/>
      <c r="O1978" s="98"/>
      <c r="P1978" s="98"/>
      <c r="Q1978" s="98"/>
    </row>
    <row r="1979">
      <c r="A1979" s="96"/>
      <c r="B1979" s="97"/>
      <c r="C1979" s="97"/>
      <c r="D1979" s="97"/>
      <c r="E1979" s="97"/>
      <c r="F1979" s="97" t="b">
        <v>0</v>
      </c>
      <c r="G1979" s="97" t="b">
        <v>0</v>
      </c>
      <c r="H1979" s="98"/>
      <c r="I1979" s="98"/>
      <c r="J1979" s="98"/>
      <c r="K1979" s="102"/>
      <c r="L1979" s="102"/>
      <c r="M1979" s="102"/>
      <c r="N1979" s="102"/>
      <c r="O1979" s="98"/>
      <c r="P1979" s="98"/>
      <c r="Q1979" s="98"/>
    </row>
    <row r="1980">
      <c r="A1980" s="96"/>
      <c r="B1980" s="97"/>
      <c r="C1980" s="97"/>
      <c r="D1980" s="97"/>
      <c r="E1980" s="97"/>
      <c r="F1980" s="97" t="b">
        <v>0</v>
      </c>
      <c r="G1980" s="97" t="b">
        <v>0</v>
      </c>
      <c r="H1980" s="98"/>
      <c r="I1980" s="98"/>
      <c r="J1980" s="98"/>
      <c r="K1980" s="102"/>
      <c r="L1980" s="102"/>
      <c r="M1980" s="102"/>
      <c r="N1980" s="102"/>
      <c r="O1980" s="98"/>
      <c r="P1980" s="98"/>
      <c r="Q1980" s="98"/>
    </row>
    <row r="1981">
      <c r="A1981" s="96"/>
      <c r="B1981" s="97"/>
      <c r="C1981" s="97"/>
      <c r="D1981" s="97"/>
      <c r="E1981" s="97"/>
      <c r="F1981" s="97" t="b">
        <v>0</v>
      </c>
      <c r="G1981" s="97" t="b">
        <v>0</v>
      </c>
      <c r="H1981" s="98"/>
      <c r="I1981" s="98"/>
      <c r="J1981" s="98"/>
      <c r="K1981" s="102"/>
      <c r="L1981" s="102"/>
      <c r="M1981" s="102"/>
      <c r="N1981" s="102"/>
      <c r="O1981" s="98"/>
      <c r="P1981" s="98"/>
      <c r="Q1981" s="98"/>
    </row>
    <row r="1982">
      <c r="A1982" s="96"/>
      <c r="B1982" s="97"/>
      <c r="C1982" s="97"/>
      <c r="D1982" s="97"/>
      <c r="E1982" s="97"/>
      <c r="F1982" s="97" t="b">
        <v>0</v>
      </c>
      <c r="G1982" s="97" t="b">
        <v>0</v>
      </c>
      <c r="H1982" s="98"/>
      <c r="I1982" s="98"/>
      <c r="J1982" s="98"/>
      <c r="K1982" s="102"/>
      <c r="L1982" s="102"/>
      <c r="M1982" s="102"/>
      <c r="N1982" s="102"/>
      <c r="O1982" s="98"/>
      <c r="P1982" s="98"/>
      <c r="Q1982" s="98"/>
    </row>
    <row r="1983">
      <c r="A1983" s="96"/>
      <c r="B1983" s="97"/>
      <c r="C1983" s="97"/>
      <c r="D1983" s="97"/>
      <c r="E1983" s="97"/>
      <c r="F1983" s="97" t="b">
        <v>0</v>
      </c>
      <c r="G1983" s="97" t="b">
        <v>0</v>
      </c>
      <c r="H1983" s="98"/>
      <c r="I1983" s="98"/>
      <c r="J1983" s="98"/>
      <c r="K1983" s="102"/>
      <c r="L1983" s="102"/>
      <c r="M1983" s="102"/>
      <c r="N1983" s="102"/>
      <c r="O1983" s="98"/>
      <c r="P1983" s="98"/>
      <c r="Q1983" s="98"/>
    </row>
    <row r="1984">
      <c r="A1984" s="96"/>
      <c r="B1984" s="97"/>
      <c r="C1984" s="97"/>
      <c r="D1984" s="97"/>
      <c r="E1984" s="97"/>
      <c r="F1984" s="97" t="b">
        <v>0</v>
      </c>
      <c r="G1984" s="97" t="b">
        <v>0</v>
      </c>
      <c r="H1984" s="98"/>
      <c r="I1984" s="98"/>
      <c r="J1984" s="98"/>
      <c r="K1984" s="102"/>
      <c r="L1984" s="102"/>
      <c r="M1984" s="102"/>
      <c r="N1984" s="102"/>
      <c r="O1984" s="98"/>
      <c r="P1984" s="98"/>
      <c r="Q1984" s="98"/>
    </row>
    <row r="1985">
      <c r="A1985" s="96"/>
      <c r="B1985" s="97"/>
      <c r="C1985" s="97"/>
      <c r="D1985" s="97"/>
      <c r="E1985" s="97"/>
      <c r="F1985" s="97" t="b">
        <v>0</v>
      </c>
      <c r="G1985" s="97" t="b">
        <v>0</v>
      </c>
      <c r="H1985" s="98"/>
      <c r="I1985" s="98"/>
      <c r="J1985" s="98"/>
      <c r="K1985" s="102"/>
      <c r="L1985" s="102"/>
      <c r="M1985" s="102"/>
      <c r="N1985" s="102"/>
      <c r="O1985" s="98"/>
      <c r="P1985" s="98"/>
      <c r="Q1985" s="98"/>
    </row>
    <row r="1986">
      <c r="A1986" s="96"/>
      <c r="B1986" s="97"/>
      <c r="C1986" s="97"/>
      <c r="D1986" s="97"/>
      <c r="E1986" s="97"/>
      <c r="F1986" s="97" t="b">
        <v>0</v>
      </c>
      <c r="G1986" s="97" t="b">
        <v>0</v>
      </c>
      <c r="H1986" s="98"/>
      <c r="I1986" s="98"/>
      <c r="J1986" s="98"/>
      <c r="K1986" s="102"/>
      <c r="L1986" s="102"/>
      <c r="M1986" s="102"/>
      <c r="N1986" s="102"/>
      <c r="O1986" s="98"/>
      <c r="P1986" s="98"/>
      <c r="Q1986" s="98"/>
    </row>
    <row r="1987">
      <c r="A1987" s="96"/>
      <c r="B1987" s="97"/>
      <c r="C1987" s="97"/>
      <c r="D1987" s="97"/>
      <c r="E1987" s="97"/>
      <c r="F1987" s="97" t="b">
        <v>0</v>
      </c>
      <c r="G1987" s="97" t="b">
        <v>0</v>
      </c>
      <c r="H1987" s="98"/>
      <c r="I1987" s="98"/>
      <c r="J1987" s="98"/>
      <c r="K1987" s="102"/>
      <c r="L1987" s="102"/>
      <c r="M1987" s="102"/>
      <c r="N1987" s="102"/>
      <c r="O1987" s="98"/>
      <c r="P1987" s="98"/>
      <c r="Q1987" s="98"/>
    </row>
    <row r="1988">
      <c r="A1988" s="96"/>
      <c r="B1988" s="97"/>
      <c r="C1988" s="97"/>
      <c r="D1988" s="97"/>
      <c r="E1988" s="97"/>
      <c r="F1988" s="97" t="b">
        <v>0</v>
      </c>
      <c r="G1988" s="97" t="b">
        <v>0</v>
      </c>
      <c r="H1988" s="98"/>
      <c r="I1988" s="98"/>
      <c r="J1988" s="98"/>
      <c r="K1988" s="102"/>
      <c r="L1988" s="102"/>
      <c r="M1988" s="102"/>
      <c r="N1988" s="102"/>
      <c r="O1988" s="98"/>
      <c r="P1988" s="98"/>
      <c r="Q1988" s="98"/>
    </row>
    <row r="1989">
      <c r="A1989" s="96"/>
      <c r="B1989" s="97"/>
      <c r="C1989" s="97"/>
      <c r="D1989" s="97"/>
      <c r="E1989" s="97"/>
      <c r="F1989" s="97" t="b">
        <v>0</v>
      </c>
      <c r="G1989" s="97" t="b">
        <v>0</v>
      </c>
      <c r="H1989" s="98"/>
      <c r="I1989" s="98"/>
      <c r="J1989" s="98"/>
      <c r="K1989" s="102"/>
      <c r="L1989" s="102"/>
      <c r="M1989" s="102"/>
      <c r="N1989" s="102"/>
      <c r="O1989" s="98"/>
      <c r="P1989" s="98"/>
      <c r="Q1989" s="98"/>
    </row>
    <row r="1990">
      <c r="A1990" s="96"/>
      <c r="B1990" s="97"/>
      <c r="C1990" s="97"/>
      <c r="D1990" s="97"/>
      <c r="E1990" s="97"/>
      <c r="F1990" s="97" t="b">
        <v>0</v>
      </c>
      <c r="G1990" s="97" t="b">
        <v>0</v>
      </c>
      <c r="H1990" s="98"/>
      <c r="I1990" s="98"/>
      <c r="J1990" s="98"/>
      <c r="K1990" s="102"/>
      <c r="L1990" s="102"/>
      <c r="M1990" s="102"/>
      <c r="N1990" s="102"/>
      <c r="O1990" s="98"/>
      <c r="P1990" s="98"/>
      <c r="Q1990" s="98"/>
    </row>
    <row r="1991">
      <c r="A1991" s="96"/>
      <c r="B1991" s="97"/>
      <c r="C1991" s="97"/>
      <c r="D1991" s="97"/>
      <c r="E1991" s="97"/>
      <c r="F1991" s="97" t="b">
        <v>0</v>
      </c>
      <c r="G1991" s="97" t="b">
        <v>0</v>
      </c>
      <c r="H1991" s="98"/>
      <c r="I1991" s="98"/>
      <c r="J1991" s="98"/>
      <c r="K1991" s="102"/>
      <c r="L1991" s="102"/>
      <c r="M1991" s="102"/>
      <c r="N1991" s="102"/>
      <c r="O1991" s="98"/>
      <c r="P1991" s="98"/>
      <c r="Q1991" s="98"/>
    </row>
    <row r="1992">
      <c r="A1992" s="96"/>
      <c r="B1992" s="97"/>
      <c r="C1992" s="97"/>
      <c r="D1992" s="97"/>
      <c r="E1992" s="97"/>
      <c r="F1992" s="97" t="b">
        <v>0</v>
      </c>
      <c r="G1992" s="97" t="b">
        <v>0</v>
      </c>
      <c r="H1992" s="98"/>
      <c r="I1992" s="98"/>
      <c r="J1992" s="98"/>
      <c r="K1992" s="102"/>
      <c r="L1992" s="102"/>
      <c r="M1992" s="102"/>
      <c r="N1992" s="102"/>
      <c r="O1992" s="98"/>
      <c r="P1992" s="98"/>
      <c r="Q1992" s="98"/>
    </row>
    <row r="1993">
      <c r="A1993" s="96"/>
      <c r="B1993" s="97"/>
      <c r="C1993" s="97"/>
      <c r="D1993" s="97"/>
      <c r="E1993" s="97"/>
      <c r="F1993" s="97" t="b">
        <v>0</v>
      </c>
      <c r="G1993" s="97" t="b">
        <v>0</v>
      </c>
      <c r="H1993" s="98"/>
      <c r="I1993" s="98"/>
      <c r="J1993" s="98"/>
      <c r="K1993" s="102"/>
      <c r="L1993" s="102"/>
      <c r="M1993" s="102"/>
      <c r="N1993" s="102"/>
      <c r="O1993" s="98"/>
      <c r="P1993" s="98"/>
      <c r="Q1993" s="98"/>
    </row>
    <row r="1994">
      <c r="A1994" s="96"/>
      <c r="B1994" s="97"/>
      <c r="C1994" s="97"/>
      <c r="D1994" s="97"/>
      <c r="E1994" s="97"/>
      <c r="F1994" s="97" t="b">
        <v>0</v>
      </c>
      <c r="G1994" s="97" t="b">
        <v>0</v>
      </c>
      <c r="H1994" s="98"/>
      <c r="I1994" s="98"/>
      <c r="J1994" s="98"/>
      <c r="K1994" s="102"/>
      <c r="L1994" s="102"/>
      <c r="M1994" s="102"/>
      <c r="N1994" s="102"/>
      <c r="O1994" s="98"/>
      <c r="P1994" s="98"/>
      <c r="Q1994" s="98"/>
    </row>
    <row r="1995">
      <c r="A1995" s="96"/>
      <c r="B1995" s="97"/>
      <c r="C1995" s="97"/>
      <c r="D1995" s="97"/>
      <c r="E1995" s="97"/>
      <c r="F1995" s="97" t="b">
        <v>0</v>
      </c>
      <c r="G1995" s="97" t="b">
        <v>0</v>
      </c>
      <c r="H1995" s="98"/>
      <c r="I1995" s="98"/>
      <c r="J1995" s="98"/>
      <c r="K1995" s="102"/>
      <c r="L1995" s="102"/>
      <c r="M1995" s="102"/>
      <c r="N1995" s="102"/>
      <c r="O1995" s="98"/>
      <c r="P1995" s="98"/>
      <c r="Q1995" s="98"/>
    </row>
    <row r="1996">
      <c r="A1996" s="96"/>
      <c r="B1996" s="97"/>
      <c r="C1996" s="97"/>
      <c r="D1996" s="97"/>
      <c r="E1996" s="97"/>
      <c r="F1996" s="97" t="b">
        <v>0</v>
      </c>
      <c r="G1996" s="97" t="b">
        <v>0</v>
      </c>
      <c r="H1996" s="98"/>
      <c r="I1996" s="98"/>
      <c r="J1996" s="98"/>
      <c r="K1996" s="102"/>
      <c r="L1996" s="102"/>
      <c r="M1996" s="102"/>
      <c r="N1996" s="102"/>
      <c r="O1996" s="98"/>
      <c r="P1996" s="98"/>
      <c r="Q1996" s="98"/>
    </row>
    <row r="1997">
      <c r="A1997" s="96"/>
      <c r="B1997" s="97"/>
      <c r="C1997" s="97"/>
      <c r="D1997" s="97"/>
      <c r="E1997" s="97"/>
      <c r="F1997" s="97" t="b">
        <v>0</v>
      </c>
      <c r="G1997" s="97" t="b">
        <v>0</v>
      </c>
      <c r="H1997" s="98"/>
      <c r="I1997" s="98"/>
      <c r="J1997" s="98"/>
      <c r="K1997" s="102"/>
      <c r="L1997" s="102"/>
      <c r="M1997" s="102"/>
      <c r="N1997" s="102"/>
      <c r="O1997" s="98"/>
      <c r="P1997" s="98"/>
      <c r="Q1997" s="98"/>
    </row>
    <row r="1998">
      <c r="A1998" s="96"/>
      <c r="B1998" s="97"/>
      <c r="C1998" s="97"/>
      <c r="D1998" s="97"/>
      <c r="E1998" s="97"/>
      <c r="F1998" s="97" t="b">
        <v>0</v>
      </c>
      <c r="G1998" s="97" t="b">
        <v>0</v>
      </c>
      <c r="H1998" s="98"/>
      <c r="I1998" s="98"/>
      <c r="J1998" s="98"/>
      <c r="K1998" s="102"/>
      <c r="L1998" s="102"/>
      <c r="M1998" s="102"/>
      <c r="N1998" s="102"/>
      <c r="O1998" s="98"/>
      <c r="P1998" s="98"/>
      <c r="Q1998" s="98"/>
    </row>
    <row r="1999">
      <c r="A1999" s="96"/>
      <c r="B1999" s="97"/>
      <c r="C1999" s="97"/>
      <c r="D1999" s="97"/>
      <c r="E1999" s="97"/>
      <c r="F1999" s="97" t="b">
        <v>0</v>
      </c>
      <c r="G1999" s="97" t="b">
        <v>0</v>
      </c>
      <c r="H1999" s="98"/>
      <c r="I1999" s="98"/>
      <c r="J1999" s="98"/>
      <c r="K1999" s="102"/>
      <c r="L1999" s="102"/>
      <c r="M1999" s="102"/>
      <c r="N1999" s="102"/>
      <c r="O1999" s="98"/>
      <c r="P1999" s="98"/>
      <c r="Q1999" s="98"/>
    </row>
    <row r="2000">
      <c r="A2000" s="96"/>
      <c r="B2000" s="97"/>
      <c r="C2000" s="97"/>
      <c r="D2000" s="97"/>
      <c r="E2000" s="97"/>
      <c r="F2000" s="97" t="b">
        <v>0</v>
      </c>
      <c r="G2000" s="97" t="b">
        <v>0</v>
      </c>
      <c r="H2000" s="98"/>
      <c r="I2000" s="98"/>
      <c r="J2000" s="98"/>
      <c r="K2000" s="102"/>
      <c r="L2000" s="102"/>
      <c r="M2000" s="102"/>
      <c r="N2000" s="102"/>
      <c r="O2000" s="98"/>
      <c r="P2000" s="98"/>
      <c r="Q2000" s="98"/>
    </row>
    <row r="2001">
      <c r="A2001" s="96"/>
      <c r="B2001" s="97"/>
      <c r="C2001" s="97"/>
      <c r="D2001" s="97"/>
      <c r="E2001" s="97"/>
      <c r="F2001" s="97" t="b">
        <v>0</v>
      </c>
      <c r="G2001" s="97" t="b">
        <v>0</v>
      </c>
      <c r="H2001" s="98"/>
      <c r="I2001" s="98"/>
      <c r="J2001" s="98"/>
      <c r="K2001" s="102"/>
      <c r="L2001" s="102"/>
      <c r="M2001" s="102"/>
      <c r="N2001" s="102"/>
      <c r="O2001" s="98"/>
      <c r="P2001" s="98"/>
      <c r="Q2001" s="98"/>
    </row>
    <row r="2002">
      <c r="A2002" s="96"/>
      <c r="B2002" s="97"/>
      <c r="C2002" s="97"/>
      <c r="D2002" s="97"/>
      <c r="E2002" s="97"/>
      <c r="F2002" s="97" t="b">
        <v>0</v>
      </c>
      <c r="G2002" s="97" t="b">
        <v>0</v>
      </c>
      <c r="H2002" s="98"/>
      <c r="I2002" s="98"/>
      <c r="J2002" s="98"/>
      <c r="K2002" s="102"/>
      <c r="L2002" s="102"/>
      <c r="M2002" s="102"/>
      <c r="N2002" s="102"/>
      <c r="O2002" s="98"/>
      <c r="P2002" s="98"/>
      <c r="Q2002" s="98"/>
    </row>
    <row r="2003">
      <c r="A2003" s="96"/>
      <c r="B2003" s="97"/>
      <c r="C2003" s="97"/>
      <c r="D2003" s="97"/>
      <c r="E2003" s="97"/>
      <c r="F2003" s="97" t="b">
        <v>0</v>
      </c>
      <c r="G2003" s="97" t="b">
        <v>0</v>
      </c>
      <c r="H2003" s="98"/>
      <c r="I2003" s="98"/>
      <c r="J2003" s="98"/>
      <c r="K2003" s="102"/>
      <c r="L2003" s="102"/>
      <c r="M2003" s="102"/>
      <c r="N2003" s="102"/>
      <c r="O2003" s="98"/>
      <c r="P2003" s="98"/>
      <c r="Q2003" s="98"/>
    </row>
    <row r="2004">
      <c r="A2004" s="96"/>
      <c r="B2004" s="97"/>
      <c r="C2004" s="97"/>
      <c r="D2004" s="97"/>
      <c r="E2004" s="97"/>
      <c r="F2004" s="97" t="b">
        <v>0</v>
      </c>
      <c r="G2004" s="97" t="b">
        <v>0</v>
      </c>
      <c r="H2004" s="98"/>
      <c r="I2004" s="98"/>
      <c r="J2004" s="98"/>
      <c r="K2004" s="102"/>
      <c r="L2004" s="102"/>
      <c r="M2004" s="102"/>
      <c r="N2004" s="102"/>
      <c r="O2004" s="98"/>
      <c r="P2004" s="98"/>
      <c r="Q2004" s="98"/>
    </row>
    <row r="2005">
      <c r="A2005" s="96"/>
      <c r="B2005" s="97"/>
      <c r="C2005" s="97"/>
      <c r="D2005" s="97"/>
      <c r="E2005" s="97"/>
      <c r="F2005" s="97" t="b">
        <v>0</v>
      </c>
      <c r="G2005" s="97" t="b">
        <v>0</v>
      </c>
      <c r="H2005" s="98"/>
      <c r="I2005" s="98"/>
      <c r="J2005" s="98"/>
      <c r="K2005" s="102"/>
      <c r="L2005" s="102"/>
      <c r="M2005" s="102"/>
      <c r="N2005" s="102"/>
      <c r="O2005" s="98"/>
      <c r="P2005" s="98"/>
      <c r="Q2005" s="98"/>
    </row>
    <row r="2006">
      <c r="A2006" s="96"/>
      <c r="B2006" s="97"/>
      <c r="C2006" s="97"/>
      <c r="D2006" s="97"/>
      <c r="E2006" s="97"/>
      <c r="F2006" s="97" t="b">
        <v>0</v>
      </c>
      <c r="G2006" s="97" t="b">
        <v>0</v>
      </c>
      <c r="H2006" s="98"/>
      <c r="I2006" s="98"/>
      <c r="J2006" s="98"/>
      <c r="K2006" s="102"/>
      <c r="L2006" s="102"/>
      <c r="M2006" s="102"/>
      <c r="N2006" s="102"/>
      <c r="O2006" s="98"/>
      <c r="P2006" s="98"/>
      <c r="Q2006" s="98"/>
    </row>
    <row r="2007">
      <c r="A2007" s="96"/>
      <c r="B2007" s="97"/>
      <c r="C2007" s="97"/>
      <c r="D2007" s="97"/>
      <c r="E2007" s="97"/>
      <c r="F2007" s="97" t="b">
        <v>0</v>
      </c>
      <c r="G2007" s="97" t="b">
        <v>0</v>
      </c>
      <c r="H2007" s="98"/>
      <c r="I2007" s="98"/>
      <c r="J2007" s="98"/>
      <c r="K2007" s="102"/>
      <c r="L2007" s="102"/>
      <c r="M2007" s="102"/>
      <c r="N2007" s="102"/>
      <c r="O2007" s="98"/>
      <c r="P2007" s="98"/>
      <c r="Q2007" s="98"/>
    </row>
    <row r="2008">
      <c r="A2008" s="96"/>
      <c r="B2008" s="97"/>
      <c r="C2008" s="97"/>
      <c r="D2008" s="97"/>
      <c r="E2008" s="97"/>
      <c r="F2008" s="97" t="b">
        <v>0</v>
      </c>
      <c r="G2008" s="97" t="b">
        <v>0</v>
      </c>
      <c r="H2008" s="98"/>
      <c r="I2008" s="98"/>
      <c r="J2008" s="98"/>
      <c r="K2008" s="102"/>
      <c r="L2008" s="102"/>
      <c r="M2008" s="102"/>
      <c r="N2008" s="102"/>
      <c r="O2008" s="98"/>
      <c r="P2008" s="98"/>
      <c r="Q2008" s="98"/>
    </row>
    <row r="2009">
      <c r="A2009" s="96"/>
      <c r="B2009" s="97"/>
      <c r="C2009" s="97"/>
      <c r="D2009" s="97"/>
      <c r="E2009" s="97"/>
      <c r="F2009" s="97" t="b">
        <v>0</v>
      </c>
      <c r="G2009" s="97" t="b">
        <v>0</v>
      </c>
      <c r="H2009" s="98"/>
      <c r="I2009" s="98"/>
      <c r="J2009" s="98"/>
      <c r="K2009" s="102"/>
      <c r="L2009" s="102"/>
      <c r="M2009" s="102"/>
      <c r="N2009" s="102"/>
      <c r="O2009" s="98"/>
      <c r="P2009" s="98"/>
      <c r="Q2009" s="98"/>
    </row>
    <row r="2010">
      <c r="A2010" s="96"/>
      <c r="B2010" s="97"/>
      <c r="C2010" s="97"/>
      <c r="D2010" s="97"/>
      <c r="E2010" s="97"/>
      <c r="F2010" s="97" t="b">
        <v>0</v>
      </c>
      <c r="G2010" s="97" t="b">
        <v>0</v>
      </c>
      <c r="H2010" s="98"/>
      <c r="I2010" s="98"/>
      <c r="J2010" s="98"/>
      <c r="K2010" s="102"/>
      <c r="L2010" s="102"/>
      <c r="M2010" s="102"/>
      <c r="N2010" s="102"/>
      <c r="O2010" s="98"/>
      <c r="P2010" s="98"/>
      <c r="Q2010" s="98"/>
    </row>
    <row r="2011">
      <c r="A2011" s="96"/>
      <c r="B2011" s="97"/>
      <c r="C2011" s="97"/>
      <c r="D2011" s="97"/>
      <c r="E2011" s="97"/>
      <c r="F2011" s="97" t="b">
        <v>0</v>
      </c>
      <c r="G2011" s="97" t="b">
        <v>0</v>
      </c>
      <c r="H2011" s="98"/>
      <c r="I2011" s="98"/>
      <c r="J2011" s="98"/>
      <c r="K2011" s="102"/>
      <c r="L2011" s="102"/>
      <c r="M2011" s="102"/>
      <c r="N2011" s="102"/>
      <c r="O2011" s="98"/>
      <c r="P2011" s="98"/>
      <c r="Q2011" s="98"/>
    </row>
    <row r="2012">
      <c r="A2012" s="96"/>
      <c r="B2012" s="97"/>
      <c r="C2012" s="97"/>
      <c r="D2012" s="97"/>
      <c r="E2012" s="97"/>
      <c r="F2012" s="97" t="b">
        <v>0</v>
      </c>
      <c r="G2012" s="97" t="b">
        <v>0</v>
      </c>
      <c r="H2012" s="98"/>
      <c r="I2012" s="98"/>
      <c r="J2012" s="98"/>
      <c r="K2012" s="102"/>
      <c r="L2012" s="102"/>
      <c r="M2012" s="102"/>
      <c r="N2012" s="102"/>
      <c r="O2012" s="98"/>
      <c r="P2012" s="98"/>
      <c r="Q2012" s="98"/>
    </row>
    <row r="2013">
      <c r="A2013" s="96"/>
      <c r="B2013" s="97"/>
      <c r="C2013" s="97"/>
      <c r="D2013" s="97"/>
      <c r="E2013" s="97"/>
      <c r="F2013" s="97" t="b">
        <v>0</v>
      </c>
      <c r="G2013" s="97" t="b">
        <v>0</v>
      </c>
      <c r="H2013" s="98"/>
      <c r="I2013" s="98"/>
      <c r="J2013" s="98"/>
      <c r="K2013" s="102"/>
      <c r="L2013" s="102"/>
      <c r="M2013" s="102"/>
      <c r="N2013" s="102"/>
      <c r="O2013" s="98"/>
      <c r="P2013" s="98"/>
      <c r="Q2013" s="98"/>
    </row>
    <row r="2014">
      <c r="A2014" s="96"/>
      <c r="B2014" s="97"/>
      <c r="C2014" s="97"/>
      <c r="D2014" s="97"/>
      <c r="E2014" s="97"/>
      <c r="F2014" s="97" t="b">
        <v>0</v>
      </c>
      <c r="G2014" s="97" t="b">
        <v>0</v>
      </c>
      <c r="H2014" s="98"/>
      <c r="I2014" s="98"/>
      <c r="J2014" s="98"/>
      <c r="K2014" s="102"/>
      <c r="L2014" s="102"/>
      <c r="M2014" s="102"/>
      <c r="N2014" s="102"/>
      <c r="O2014" s="98"/>
      <c r="P2014" s="98"/>
      <c r="Q2014" s="98"/>
    </row>
    <row r="2015">
      <c r="A2015" s="96"/>
      <c r="B2015" s="97"/>
      <c r="C2015" s="97"/>
      <c r="D2015" s="97"/>
      <c r="E2015" s="97"/>
      <c r="F2015" s="97" t="b">
        <v>0</v>
      </c>
      <c r="G2015" s="97" t="b">
        <v>0</v>
      </c>
      <c r="H2015" s="98"/>
      <c r="I2015" s="98"/>
      <c r="J2015" s="98"/>
      <c r="K2015" s="102"/>
      <c r="L2015" s="102"/>
      <c r="M2015" s="102"/>
      <c r="N2015" s="102"/>
      <c r="O2015" s="98"/>
      <c r="P2015" s="98"/>
      <c r="Q2015" s="98"/>
    </row>
    <row r="2016">
      <c r="A2016" s="96"/>
      <c r="B2016" s="97"/>
      <c r="C2016" s="97"/>
      <c r="D2016" s="97"/>
      <c r="E2016" s="97"/>
      <c r="F2016" s="97" t="b">
        <v>0</v>
      </c>
      <c r="G2016" s="97" t="b">
        <v>0</v>
      </c>
      <c r="H2016" s="98"/>
      <c r="I2016" s="98"/>
      <c r="J2016" s="98"/>
      <c r="K2016" s="102"/>
      <c r="L2016" s="102"/>
      <c r="M2016" s="102"/>
      <c r="N2016" s="102"/>
      <c r="O2016" s="98"/>
      <c r="P2016" s="98"/>
      <c r="Q2016" s="98"/>
    </row>
    <row r="2017">
      <c r="A2017" s="96"/>
      <c r="B2017" s="97"/>
      <c r="C2017" s="97"/>
      <c r="D2017" s="97"/>
      <c r="E2017" s="97"/>
      <c r="F2017" s="97" t="b">
        <v>0</v>
      </c>
      <c r="G2017" s="97" t="b">
        <v>0</v>
      </c>
      <c r="H2017" s="98"/>
      <c r="I2017" s="98"/>
      <c r="J2017" s="98"/>
      <c r="K2017" s="102"/>
      <c r="L2017" s="102"/>
      <c r="M2017" s="102"/>
      <c r="N2017" s="102"/>
      <c r="O2017" s="98"/>
      <c r="P2017" s="98"/>
      <c r="Q2017" s="98"/>
    </row>
    <row r="2018">
      <c r="A2018" s="96"/>
      <c r="B2018" s="97"/>
      <c r="C2018" s="97"/>
      <c r="D2018" s="97"/>
      <c r="E2018" s="97"/>
      <c r="F2018" s="97" t="b">
        <v>0</v>
      </c>
      <c r="G2018" s="97" t="b">
        <v>0</v>
      </c>
      <c r="H2018" s="98"/>
      <c r="I2018" s="98"/>
      <c r="J2018" s="98"/>
      <c r="K2018" s="102"/>
      <c r="L2018" s="102"/>
      <c r="M2018" s="102"/>
      <c r="N2018" s="102"/>
      <c r="O2018" s="98"/>
      <c r="P2018" s="98"/>
      <c r="Q2018" s="98"/>
    </row>
    <row r="2019">
      <c r="A2019" s="96"/>
      <c r="B2019" s="97"/>
      <c r="C2019" s="97"/>
      <c r="D2019" s="97"/>
      <c r="E2019" s="97"/>
      <c r="F2019" s="97" t="b">
        <v>0</v>
      </c>
      <c r="G2019" s="97" t="b">
        <v>0</v>
      </c>
      <c r="H2019" s="98"/>
      <c r="I2019" s="98"/>
      <c r="J2019" s="98"/>
      <c r="K2019" s="102"/>
      <c r="L2019" s="102"/>
      <c r="M2019" s="102"/>
      <c r="N2019" s="102"/>
      <c r="O2019" s="98"/>
      <c r="P2019" s="98"/>
      <c r="Q2019" s="98"/>
    </row>
    <row r="2020">
      <c r="A2020" s="96"/>
      <c r="B2020" s="97"/>
      <c r="C2020" s="97"/>
      <c r="D2020" s="97"/>
      <c r="E2020" s="97"/>
      <c r="F2020" s="97" t="b">
        <v>0</v>
      </c>
      <c r="G2020" s="97" t="b">
        <v>0</v>
      </c>
      <c r="H2020" s="98"/>
      <c r="I2020" s="98"/>
      <c r="J2020" s="98"/>
      <c r="K2020" s="102"/>
      <c r="L2020" s="102"/>
      <c r="M2020" s="102"/>
      <c r="N2020" s="102"/>
      <c r="O2020" s="98"/>
      <c r="P2020" s="98"/>
      <c r="Q2020" s="98"/>
    </row>
    <row r="2021">
      <c r="A2021" s="96"/>
      <c r="B2021" s="97"/>
      <c r="C2021" s="97"/>
      <c r="D2021" s="97"/>
      <c r="E2021" s="97"/>
      <c r="F2021" s="97" t="b">
        <v>0</v>
      </c>
      <c r="G2021" s="97" t="b">
        <v>0</v>
      </c>
      <c r="H2021" s="98"/>
      <c r="I2021" s="98"/>
      <c r="J2021" s="98"/>
      <c r="K2021" s="102"/>
      <c r="L2021" s="102"/>
      <c r="M2021" s="102"/>
      <c r="N2021" s="102"/>
      <c r="O2021" s="98"/>
      <c r="P2021" s="98"/>
      <c r="Q2021" s="98"/>
    </row>
    <row r="2022">
      <c r="A2022" s="96"/>
      <c r="B2022" s="97"/>
      <c r="C2022" s="97"/>
      <c r="D2022" s="97"/>
      <c r="E2022" s="97"/>
      <c r="F2022" s="97" t="b">
        <v>0</v>
      </c>
      <c r="G2022" s="97" t="b">
        <v>0</v>
      </c>
      <c r="H2022" s="98"/>
      <c r="I2022" s="98"/>
      <c r="J2022" s="98"/>
      <c r="K2022" s="102"/>
      <c r="L2022" s="102"/>
      <c r="M2022" s="102"/>
      <c r="N2022" s="102"/>
      <c r="O2022" s="98"/>
      <c r="P2022" s="98"/>
      <c r="Q2022" s="98"/>
    </row>
    <row r="2023">
      <c r="A2023" s="96"/>
      <c r="B2023" s="97"/>
      <c r="C2023" s="97"/>
      <c r="D2023" s="97"/>
      <c r="E2023" s="97"/>
      <c r="F2023" s="97" t="b">
        <v>0</v>
      </c>
      <c r="G2023" s="97" t="b">
        <v>0</v>
      </c>
      <c r="H2023" s="98"/>
      <c r="I2023" s="98"/>
      <c r="J2023" s="98"/>
      <c r="K2023" s="102"/>
      <c r="L2023" s="102"/>
      <c r="M2023" s="102"/>
      <c r="N2023" s="102"/>
      <c r="O2023" s="98"/>
      <c r="P2023" s="98"/>
      <c r="Q2023" s="98"/>
    </row>
    <row r="2024">
      <c r="A2024" s="96"/>
      <c r="B2024" s="97"/>
      <c r="C2024" s="97"/>
      <c r="D2024" s="97"/>
      <c r="E2024" s="97"/>
      <c r="F2024" s="97" t="b">
        <v>0</v>
      </c>
      <c r="G2024" s="97" t="b">
        <v>0</v>
      </c>
      <c r="H2024" s="98"/>
      <c r="I2024" s="98"/>
      <c r="J2024" s="98"/>
      <c r="K2024" s="102"/>
      <c r="L2024" s="102"/>
      <c r="M2024" s="102"/>
      <c r="N2024" s="102"/>
      <c r="O2024" s="98"/>
      <c r="P2024" s="98"/>
      <c r="Q2024" s="98"/>
    </row>
    <row r="2025">
      <c r="A2025" s="96"/>
      <c r="B2025" s="97"/>
      <c r="C2025" s="97"/>
      <c r="D2025" s="97"/>
      <c r="E2025" s="97"/>
      <c r="F2025" s="97" t="b">
        <v>0</v>
      </c>
      <c r="G2025" s="97" t="b">
        <v>0</v>
      </c>
      <c r="H2025" s="98"/>
      <c r="I2025" s="98"/>
      <c r="J2025" s="98"/>
      <c r="K2025" s="102"/>
      <c r="L2025" s="102"/>
      <c r="M2025" s="102"/>
      <c r="N2025" s="102"/>
      <c r="O2025" s="98"/>
      <c r="P2025" s="98"/>
      <c r="Q2025" s="98"/>
    </row>
    <row r="2026">
      <c r="A2026" s="96"/>
      <c r="B2026" s="97"/>
      <c r="C2026" s="97"/>
      <c r="D2026" s="97"/>
      <c r="E2026" s="97"/>
      <c r="F2026" s="97" t="b">
        <v>0</v>
      </c>
      <c r="G2026" s="97" t="b">
        <v>0</v>
      </c>
      <c r="H2026" s="98"/>
      <c r="I2026" s="98"/>
      <c r="J2026" s="98"/>
      <c r="K2026" s="102"/>
      <c r="L2026" s="102"/>
      <c r="M2026" s="102"/>
      <c r="N2026" s="102"/>
      <c r="O2026" s="98"/>
      <c r="P2026" s="98"/>
      <c r="Q2026" s="98"/>
    </row>
    <row r="2027">
      <c r="A2027" s="96"/>
      <c r="B2027" s="97"/>
      <c r="C2027" s="97"/>
      <c r="D2027" s="97"/>
      <c r="E2027" s="97"/>
      <c r="F2027" s="97" t="b">
        <v>0</v>
      </c>
      <c r="G2027" s="97" t="b">
        <v>0</v>
      </c>
      <c r="H2027" s="98"/>
      <c r="I2027" s="98"/>
      <c r="J2027" s="98"/>
      <c r="K2027" s="102"/>
      <c r="L2027" s="102"/>
      <c r="M2027" s="102"/>
      <c r="N2027" s="102"/>
      <c r="O2027" s="98"/>
      <c r="P2027" s="98"/>
      <c r="Q2027" s="98"/>
    </row>
    <row r="2028">
      <c r="A2028" s="96"/>
      <c r="B2028" s="97"/>
      <c r="C2028" s="97"/>
      <c r="D2028" s="97"/>
      <c r="E2028" s="97"/>
      <c r="F2028" s="97" t="b">
        <v>0</v>
      </c>
      <c r="G2028" s="97" t="b">
        <v>0</v>
      </c>
      <c r="H2028" s="98"/>
      <c r="I2028" s="98"/>
      <c r="J2028" s="98"/>
      <c r="K2028" s="102"/>
      <c r="L2028" s="102"/>
      <c r="M2028" s="102"/>
      <c r="N2028" s="102"/>
      <c r="O2028" s="98"/>
      <c r="P2028" s="98"/>
      <c r="Q2028" s="98"/>
    </row>
    <row r="2029">
      <c r="A2029" s="96"/>
      <c r="B2029" s="97"/>
      <c r="C2029" s="97"/>
      <c r="D2029" s="97"/>
      <c r="E2029" s="97"/>
      <c r="F2029" s="97" t="b">
        <v>0</v>
      </c>
      <c r="G2029" s="97" t="b">
        <v>0</v>
      </c>
      <c r="H2029" s="98"/>
      <c r="I2029" s="98"/>
      <c r="J2029" s="98"/>
      <c r="K2029" s="102"/>
      <c r="L2029" s="102"/>
      <c r="M2029" s="102"/>
      <c r="N2029" s="102"/>
      <c r="O2029" s="98"/>
      <c r="P2029" s="98"/>
      <c r="Q2029" s="98"/>
    </row>
    <row r="2030">
      <c r="A2030" s="96"/>
      <c r="B2030" s="97"/>
      <c r="C2030" s="97"/>
      <c r="D2030" s="97"/>
      <c r="E2030" s="97"/>
      <c r="F2030" s="97" t="b">
        <v>0</v>
      </c>
      <c r="G2030" s="97" t="b">
        <v>0</v>
      </c>
      <c r="H2030" s="98"/>
      <c r="I2030" s="98"/>
      <c r="J2030" s="98"/>
      <c r="K2030" s="102"/>
      <c r="L2030" s="102"/>
      <c r="M2030" s="102"/>
      <c r="N2030" s="102"/>
      <c r="O2030" s="98"/>
      <c r="P2030" s="98"/>
      <c r="Q2030" s="98"/>
    </row>
    <row r="2031">
      <c r="A2031" s="96"/>
      <c r="B2031" s="97"/>
      <c r="C2031" s="97"/>
      <c r="D2031" s="97"/>
      <c r="E2031" s="97"/>
      <c r="F2031" s="97" t="b">
        <v>0</v>
      </c>
      <c r="G2031" s="97" t="b">
        <v>0</v>
      </c>
      <c r="H2031" s="98"/>
      <c r="I2031" s="98"/>
      <c r="J2031" s="98"/>
      <c r="K2031" s="102"/>
      <c r="L2031" s="102"/>
      <c r="M2031" s="102"/>
      <c r="N2031" s="102"/>
      <c r="O2031" s="98"/>
      <c r="P2031" s="98"/>
      <c r="Q2031" s="98"/>
    </row>
    <row r="2032">
      <c r="A2032" s="96"/>
      <c r="B2032" s="97"/>
      <c r="C2032" s="97"/>
      <c r="D2032" s="97"/>
      <c r="E2032" s="97"/>
      <c r="F2032" s="97" t="b">
        <v>0</v>
      </c>
      <c r="G2032" s="97" t="b">
        <v>0</v>
      </c>
      <c r="H2032" s="98"/>
      <c r="I2032" s="98"/>
      <c r="J2032" s="98"/>
      <c r="K2032" s="102"/>
      <c r="L2032" s="102"/>
      <c r="M2032" s="102"/>
      <c r="N2032" s="102"/>
      <c r="O2032" s="98"/>
      <c r="P2032" s="98"/>
      <c r="Q2032" s="98"/>
    </row>
    <row r="2033">
      <c r="A2033" s="96"/>
      <c r="B2033" s="97"/>
      <c r="C2033" s="97"/>
      <c r="D2033" s="97"/>
      <c r="E2033" s="97"/>
      <c r="F2033" s="97" t="b">
        <v>0</v>
      </c>
      <c r="G2033" s="97" t="b">
        <v>0</v>
      </c>
      <c r="H2033" s="98"/>
      <c r="I2033" s="98"/>
      <c r="J2033" s="98"/>
      <c r="K2033" s="102"/>
      <c r="L2033" s="102"/>
      <c r="M2033" s="102"/>
      <c r="N2033" s="102"/>
      <c r="O2033" s="98"/>
      <c r="P2033" s="98"/>
      <c r="Q2033" s="98"/>
    </row>
    <row r="2034">
      <c r="A2034" s="96"/>
      <c r="B2034" s="97"/>
      <c r="C2034" s="97"/>
      <c r="D2034" s="97"/>
      <c r="E2034" s="97"/>
      <c r="F2034" s="97" t="b">
        <v>0</v>
      </c>
      <c r="G2034" s="97" t="b">
        <v>0</v>
      </c>
      <c r="H2034" s="98"/>
      <c r="I2034" s="98"/>
      <c r="J2034" s="98"/>
      <c r="K2034" s="102"/>
      <c r="L2034" s="102"/>
      <c r="M2034" s="102"/>
      <c r="N2034" s="102"/>
      <c r="O2034" s="98"/>
      <c r="P2034" s="98"/>
      <c r="Q2034" s="98"/>
    </row>
    <row r="2035">
      <c r="A2035" s="96"/>
      <c r="B2035" s="97"/>
      <c r="C2035" s="97"/>
      <c r="D2035" s="97"/>
      <c r="E2035" s="97"/>
      <c r="F2035" s="97" t="b">
        <v>0</v>
      </c>
      <c r="G2035" s="97" t="b">
        <v>0</v>
      </c>
      <c r="H2035" s="98"/>
      <c r="I2035" s="98"/>
      <c r="J2035" s="98"/>
      <c r="K2035" s="102"/>
      <c r="L2035" s="102"/>
      <c r="M2035" s="102"/>
      <c r="N2035" s="102"/>
      <c r="O2035" s="98"/>
      <c r="P2035" s="98"/>
      <c r="Q2035" s="98"/>
    </row>
    <row r="2036">
      <c r="A2036" s="96"/>
      <c r="B2036" s="97"/>
      <c r="C2036" s="97"/>
      <c r="D2036" s="97"/>
      <c r="E2036" s="97"/>
      <c r="F2036" s="97" t="b">
        <v>0</v>
      </c>
      <c r="G2036" s="97" t="b">
        <v>0</v>
      </c>
      <c r="H2036" s="98"/>
      <c r="I2036" s="98"/>
      <c r="J2036" s="98"/>
      <c r="K2036" s="102"/>
      <c r="L2036" s="102"/>
      <c r="M2036" s="102"/>
      <c r="N2036" s="102"/>
      <c r="O2036" s="98"/>
      <c r="P2036" s="98"/>
      <c r="Q2036" s="98"/>
    </row>
    <row r="2037">
      <c r="A2037" s="96"/>
      <c r="B2037" s="97"/>
      <c r="C2037" s="97"/>
      <c r="D2037" s="97"/>
      <c r="E2037" s="97"/>
      <c r="F2037" s="97" t="b">
        <v>0</v>
      </c>
      <c r="G2037" s="97" t="b">
        <v>0</v>
      </c>
      <c r="H2037" s="98"/>
      <c r="I2037" s="98"/>
      <c r="J2037" s="98"/>
      <c r="K2037" s="102"/>
      <c r="L2037" s="102"/>
      <c r="M2037" s="102"/>
      <c r="N2037" s="102"/>
      <c r="O2037" s="98"/>
      <c r="P2037" s="98"/>
      <c r="Q2037" s="98"/>
    </row>
    <row r="2038">
      <c r="A2038" s="96"/>
      <c r="B2038" s="97"/>
      <c r="C2038" s="97"/>
      <c r="D2038" s="97"/>
      <c r="E2038" s="97"/>
      <c r="F2038" s="97" t="b">
        <v>0</v>
      </c>
      <c r="G2038" s="97" t="b">
        <v>0</v>
      </c>
      <c r="H2038" s="98"/>
      <c r="I2038" s="98"/>
      <c r="J2038" s="98"/>
      <c r="K2038" s="102"/>
      <c r="L2038" s="102"/>
      <c r="M2038" s="102"/>
      <c r="N2038" s="102"/>
      <c r="O2038" s="98"/>
      <c r="P2038" s="98"/>
      <c r="Q2038" s="98"/>
    </row>
    <row r="2039">
      <c r="A2039" s="96"/>
      <c r="B2039" s="97"/>
      <c r="C2039" s="97"/>
      <c r="D2039" s="97"/>
      <c r="E2039" s="97"/>
      <c r="F2039" s="97" t="b">
        <v>0</v>
      </c>
      <c r="G2039" s="97" t="b">
        <v>0</v>
      </c>
      <c r="H2039" s="98"/>
      <c r="I2039" s="98"/>
      <c r="J2039" s="98"/>
      <c r="K2039" s="102"/>
      <c r="L2039" s="102"/>
      <c r="M2039" s="102"/>
      <c r="N2039" s="102"/>
      <c r="O2039" s="98"/>
      <c r="P2039" s="98"/>
      <c r="Q2039" s="98"/>
    </row>
    <row r="2040">
      <c r="A2040" s="96"/>
      <c r="B2040" s="97"/>
      <c r="C2040" s="97"/>
      <c r="D2040" s="97"/>
      <c r="E2040" s="97"/>
      <c r="F2040" s="97" t="b">
        <v>0</v>
      </c>
      <c r="G2040" s="97" t="b">
        <v>0</v>
      </c>
      <c r="H2040" s="98"/>
      <c r="I2040" s="98"/>
      <c r="J2040" s="98"/>
      <c r="K2040" s="102"/>
      <c r="L2040" s="102"/>
      <c r="M2040" s="102"/>
      <c r="N2040" s="102"/>
      <c r="O2040" s="98"/>
      <c r="P2040" s="98"/>
      <c r="Q2040" s="98"/>
    </row>
    <row r="2041">
      <c r="A2041" s="96"/>
      <c r="B2041" s="97"/>
      <c r="C2041" s="97"/>
      <c r="D2041" s="97"/>
      <c r="E2041" s="97"/>
      <c r="F2041" s="97" t="b">
        <v>0</v>
      </c>
      <c r="G2041" s="97" t="b">
        <v>0</v>
      </c>
      <c r="H2041" s="98"/>
      <c r="I2041" s="98"/>
      <c r="J2041" s="98"/>
      <c r="K2041" s="102"/>
      <c r="L2041" s="102"/>
      <c r="M2041" s="102"/>
      <c r="N2041" s="102"/>
      <c r="O2041" s="98"/>
      <c r="P2041" s="98"/>
      <c r="Q2041" s="98"/>
    </row>
    <row r="2042">
      <c r="A2042" s="96"/>
      <c r="B2042" s="97"/>
      <c r="C2042" s="97"/>
      <c r="D2042" s="97"/>
      <c r="E2042" s="97"/>
      <c r="F2042" s="97" t="b">
        <v>0</v>
      </c>
      <c r="G2042" s="97" t="b">
        <v>0</v>
      </c>
      <c r="H2042" s="98"/>
      <c r="I2042" s="98"/>
      <c r="J2042" s="98"/>
      <c r="K2042" s="102"/>
      <c r="L2042" s="102"/>
      <c r="M2042" s="102"/>
      <c r="N2042" s="102"/>
      <c r="O2042" s="98"/>
      <c r="P2042" s="98"/>
      <c r="Q2042" s="98"/>
    </row>
    <row r="2043">
      <c r="A2043" s="96"/>
      <c r="B2043" s="97"/>
      <c r="C2043" s="97"/>
      <c r="D2043" s="97"/>
      <c r="E2043" s="97"/>
      <c r="F2043" s="97" t="b">
        <v>0</v>
      </c>
      <c r="G2043" s="97" t="b">
        <v>0</v>
      </c>
      <c r="H2043" s="98"/>
      <c r="I2043" s="98"/>
      <c r="J2043" s="98"/>
      <c r="K2043" s="102"/>
      <c r="L2043" s="102"/>
      <c r="M2043" s="102"/>
      <c r="N2043" s="102"/>
      <c r="O2043" s="98"/>
      <c r="P2043" s="98"/>
      <c r="Q2043" s="98"/>
    </row>
    <row r="2044">
      <c r="A2044" s="96"/>
      <c r="B2044" s="97"/>
      <c r="C2044" s="97"/>
      <c r="D2044" s="97"/>
      <c r="E2044" s="97"/>
      <c r="F2044" s="97" t="b">
        <v>0</v>
      </c>
      <c r="G2044" s="97" t="b">
        <v>0</v>
      </c>
      <c r="H2044" s="98"/>
      <c r="I2044" s="98"/>
      <c r="J2044" s="98"/>
      <c r="K2044" s="102"/>
      <c r="L2044" s="102"/>
      <c r="M2044" s="102"/>
      <c r="N2044" s="102"/>
      <c r="O2044" s="98"/>
      <c r="P2044" s="98"/>
      <c r="Q2044" s="98"/>
    </row>
    <row r="2045">
      <c r="A2045" s="96"/>
      <c r="B2045" s="97"/>
      <c r="C2045" s="97"/>
      <c r="D2045" s="97"/>
      <c r="E2045" s="97"/>
      <c r="F2045" s="97" t="b">
        <v>0</v>
      </c>
      <c r="G2045" s="97" t="b">
        <v>0</v>
      </c>
      <c r="H2045" s="98"/>
      <c r="I2045" s="98"/>
      <c r="J2045" s="98"/>
      <c r="K2045" s="102"/>
      <c r="L2045" s="102"/>
      <c r="M2045" s="102"/>
      <c r="N2045" s="102"/>
      <c r="O2045" s="98"/>
      <c r="P2045" s="98"/>
      <c r="Q2045" s="98"/>
    </row>
    <row r="2046">
      <c r="A2046" s="96"/>
      <c r="B2046" s="97"/>
      <c r="C2046" s="97"/>
      <c r="D2046" s="97"/>
      <c r="E2046" s="97"/>
      <c r="F2046" s="97" t="b">
        <v>0</v>
      </c>
      <c r="G2046" s="97" t="b">
        <v>0</v>
      </c>
      <c r="H2046" s="98"/>
      <c r="I2046" s="98"/>
      <c r="J2046" s="98"/>
      <c r="K2046" s="102"/>
      <c r="L2046" s="102"/>
      <c r="M2046" s="102"/>
      <c r="N2046" s="102"/>
      <c r="O2046" s="98"/>
      <c r="P2046" s="98"/>
      <c r="Q2046" s="98"/>
    </row>
    <row r="2047">
      <c r="A2047" s="96"/>
      <c r="B2047" s="97"/>
      <c r="C2047" s="97"/>
      <c r="D2047" s="97"/>
      <c r="E2047" s="97"/>
      <c r="F2047" s="97" t="b">
        <v>0</v>
      </c>
      <c r="G2047" s="97" t="b">
        <v>0</v>
      </c>
      <c r="H2047" s="98"/>
      <c r="I2047" s="98"/>
      <c r="J2047" s="98"/>
      <c r="K2047" s="102"/>
      <c r="L2047" s="102"/>
      <c r="M2047" s="102"/>
      <c r="N2047" s="102"/>
      <c r="O2047" s="98"/>
      <c r="P2047" s="98"/>
      <c r="Q2047" s="98"/>
    </row>
    <row r="2048">
      <c r="A2048" s="96"/>
      <c r="B2048" s="97"/>
      <c r="C2048" s="97"/>
      <c r="D2048" s="97"/>
      <c r="E2048" s="97"/>
      <c r="F2048" s="97" t="b">
        <v>0</v>
      </c>
      <c r="G2048" s="97" t="b">
        <v>0</v>
      </c>
      <c r="H2048" s="98"/>
      <c r="I2048" s="98"/>
      <c r="J2048" s="98"/>
      <c r="K2048" s="102"/>
      <c r="L2048" s="102"/>
      <c r="M2048" s="102"/>
      <c r="N2048" s="102"/>
      <c r="O2048" s="98"/>
      <c r="P2048" s="98"/>
      <c r="Q2048" s="98"/>
    </row>
    <row r="2049">
      <c r="A2049" s="96"/>
      <c r="B2049" s="97"/>
      <c r="C2049" s="97"/>
      <c r="D2049" s="97"/>
      <c r="E2049" s="97"/>
      <c r="F2049" s="97" t="b">
        <v>0</v>
      </c>
      <c r="G2049" s="97" t="b">
        <v>0</v>
      </c>
      <c r="H2049" s="98"/>
      <c r="I2049" s="98"/>
      <c r="J2049" s="98"/>
      <c r="K2049" s="102"/>
      <c r="L2049" s="102"/>
      <c r="M2049" s="102"/>
      <c r="N2049" s="102"/>
      <c r="O2049" s="98"/>
      <c r="P2049" s="98"/>
      <c r="Q2049" s="98"/>
    </row>
    <row r="2050">
      <c r="A2050" s="96"/>
      <c r="B2050" s="97"/>
      <c r="C2050" s="97"/>
      <c r="D2050" s="97"/>
      <c r="E2050" s="97"/>
      <c r="F2050" s="97" t="b">
        <v>0</v>
      </c>
      <c r="G2050" s="97" t="b">
        <v>0</v>
      </c>
      <c r="H2050" s="98"/>
      <c r="I2050" s="98"/>
      <c r="J2050" s="98"/>
      <c r="K2050" s="102"/>
      <c r="L2050" s="102"/>
      <c r="M2050" s="102"/>
      <c r="N2050" s="102"/>
      <c r="O2050" s="98"/>
      <c r="P2050" s="98"/>
      <c r="Q2050" s="98"/>
    </row>
    <row r="2051">
      <c r="A2051" s="96"/>
      <c r="B2051" s="97"/>
      <c r="C2051" s="97"/>
      <c r="D2051" s="97"/>
      <c r="E2051" s="97"/>
      <c r="F2051" s="97" t="b">
        <v>0</v>
      </c>
      <c r="G2051" s="97" t="b">
        <v>0</v>
      </c>
      <c r="H2051" s="98"/>
      <c r="I2051" s="98"/>
      <c r="J2051" s="98"/>
      <c r="K2051" s="102"/>
      <c r="L2051" s="102"/>
      <c r="M2051" s="102"/>
      <c r="N2051" s="102"/>
      <c r="O2051" s="98"/>
      <c r="P2051" s="98"/>
      <c r="Q2051" s="98"/>
    </row>
    <row r="2052">
      <c r="A2052" s="96"/>
      <c r="B2052" s="97"/>
      <c r="C2052" s="97"/>
      <c r="D2052" s="97"/>
      <c r="E2052" s="97"/>
      <c r="F2052" s="97" t="b">
        <v>0</v>
      </c>
      <c r="G2052" s="97" t="b">
        <v>0</v>
      </c>
      <c r="H2052" s="98"/>
      <c r="I2052" s="98"/>
      <c r="J2052" s="98"/>
      <c r="K2052" s="102"/>
      <c r="L2052" s="102"/>
      <c r="M2052" s="102"/>
      <c r="N2052" s="102"/>
      <c r="O2052" s="98"/>
      <c r="P2052" s="98"/>
      <c r="Q2052" s="98"/>
    </row>
    <row r="2053">
      <c r="A2053" s="96"/>
      <c r="B2053" s="97"/>
      <c r="C2053" s="97"/>
      <c r="D2053" s="97"/>
      <c r="E2053" s="97"/>
      <c r="F2053" s="97" t="b">
        <v>0</v>
      </c>
      <c r="G2053" s="97" t="b">
        <v>0</v>
      </c>
      <c r="H2053" s="98"/>
      <c r="I2053" s="98"/>
      <c r="J2053" s="98"/>
      <c r="K2053" s="102"/>
      <c r="L2053" s="102"/>
      <c r="M2053" s="102"/>
      <c r="N2053" s="102"/>
      <c r="O2053" s="98"/>
      <c r="P2053" s="98"/>
      <c r="Q2053" s="98"/>
    </row>
    <row r="2054">
      <c r="A2054" s="96"/>
      <c r="B2054" s="97"/>
      <c r="C2054" s="97"/>
      <c r="D2054" s="97"/>
      <c r="E2054" s="97"/>
      <c r="F2054" s="97" t="b">
        <v>0</v>
      </c>
      <c r="G2054" s="97" t="b">
        <v>0</v>
      </c>
      <c r="H2054" s="98"/>
      <c r="I2054" s="98"/>
      <c r="J2054" s="98"/>
      <c r="K2054" s="102"/>
      <c r="L2054" s="102"/>
      <c r="M2054" s="102"/>
      <c r="N2054" s="102"/>
      <c r="O2054" s="98"/>
      <c r="P2054" s="98"/>
      <c r="Q2054" s="98"/>
    </row>
    <row r="2055">
      <c r="A2055" s="96"/>
      <c r="B2055" s="97"/>
      <c r="C2055" s="97"/>
      <c r="D2055" s="97"/>
      <c r="E2055" s="97"/>
      <c r="F2055" s="97" t="b">
        <v>0</v>
      </c>
      <c r="G2055" s="97" t="b">
        <v>0</v>
      </c>
      <c r="H2055" s="98"/>
      <c r="I2055" s="98"/>
      <c r="J2055" s="98"/>
      <c r="K2055" s="102"/>
      <c r="L2055" s="102"/>
      <c r="M2055" s="102"/>
      <c r="N2055" s="102"/>
      <c r="O2055" s="98"/>
      <c r="P2055" s="98"/>
      <c r="Q2055" s="98"/>
    </row>
  </sheetData>
  <autoFilter ref="$A$1:$P$2055"/>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0"/>
    <col customWidth="1" min="2" max="2" width="53.63"/>
    <col customWidth="1" min="3" max="3" width="20.88"/>
    <col customWidth="1" min="4" max="4" width="10.38"/>
    <col customWidth="1" min="5" max="5" width="12.25"/>
    <col customWidth="1" min="6" max="6" width="13.5"/>
    <col customWidth="1" min="7" max="7" width="21.13"/>
    <col customWidth="1" min="8" max="8" width="22.25"/>
    <col customWidth="1" min="9" max="9" width="15.75"/>
    <col customWidth="1" min="10" max="10" width="17.0"/>
    <col customWidth="1" min="11" max="11" width="55.13"/>
    <col customWidth="1" min="12" max="12" width="18.75"/>
    <col customWidth="1" min="13" max="13" width="18.88"/>
    <col customWidth="1" min="14" max="14" width="32.75"/>
    <col customWidth="1" min="15" max="15" width="12.63"/>
    <col customWidth="1" min="16" max="16" width="19.13"/>
    <col customWidth="1" min="17" max="18" width="18.88"/>
    <col customWidth="1" min="19" max="19" width="22.25"/>
    <col customWidth="1" min="20" max="24" width="18.88"/>
    <col customWidth="1" min="25" max="25" width="18.63"/>
    <col customWidth="1" min="26" max="31" width="18.88"/>
  </cols>
  <sheetData>
    <row r="1" ht="22.5" customHeight="1">
      <c r="A1" s="120" t="s">
        <v>3340</v>
      </c>
      <c r="B1" s="120" t="s">
        <v>3341</v>
      </c>
      <c r="C1" s="120" t="s">
        <v>3342</v>
      </c>
      <c r="D1" s="121" t="s">
        <v>3343</v>
      </c>
      <c r="E1" s="120" t="s">
        <v>3344</v>
      </c>
      <c r="F1" s="120" t="s">
        <v>3345</v>
      </c>
      <c r="G1" s="120" t="s">
        <v>3346</v>
      </c>
      <c r="H1" s="120" t="s">
        <v>3347</v>
      </c>
      <c r="I1" s="120" t="s">
        <v>3348</v>
      </c>
      <c r="J1" s="120" t="s">
        <v>3349</v>
      </c>
      <c r="K1" s="120" t="s">
        <v>3350</v>
      </c>
      <c r="L1" s="120" t="s">
        <v>3351</v>
      </c>
      <c r="M1" s="122" t="s">
        <v>3352</v>
      </c>
      <c r="N1" s="122" t="s">
        <v>3353</v>
      </c>
      <c r="O1" s="122" t="s">
        <v>3354</v>
      </c>
      <c r="P1" s="122" t="s">
        <v>3355</v>
      </c>
      <c r="Q1" s="122" t="s">
        <v>3356</v>
      </c>
      <c r="R1" s="122" t="s">
        <v>3357</v>
      </c>
      <c r="S1" s="123" t="s">
        <v>3358</v>
      </c>
      <c r="T1" s="122" t="s">
        <v>3359</v>
      </c>
      <c r="U1" s="122" t="s">
        <v>3360</v>
      </c>
      <c r="V1" s="122" t="s">
        <v>3361</v>
      </c>
      <c r="W1" s="122" t="s">
        <v>3362</v>
      </c>
      <c r="X1" s="122" t="s">
        <v>3363</v>
      </c>
      <c r="Y1" s="122" t="s">
        <v>3364</v>
      </c>
      <c r="Z1" s="124" t="s">
        <v>3365</v>
      </c>
      <c r="AA1" s="125"/>
      <c r="AB1" s="125"/>
      <c r="AC1" s="125"/>
      <c r="AD1" s="125"/>
      <c r="AE1" s="125"/>
    </row>
    <row r="2" ht="22.5" customHeight="1">
      <c r="A2" s="126">
        <v>46208.38375583333</v>
      </c>
      <c r="B2" s="127" t="s">
        <v>3366</v>
      </c>
      <c r="C2" s="127"/>
      <c r="D2" s="128"/>
      <c r="E2" s="129"/>
      <c r="F2" s="129"/>
      <c r="G2" s="129"/>
      <c r="H2" s="127" t="s">
        <v>1828</v>
      </c>
      <c r="I2" s="127" t="s">
        <v>1829</v>
      </c>
      <c r="J2" s="130" t="s">
        <v>3367</v>
      </c>
      <c r="K2" s="127" t="s">
        <v>3368</v>
      </c>
      <c r="L2" s="131" t="s">
        <v>3369</v>
      </c>
      <c r="M2" s="132">
        <v>0.0</v>
      </c>
      <c r="N2" s="127" t="s">
        <v>3370</v>
      </c>
      <c r="O2" s="127">
        <v>3.0</v>
      </c>
      <c r="P2" s="131" t="s">
        <v>3371</v>
      </c>
      <c r="Q2" s="127" t="s">
        <v>3372</v>
      </c>
      <c r="R2" s="127" t="s">
        <v>3373</v>
      </c>
      <c r="S2" s="133" t="b">
        <v>1</v>
      </c>
      <c r="T2" s="129"/>
      <c r="U2" s="129"/>
      <c r="V2" s="129"/>
      <c r="W2" s="129"/>
      <c r="X2" s="129"/>
      <c r="Y2" s="134"/>
      <c r="Z2" s="129"/>
      <c r="AA2" s="135"/>
      <c r="AB2" s="135"/>
      <c r="AC2" s="135"/>
      <c r="AD2" s="135"/>
      <c r="AE2" s="135"/>
    </row>
    <row r="3" ht="22.5" customHeight="1">
      <c r="A3" s="136">
        <v>46194.880053483794</v>
      </c>
      <c r="B3" s="137" t="s">
        <v>3374</v>
      </c>
      <c r="C3" s="138"/>
      <c r="D3" s="139"/>
      <c r="E3" s="137" t="s">
        <v>3375</v>
      </c>
      <c r="F3" s="138"/>
      <c r="G3" s="138"/>
      <c r="H3" s="137" t="s">
        <v>1324</v>
      </c>
      <c r="I3" s="137" t="s">
        <v>1325</v>
      </c>
      <c r="J3" s="140" t="s">
        <v>3376</v>
      </c>
      <c r="K3" s="137" t="s">
        <v>3377</v>
      </c>
      <c r="L3" s="141" t="s">
        <v>3378</v>
      </c>
      <c r="M3" s="142">
        <v>0.0</v>
      </c>
      <c r="N3" s="137" t="s">
        <v>3379</v>
      </c>
      <c r="O3" s="137">
        <v>4.0</v>
      </c>
      <c r="P3" s="143"/>
      <c r="Q3" s="143"/>
      <c r="R3" s="143"/>
      <c r="S3" s="144" t="b">
        <v>0</v>
      </c>
      <c r="T3" s="143"/>
      <c r="U3" s="143"/>
      <c r="V3" s="143"/>
      <c r="W3" s="143"/>
      <c r="X3" s="143"/>
      <c r="Y3" s="145"/>
      <c r="Z3" s="146"/>
      <c r="AA3" s="135"/>
      <c r="AB3" s="135"/>
      <c r="AC3" s="135"/>
      <c r="AD3" s="135"/>
      <c r="AE3" s="135"/>
    </row>
    <row r="4" ht="22.5" customHeight="1">
      <c r="A4" s="136">
        <v>46194.95710561343</v>
      </c>
      <c r="B4" s="137" t="s">
        <v>3374</v>
      </c>
      <c r="C4" s="138"/>
      <c r="D4" s="139" t="s">
        <v>3375</v>
      </c>
      <c r="E4" s="137"/>
      <c r="F4" s="138"/>
      <c r="G4" s="138"/>
      <c r="H4" s="137" t="s">
        <v>981</v>
      </c>
      <c r="I4" s="137" t="s">
        <v>3380</v>
      </c>
      <c r="J4" s="140" t="s">
        <v>3381</v>
      </c>
      <c r="K4" s="137" t="s">
        <v>3382</v>
      </c>
      <c r="L4" s="141" t="s">
        <v>3383</v>
      </c>
      <c r="M4" s="142">
        <v>0.0</v>
      </c>
      <c r="N4" s="137" t="s">
        <v>3380</v>
      </c>
      <c r="O4" s="137">
        <v>4.0</v>
      </c>
      <c r="P4" s="143"/>
      <c r="Q4" s="143"/>
      <c r="R4" s="143"/>
      <c r="S4" s="144" t="b">
        <v>0</v>
      </c>
      <c r="T4" s="143"/>
      <c r="U4" s="143"/>
      <c r="V4" s="143"/>
      <c r="W4" s="143"/>
      <c r="X4" s="143"/>
      <c r="Y4" s="145"/>
      <c r="Z4" s="146"/>
      <c r="AA4" s="135"/>
      <c r="AB4" s="135"/>
      <c r="AC4" s="135"/>
      <c r="AD4" s="135"/>
      <c r="AE4" s="135"/>
    </row>
    <row r="5" ht="22.5" customHeight="1">
      <c r="A5" s="136">
        <v>46194.99684962963</v>
      </c>
      <c r="B5" s="137" t="s">
        <v>3374</v>
      </c>
      <c r="C5" s="138"/>
      <c r="D5" s="139"/>
      <c r="E5" s="138"/>
      <c r="F5" s="138"/>
      <c r="G5" s="138"/>
      <c r="H5" s="137" t="s">
        <v>970</v>
      </c>
      <c r="I5" s="137" t="s">
        <v>3384</v>
      </c>
      <c r="J5" s="140" t="s">
        <v>3385</v>
      </c>
      <c r="K5" s="137" t="s">
        <v>3386</v>
      </c>
      <c r="L5" s="141" t="s">
        <v>3387</v>
      </c>
      <c r="M5" s="142">
        <v>0.0</v>
      </c>
      <c r="N5" s="137" t="s">
        <v>3384</v>
      </c>
      <c r="O5" s="137">
        <v>8.0</v>
      </c>
      <c r="P5" s="143"/>
      <c r="Q5" s="143"/>
      <c r="R5" s="143"/>
      <c r="S5" s="144" t="b">
        <v>0</v>
      </c>
      <c r="T5" s="143"/>
      <c r="U5" s="143"/>
      <c r="V5" s="143"/>
      <c r="W5" s="143"/>
      <c r="X5" s="143"/>
      <c r="Y5" s="145"/>
      <c r="Z5" s="146"/>
      <c r="AA5" s="135"/>
      <c r="AB5" s="135"/>
      <c r="AC5" s="135"/>
      <c r="AD5" s="135"/>
      <c r="AE5" s="135"/>
    </row>
    <row r="6" ht="22.5" customHeight="1">
      <c r="A6" s="136">
        <v>46195.5340296875</v>
      </c>
      <c r="B6" s="137" t="s">
        <v>3374</v>
      </c>
      <c r="C6" s="138"/>
      <c r="D6" s="139"/>
      <c r="E6" s="138"/>
      <c r="F6" s="138"/>
      <c r="G6" s="138"/>
      <c r="H6" s="137" t="s">
        <v>723</v>
      </c>
      <c r="I6" s="137" t="s">
        <v>3388</v>
      </c>
      <c r="J6" s="140" t="s">
        <v>3389</v>
      </c>
      <c r="K6" s="137" t="s">
        <v>3390</v>
      </c>
      <c r="L6" s="141" t="s">
        <v>3391</v>
      </c>
      <c r="M6" s="142">
        <v>0.0</v>
      </c>
      <c r="N6" s="137" t="s">
        <v>3388</v>
      </c>
      <c r="O6" s="137">
        <v>7.0</v>
      </c>
      <c r="P6" s="138"/>
      <c r="Q6" s="138"/>
      <c r="R6" s="138"/>
      <c r="S6" s="144" t="b">
        <v>0</v>
      </c>
      <c r="T6" s="138"/>
      <c r="U6" s="138"/>
      <c r="V6" s="138"/>
      <c r="W6" s="138"/>
      <c r="X6" s="138"/>
      <c r="Y6" s="147"/>
      <c r="Z6" s="148"/>
      <c r="AA6" s="135"/>
      <c r="AB6" s="135"/>
      <c r="AC6" s="135"/>
      <c r="AD6" s="135"/>
      <c r="AE6" s="135"/>
    </row>
    <row r="7" ht="22.5" customHeight="1">
      <c r="A7" s="136">
        <v>46195.873645405096</v>
      </c>
      <c r="B7" s="137" t="s">
        <v>3374</v>
      </c>
      <c r="C7" s="138"/>
      <c r="D7" s="139"/>
      <c r="E7" s="138"/>
      <c r="F7" s="138"/>
      <c r="G7" s="138"/>
      <c r="H7" s="137" t="s">
        <v>2627</v>
      </c>
      <c r="I7" s="137" t="s">
        <v>2628</v>
      </c>
      <c r="J7" s="140" t="s">
        <v>3392</v>
      </c>
      <c r="K7" s="137" t="s">
        <v>3393</v>
      </c>
      <c r="L7" s="141" t="s">
        <v>3394</v>
      </c>
      <c r="M7" s="142">
        <v>0.0</v>
      </c>
      <c r="N7" s="137" t="s">
        <v>3395</v>
      </c>
      <c r="O7" s="137">
        <v>8.0</v>
      </c>
      <c r="P7" s="138"/>
      <c r="Q7" s="138"/>
      <c r="R7" s="138"/>
      <c r="S7" s="144" t="b">
        <v>0</v>
      </c>
      <c r="T7" s="138"/>
      <c r="U7" s="138"/>
      <c r="V7" s="138"/>
      <c r="W7" s="138"/>
      <c r="X7" s="138"/>
      <c r="Y7" s="147"/>
      <c r="Z7" s="148"/>
      <c r="AA7" s="135"/>
      <c r="AB7" s="135"/>
      <c r="AC7" s="135"/>
      <c r="AD7" s="135"/>
      <c r="AE7" s="135"/>
    </row>
    <row r="8" ht="22.5" customHeight="1">
      <c r="A8" s="136">
        <v>46197.651453275466</v>
      </c>
      <c r="B8" s="137" t="s">
        <v>3374</v>
      </c>
      <c r="C8" s="138"/>
      <c r="D8" s="139"/>
      <c r="E8" s="138"/>
      <c r="F8" s="138"/>
      <c r="G8" s="138"/>
      <c r="H8" s="137" t="s">
        <v>3234</v>
      </c>
      <c r="I8" s="137" t="s">
        <v>3235</v>
      </c>
      <c r="J8" s="140" t="s">
        <v>3396</v>
      </c>
      <c r="K8" s="137" t="s">
        <v>3397</v>
      </c>
      <c r="L8" s="141" t="s">
        <v>3398</v>
      </c>
      <c r="M8" s="142">
        <v>0.0</v>
      </c>
      <c r="N8" s="137" t="s">
        <v>3399</v>
      </c>
      <c r="O8" s="137">
        <v>2.0</v>
      </c>
      <c r="P8" s="137" t="s">
        <v>3400</v>
      </c>
      <c r="Q8" s="137" t="s">
        <v>3401</v>
      </c>
      <c r="R8" s="137" t="s">
        <v>3373</v>
      </c>
      <c r="S8" s="144" t="s">
        <v>3402</v>
      </c>
      <c r="T8" s="138"/>
      <c r="U8" s="138"/>
      <c r="V8" s="138"/>
      <c r="W8" s="138"/>
      <c r="X8" s="138"/>
      <c r="Y8" s="147"/>
      <c r="Z8" s="148"/>
      <c r="AA8" s="135"/>
      <c r="AB8" s="135"/>
      <c r="AC8" s="135"/>
      <c r="AD8" s="135"/>
      <c r="AE8" s="135"/>
    </row>
    <row r="9" ht="22.5" customHeight="1">
      <c r="A9" s="136">
        <v>46197.917910324075</v>
      </c>
      <c r="B9" s="137" t="s">
        <v>3374</v>
      </c>
      <c r="C9" s="138"/>
      <c r="D9" s="139"/>
      <c r="E9" s="138"/>
      <c r="F9" s="138"/>
      <c r="G9" s="138"/>
      <c r="H9" s="137" t="s">
        <v>3104</v>
      </c>
      <c r="I9" s="137" t="s">
        <v>3403</v>
      </c>
      <c r="J9" s="140" t="s">
        <v>3404</v>
      </c>
      <c r="K9" s="137" t="s">
        <v>3405</v>
      </c>
      <c r="L9" s="141" t="s">
        <v>3406</v>
      </c>
      <c r="M9" s="142">
        <v>0.0</v>
      </c>
      <c r="N9" s="137" t="s">
        <v>3403</v>
      </c>
      <c r="O9" s="137">
        <v>5.0</v>
      </c>
      <c r="P9" s="138"/>
      <c r="Q9" s="137" t="s">
        <v>3407</v>
      </c>
      <c r="R9" s="137" t="s">
        <v>3408</v>
      </c>
      <c r="S9" s="144" t="b">
        <v>0</v>
      </c>
      <c r="T9" s="138"/>
      <c r="U9" s="138"/>
      <c r="V9" s="138"/>
      <c r="W9" s="138"/>
      <c r="X9" s="138"/>
      <c r="Y9" s="147"/>
      <c r="Z9" s="148"/>
      <c r="AA9" s="135"/>
      <c r="AB9" s="135"/>
      <c r="AC9" s="135"/>
      <c r="AD9" s="135"/>
      <c r="AE9" s="135"/>
    </row>
    <row r="10" ht="22.5" customHeight="1">
      <c r="A10" s="136">
        <v>46198.62944844908</v>
      </c>
      <c r="B10" s="137" t="s">
        <v>3374</v>
      </c>
      <c r="C10" s="138"/>
      <c r="D10" s="139"/>
      <c r="E10" s="138"/>
      <c r="F10" s="138"/>
      <c r="G10" s="138"/>
      <c r="H10" s="137" t="s">
        <v>2831</v>
      </c>
      <c r="I10" s="137" t="s">
        <v>2832</v>
      </c>
      <c r="J10" s="137" t="s">
        <v>3409</v>
      </c>
      <c r="K10" s="137" t="s">
        <v>3410</v>
      </c>
      <c r="L10" s="141" t="s">
        <v>3411</v>
      </c>
      <c r="M10" s="142">
        <v>0.0</v>
      </c>
      <c r="N10" s="137" t="s">
        <v>3412</v>
      </c>
      <c r="O10" s="137">
        <v>10.0</v>
      </c>
      <c r="P10" s="138"/>
      <c r="Q10" s="138"/>
      <c r="R10" s="137" t="s">
        <v>3373</v>
      </c>
      <c r="S10" s="144" t="b">
        <v>0</v>
      </c>
      <c r="T10" s="137" t="s">
        <v>3413</v>
      </c>
      <c r="U10" s="137" t="s">
        <v>3413</v>
      </c>
      <c r="V10" s="137" t="s">
        <v>3413</v>
      </c>
      <c r="W10" s="138"/>
      <c r="X10" s="138"/>
      <c r="Y10" s="147"/>
      <c r="Z10" s="148"/>
      <c r="AA10" s="135"/>
      <c r="AB10" s="135"/>
      <c r="AC10" s="135"/>
      <c r="AD10" s="135"/>
      <c r="AE10" s="135"/>
    </row>
    <row r="11" ht="22.5" customHeight="1">
      <c r="A11" s="136">
        <v>46198.93052392361</v>
      </c>
      <c r="B11" s="137" t="s">
        <v>3374</v>
      </c>
      <c r="C11" s="138"/>
      <c r="D11" s="139"/>
      <c r="E11" s="138"/>
      <c r="F11" s="138"/>
      <c r="G11" s="138"/>
      <c r="H11" s="137" t="s">
        <v>1752</v>
      </c>
      <c r="I11" s="137" t="s">
        <v>3414</v>
      </c>
      <c r="J11" s="140" t="s">
        <v>3415</v>
      </c>
      <c r="K11" s="137" t="s">
        <v>3416</v>
      </c>
      <c r="L11" s="141" t="s">
        <v>3417</v>
      </c>
      <c r="M11" s="142">
        <v>0.0</v>
      </c>
      <c r="N11" s="137" t="s">
        <v>3414</v>
      </c>
      <c r="O11" s="137">
        <v>4.0</v>
      </c>
      <c r="P11" s="138"/>
      <c r="Q11" s="138"/>
      <c r="R11" s="137" t="s">
        <v>3408</v>
      </c>
      <c r="S11" s="144" t="b">
        <v>0</v>
      </c>
      <c r="T11" s="138"/>
      <c r="U11" s="138"/>
      <c r="V11" s="138"/>
      <c r="W11" s="138"/>
      <c r="X11" s="138"/>
      <c r="Y11" s="147"/>
      <c r="Z11" s="148"/>
      <c r="AA11" s="135"/>
      <c r="AB11" s="135"/>
      <c r="AC11" s="135"/>
      <c r="AD11" s="135"/>
      <c r="AE11" s="135"/>
    </row>
    <row r="12" ht="22.5" customHeight="1">
      <c r="A12" s="136">
        <v>46199.6939012963</v>
      </c>
      <c r="B12" s="137" t="s">
        <v>3374</v>
      </c>
      <c r="C12" s="138"/>
      <c r="D12" s="139"/>
      <c r="E12" s="138"/>
      <c r="F12" s="138"/>
      <c r="G12" s="138"/>
      <c r="H12" s="137" t="s">
        <v>2527</v>
      </c>
      <c r="I12" s="137" t="s">
        <v>3418</v>
      </c>
      <c r="J12" s="140" t="s">
        <v>3419</v>
      </c>
      <c r="K12" s="137" t="s">
        <v>3420</v>
      </c>
      <c r="L12" s="141" t="s">
        <v>3421</v>
      </c>
      <c r="M12" s="142">
        <v>0.0</v>
      </c>
      <c r="N12" s="137" t="s">
        <v>3422</v>
      </c>
      <c r="O12" s="137">
        <v>3.0</v>
      </c>
      <c r="P12" s="141" t="s">
        <v>3423</v>
      </c>
      <c r="Q12" s="137" t="s">
        <v>3424</v>
      </c>
      <c r="R12" s="137" t="s">
        <v>3408</v>
      </c>
      <c r="S12" s="144" t="b">
        <v>1</v>
      </c>
      <c r="T12" s="138"/>
      <c r="U12" s="138"/>
      <c r="V12" s="138"/>
      <c r="W12" s="138"/>
      <c r="X12" s="138"/>
      <c r="Y12" s="147"/>
      <c r="Z12" s="148"/>
      <c r="AA12" s="135"/>
      <c r="AB12" s="135"/>
      <c r="AC12" s="135"/>
      <c r="AD12" s="135"/>
      <c r="AE12" s="135"/>
    </row>
    <row r="13" ht="22.5" customHeight="1">
      <c r="A13" s="136">
        <v>46199.914956203706</v>
      </c>
      <c r="B13" s="137" t="s">
        <v>3374</v>
      </c>
      <c r="C13" s="138"/>
      <c r="D13" s="139"/>
      <c r="E13" s="138"/>
      <c r="F13" s="138"/>
      <c r="G13" s="138"/>
      <c r="H13" s="137" t="s">
        <v>1931</v>
      </c>
      <c r="I13" s="137" t="s">
        <v>3425</v>
      </c>
      <c r="J13" s="140" t="s">
        <v>3426</v>
      </c>
      <c r="K13" s="137" t="s">
        <v>3427</v>
      </c>
      <c r="L13" s="141" t="s">
        <v>3428</v>
      </c>
      <c r="M13" s="142">
        <v>0.0</v>
      </c>
      <c r="N13" s="137" t="s">
        <v>3425</v>
      </c>
      <c r="O13" s="137">
        <v>6.0</v>
      </c>
      <c r="P13" s="138"/>
      <c r="Q13" s="138"/>
      <c r="R13" s="137" t="s">
        <v>76</v>
      </c>
      <c r="S13" s="144" t="b">
        <v>0</v>
      </c>
      <c r="T13" s="138"/>
      <c r="U13" s="138"/>
      <c r="V13" s="138"/>
      <c r="W13" s="138"/>
      <c r="X13" s="138"/>
      <c r="Y13" s="147"/>
      <c r="Z13" s="148"/>
      <c r="AA13" s="135"/>
      <c r="AB13" s="135"/>
      <c r="AC13" s="135"/>
      <c r="AD13" s="135"/>
      <c r="AE13" s="135"/>
    </row>
    <row r="14" ht="22.5" customHeight="1">
      <c r="A14" s="136">
        <v>46199.939342673606</v>
      </c>
      <c r="B14" s="137" t="s">
        <v>3374</v>
      </c>
      <c r="C14" s="138"/>
      <c r="D14" s="139"/>
      <c r="E14" s="138"/>
      <c r="F14" s="138"/>
      <c r="G14" s="138"/>
      <c r="H14" s="137" t="s">
        <v>907</v>
      </c>
      <c r="I14" s="137" t="s">
        <v>3429</v>
      </c>
      <c r="J14" s="140" t="s">
        <v>3430</v>
      </c>
      <c r="K14" s="137" t="s">
        <v>3431</v>
      </c>
      <c r="L14" s="141" t="s">
        <v>3432</v>
      </c>
      <c r="M14" s="142">
        <v>0.0</v>
      </c>
      <c r="N14" s="137" t="s">
        <v>3429</v>
      </c>
      <c r="O14" s="137">
        <v>3.0</v>
      </c>
      <c r="P14" s="137" t="s">
        <v>3433</v>
      </c>
      <c r="Q14" s="138"/>
      <c r="R14" s="137" t="s">
        <v>76</v>
      </c>
      <c r="S14" s="144" t="b">
        <v>1</v>
      </c>
      <c r="T14" s="138"/>
      <c r="U14" s="138"/>
      <c r="V14" s="138"/>
      <c r="W14" s="138"/>
      <c r="X14" s="138"/>
      <c r="Y14" s="147"/>
      <c r="Z14" s="148"/>
      <c r="AA14" s="135"/>
      <c r="AB14" s="135"/>
      <c r="AC14" s="135"/>
      <c r="AD14" s="135"/>
      <c r="AE14" s="135"/>
    </row>
    <row r="15" ht="22.5" customHeight="1">
      <c r="A15" s="136">
        <v>46200.67506016204</v>
      </c>
      <c r="B15" s="137" t="s">
        <v>3374</v>
      </c>
      <c r="C15" s="138"/>
      <c r="D15" s="139"/>
      <c r="E15" s="138"/>
      <c r="F15" s="138"/>
      <c r="G15" s="138"/>
      <c r="H15" s="137" t="s">
        <v>1664</v>
      </c>
      <c r="I15" s="137" t="s">
        <v>3434</v>
      </c>
      <c r="J15" s="140" t="s">
        <v>3435</v>
      </c>
      <c r="K15" s="137" t="s">
        <v>3436</v>
      </c>
      <c r="L15" s="141" t="s">
        <v>3437</v>
      </c>
      <c r="M15" s="142">
        <v>0.0</v>
      </c>
      <c r="N15" s="137" t="s">
        <v>3434</v>
      </c>
      <c r="O15" s="137">
        <v>4.0</v>
      </c>
      <c r="P15" s="138"/>
      <c r="Q15" s="138"/>
      <c r="R15" s="137" t="s">
        <v>3438</v>
      </c>
      <c r="S15" s="144" t="b">
        <v>0</v>
      </c>
      <c r="T15" s="138"/>
      <c r="U15" s="138"/>
      <c r="V15" s="138"/>
      <c r="W15" s="138"/>
      <c r="X15" s="138"/>
      <c r="Y15" s="147"/>
      <c r="Z15" s="148"/>
      <c r="AA15" s="135"/>
      <c r="AB15" s="135"/>
      <c r="AC15" s="135"/>
      <c r="AD15" s="135"/>
      <c r="AE15" s="135"/>
    </row>
    <row r="16" ht="22.5" customHeight="1">
      <c r="A16" s="136">
        <v>46200.91601725694</v>
      </c>
      <c r="B16" s="137" t="s">
        <v>3374</v>
      </c>
      <c r="C16" s="138"/>
      <c r="D16" s="139"/>
      <c r="E16" s="138"/>
      <c r="F16" s="138"/>
      <c r="G16" s="138"/>
      <c r="H16" s="137" t="s">
        <v>660</v>
      </c>
      <c r="I16" s="137" t="s">
        <v>661</v>
      </c>
      <c r="J16" s="140" t="s">
        <v>3439</v>
      </c>
      <c r="K16" s="137" t="s">
        <v>3440</v>
      </c>
      <c r="L16" s="141" t="s">
        <v>3441</v>
      </c>
      <c r="M16" s="142">
        <v>0.0</v>
      </c>
      <c r="N16" s="137" t="s">
        <v>3442</v>
      </c>
      <c r="O16" s="137">
        <v>14.0</v>
      </c>
      <c r="P16" s="137" t="s">
        <v>3443</v>
      </c>
      <c r="Q16" s="137" t="s">
        <v>3444</v>
      </c>
      <c r="R16" s="137" t="s">
        <v>3445</v>
      </c>
      <c r="S16" s="144" t="s">
        <v>3446</v>
      </c>
      <c r="T16" s="138"/>
      <c r="U16" s="138"/>
      <c r="V16" s="138"/>
      <c r="W16" s="138"/>
      <c r="X16" s="138"/>
      <c r="Y16" s="147"/>
      <c r="Z16" s="148"/>
      <c r="AA16" s="135"/>
      <c r="AB16" s="135"/>
      <c r="AC16" s="135"/>
      <c r="AD16" s="135"/>
      <c r="AE16" s="135"/>
    </row>
    <row r="17" ht="22.5" customHeight="1">
      <c r="A17" s="136">
        <v>46200.96038533565</v>
      </c>
      <c r="B17" s="137" t="s">
        <v>3374</v>
      </c>
      <c r="C17" s="138"/>
      <c r="D17" s="139"/>
      <c r="E17" s="138"/>
      <c r="F17" s="138"/>
      <c r="G17" s="138"/>
      <c r="H17" s="137" t="s">
        <v>2396</v>
      </c>
      <c r="I17" s="137" t="s">
        <v>3447</v>
      </c>
      <c r="J17" s="140" t="s">
        <v>3448</v>
      </c>
      <c r="K17" s="137" t="s">
        <v>3449</v>
      </c>
      <c r="L17" s="141" t="s">
        <v>3450</v>
      </c>
      <c r="M17" s="142">
        <v>0.0</v>
      </c>
      <c r="N17" s="137" t="s">
        <v>3451</v>
      </c>
      <c r="O17" s="137">
        <v>15.0</v>
      </c>
      <c r="P17" s="138"/>
      <c r="Q17" s="138"/>
      <c r="R17" s="137" t="s">
        <v>3452</v>
      </c>
      <c r="S17" s="144" t="b">
        <v>0</v>
      </c>
      <c r="T17" s="138"/>
      <c r="U17" s="138"/>
      <c r="V17" s="138"/>
      <c r="W17" s="138"/>
      <c r="X17" s="138"/>
      <c r="Y17" s="147"/>
      <c r="Z17" s="148"/>
      <c r="AA17" s="135"/>
      <c r="AB17" s="135"/>
      <c r="AC17" s="135"/>
      <c r="AD17" s="135"/>
      <c r="AE17" s="135"/>
    </row>
    <row r="18" ht="22.5" customHeight="1">
      <c r="A18" s="149">
        <v>46201.51116622685</v>
      </c>
      <c r="B18" s="150" t="s">
        <v>3374</v>
      </c>
      <c r="C18" s="151"/>
      <c r="D18" s="152"/>
      <c r="E18" s="151"/>
      <c r="F18" s="151"/>
      <c r="G18" s="151"/>
      <c r="H18" s="150" t="s">
        <v>719</v>
      </c>
      <c r="I18" s="150" t="s">
        <v>3453</v>
      </c>
      <c r="J18" s="153" t="s">
        <v>3454</v>
      </c>
      <c r="K18" s="150" t="s">
        <v>3455</v>
      </c>
      <c r="L18" s="154" t="s">
        <v>3456</v>
      </c>
      <c r="M18" s="155">
        <v>0.0</v>
      </c>
      <c r="N18" s="150" t="s">
        <v>3453</v>
      </c>
      <c r="O18" s="150">
        <v>8.0</v>
      </c>
      <c r="P18" s="151"/>
      <c r="Q18" s="151"/>
      <c r="R18" s="150" t="s">
        <v>76</v>
      </c>
      <c r="S18" s="156" t="b">
        <v>0</v>
      </c>
      <c r="T18" s="151"/>
      <c r="U18" s="151"/>
      <c r="V18" s="151"/>
      <c r="W18" s="151"/>
      <c r="X18" s="151"/>
      <c r="Y18" s="157"/>
      <c r="Z18" s="150" t="s">
        <v>3457</v>
      </c>
      <c r="AA18" s="158"/>
      <c r="AB18" s="158"/>
      <c r="AC18" s="158"/>
      <c r="AD18" s="158"/>
      <c r="AE18" s="158"/>
    </row>
    <row r="19" ht="22.5" customHeight="1">
      <c r="A19" s="136">
        <v>46202.70182824074</v>
      </c>
      <c r="B19" s="137" t="s">
        <v>3374</v>
      </c>
      <c r="C19" s="138"/>
      <c r="D19" s="139"/>
      <c r="E19" s="138"/>
      <c r="F19" s="138"/>
      <c r="G19" s="138"/>
      <c r="H19" s="137" t="s">
        <v>983</v>
      </c>
      <c r="I19" s="137" t="s">
        <v>3458</v>
      </c>
      <c r="J19" s="140" t="s">
        <v>3459</v>
      </c>
      <c r="K19" s="137" t="s">
        <v>3460</v>
      </c>
      <c r="L19" s="141" t="s">
        <v>3461</v>
      </c>
      <c r="M19" s="142">
        <v>0.0</v>
      </c>
      <c r="N19" s="137" t="s">
        <v>3458</v>
      </c>
      <c r="O19" s="137">
        <v>3.0</v>
      </c>
      <c r="P19" s="138"/>
      <c r="Q19" s="138"/>
      <c r="R19" s="138"/>
      <c r="S19" s="144" t="b">
        <v>0</v>
      </c>
      <c r="T19" s="138"/>
      <c r="U19" s="138"/>
      <c r="V19" s="138"/>
      <c r="W19" s="138"/>
      <c r="X19" s="138"/>
      <c r="Y19" s="147"/>
      <c r="Z19" s="148"/>
      <c r="AA19" s="135"/>
      <c r="AB19" s="135"/>
      <c r="AC19" s="135"/>
      <c r="AD19" s="135"/>
      <c r="AE19" s="135"/>
    </row>
    <row r="20" ht="22.5" customHeight="1">
      <c r="A20" s="136">
        <v>46202.84674386574</v>
      </c>
      <c r="B20" s="137" t="s">
        <v>3374</v>
      </c>
      <c r="C20" s="138"/>
      <c r="D20" s="139"/>
      <c r="E20" s="138"/>
      <c r="F20" s="138"/>
      <c r="G20" s="138"/>
      <c r="H20" s="137" t="s">
        <v>2952</v>
      </c>
      <c r="I20" s="137" t="s">
        <v>3462</v>
      </c>
      <c r="J20" s="140" t="s">
        <v>3463</v>
      </c>
      <c r="K20" s="137" t="s">
        <v>3464</v>
      </c>
      <c r="L20" s="141" t="s">
        <v>3465</v>
      </c>
      <c r="M20" s="142">
        <v>0.0</v>
      </c>
      <c r="N20" s="137" t="s">
        <v>3466</v>
      </c>
      <c r="O20" s="137">
        <v>5.0</v>
      </c>
      <c r="P20" s="138"/>
      <c r="Q20" s="138"/>
      <c r="R20" s="137" t="s">
        <v>76</v>
      </c>
      <c r="S20" s="144" t="b">
        <v>0</v>
      </c>
      <c r="T20" s="138"/>
      <c r="U20" s="138"/>
      <c r="V20" s="138"/>
      <c r="W20" s="138"/>
      <c r="X20" s="138"/>
      <c r="Y20" s="147"/>
      <c r="Z20" s="148"/>
      <c r="AA20" s="135"/>
      <c r="AB20" s="135"/>
      <c r="AC20" s="135"/>
      <c r="AD20" s="135"/>
      <c r="AE20" s="135"/>
    </row>
    <row r="21" ht="22.5" customHeight="1">
      <c r="A21" s="136">
        <v>46203.44537136574</v>
      </c>
      <c r="B21" s="137" t="s">
        <v>3374</v>
      </c>
      <c r="C21" s="138"/>
      <c r="D21" s="139"/>
      <c r="E21" s="138"/>
      <c r="F21" s="138"/>
      <c r="G21" s="138"/>
      <c r="H21" s="137" t="s">
        <v>2669</v>
      </c>
      <c r="I21" s="137" t="s">
        <v>2670</v>
      </c>
      <c r="J21" s="140" t="s">
        <v>3467</v>
      </c>
      <c r="K21" s="137" t="s">
        <v>3468</v>
      </c>
      <c r="L21" s="141" t="s">
        <v>3469</v>
      </c>
      <c r="M21" s="142">
        <v>0.0</v>
      </c>
      <c r="N21" s="137" t="s">
        <v>3470</v>
      </c>
      <c r="O21" s="137">
        <v>6.0</v>
      </c>
      <c r="P21" s="138"/>
      <c r="Q21" s="138"/>
      <c r="R21" s="137" t="s">
        <v>3452</v>
      </c>
      <c r="S21" s="144" t="b">
        <v>0</v>
      </c>
      <c r="T21" s="138"/>
      <c r="U21" s="138"/>
      <c r="V21" s="138"/>
      <c r="W21" s="138"/>
      <c r="X21" s="138"/>
      <c r="Y21" s="147"/>
      <c r="Z21" s="148"/>
      <c r="AA21" s="135"/>
      <c r="AB21" s="135"/>
      <c r="AC21" s="135"/>
      <c r="AD21" s="135"/>
      <c r="AE21" s="135"/>
    </row>
    <row r="22" ht="22.5" customHeight="1">
      <c r="A22" s="136">
        <v>46204.523526840276</v>
      </c>
      <c r="B22" s="137" t="s">
        <v>3374</v>
      </c>
      <c r="C22" s="138"/>
      <c r="D22" s="139"/>
      <c r="E22" s="138"/>
      <c r="F22" s="138"/>
      <c r="G22" s="138"/>
      <c r="H22" s="137" t="s">
        <v>2700</v>
      </c>
      <c r="I22" s="137" t="s">
        <v>3471</v>
      </c>
      <c r="J22" s="140" t="s">
        <v>3472</v>
      </c>
      <c r="K22" s="137" t="s">
        <v>3473</v>
      </c>
      <c r="L22" s="141" t="s">
        <v>3474</v>
      </c>
      <c r="M22" s="142">
        <v>0.0</v>
      </c>
      <c r="N22" s="137" t="s">
        <v>3475</v>
      </c>
      <c r="O22" s="137">
        <v>8.0</v>
      </c>
      <c r="P22" s="138"/>
      <c r="Q22" s="138"/>
      <c r="R22" s="137" t="s">
        <v>76</v>
      </c>
      <c r="S22" s="144" t="b">
        <v>0</v>
      </c>
      <c r="T22" s="138"/>
      <c r="U22" s="138"/>
      <c r="V22" s="138"/>
      <c r="W22" s="138"/>
      <c r="X22" s="138"/>
      <c r="Y22" s="147"/>
      <c r="Z22" s="148"/>
      <c r="AA22" s="135"/>
      <c r="AB22" s="135"/>
      <c r="AC22" s="135"/>
      <c r="AD22" s="135"/>
      <c r="AE22" s="135"/>
    </row>
    <row r="23" ht="22.5" customHeight="1">
      <c r="A23" s="159">
        <v>46204.52548273148</v>
      </c>
      <c r="B23" s="160" t="s">
        <v>3374</v>
      </c>
      <c r="C23" s="161"/>
      <c r="D23" s="162"/>
      <c r="E23" s="161"/>
      <c r="F23" s="161"/>
      <c r="G23" s="161"/>
      <c r="H23" s="160" t="s">
        <v>1931</v>
      </c>
      <c r="I23" s="160" t="s">
        <v>3425</v>
      </c>
      <c r="J23" s="163" t="s">
        <v>3476</v>
      </c>
      <c r="K23" s="160" t="s">
        <v>3477</v>
      </c>
      <c r="L23" s="164" t="s">
        <v>3478</v>
      </c>
      <c r="M23" s="165">
        <v>0.0</v>
      </c>
      <c r="N23" s="160" t="s">
        <v>3479</v>
      </c>
      <c r="O23" s="160">
        <v>6.0</v>
      </c>
      <c r="P23" s="161"/>
      <c r="Q23" s="161"/>
      <c r="R23" s="160" t="s">
        <v>3445</v>
      </c>
      <c r="S23" s="166" t="b">
        <v>0</v>
      </c>
      <c r="T23" s="161"/>
      <c r="U23" s="161"/>
      <c r="V23" s="161"/>
      <c r="W23" s="161"/>
      <c r="X23" s="161"/>
      <c r="Y23" s="167"/>
      <c r="Z23" s="168" t="s">
        <v>3480</v>
      </c>
      <c r="AA23" s="135"/>
      <c r="AB23" s="135"/>
      <c r="AC23" s="135"/>
      <c r="AD23" s="135"/>
      <c r="AE23" s="135"/>
    </row>
    <row r="24" ht="22.5" customHeight="1">
      <c r="A24" s="136">
        <v>46204.868004386575</v>
      </c>
      <c r="B24" s="137" t="s">
        <v>3374</v>
      </c>
      <c r="C24" s="138"/>
      <c r="D24" s="139"/>
      <c r="E24" s="138"/>
      <c r="F24" s="138"/>
      <c r="G24" s="138"/>
      <c r="H24" s="137" t="s">
        <v>3169</v>
      </c>
      <c r="I24" s="137" t="s">
        <v>3481</v>
      </c>
      <c r="J24" s="140" t="s">
        <v>3482</v>
      </c>
      <c r="K24" s="137" t="s">
        <v>3483</v>
      </c>
      <c r="L24" s="141" t="s">
        <v>3484</v>
      </c>
      <c r="M24" s="142">
        <v>0.0</v>
      </c>
      <c r="N24" s="137" t="s">
        <v>3485</v>
      </c>
      <c r="O24" s="137">
        <v>2.0</v>
      </c>
      <c r="P24" s="141" t="s">
        <v>3486</v>
      </c>
      <c r="Q24" s="137" t="s">
        <v>3487</v>
      </c>
      <c r="R24" s="137" t="s">
        <v>3438</v>
      </c>
      <c r="S24" s="144" t="b">
        <v>1</v>
      </c>
      <c r="T24" s="138"/>
      <c r="U24" s="138"/>
      <c r="V24" s="138"/>
      <c r="W24" s="138"/>
      <c r="X24" s="138"/>
      <c r="Y24" s="147"/>
      <c r="Z24" s="148"/>
      <c r="AA24" s="135"/>
      <c r="AB24" s="135"/>
      <c r="AC24" s="135"/>
      <c r="AD24" s="135"/>
      <c r="AE24" s="135"/>
    </row>
    <row r="25" ht="22.5" customHeight="1">
      <c r="A25" s="136">
        <v>46204.9517527662</v>
      </c>
      <c r="B25" s="137" t="s">
        <v>3374</v>
      </c>
      <c r="C25" s="138"/>
      <c r="D25" s="139"/>
      <c r="E25" s="138"/>
      <c r="F25" s="138"/>
      <c r="G25" s="138"/>
      <c r="H25" s="137" t="s">
        <v>1804</v>
      </c>
      <c r="I25" s="137" t="s">
        <v>3488</v>
      </c>
      <c r="J25" s="140" t="s">
        <v>3489</v>
      </c>
      <c r="K25" s="137" t="s">
        <v>3490</v>
      </c>
      <c r="L25" s="141" t="s">
        <v>3491</v>
      </c>
      <c r="M25" s="142">
        <v>0.0</v>
      </c>
      <c r="N25" s="137" t="s">
        <v>3488</v>
      </c>
      <c r="O25" s="137">
        <v>8.0</v>
      </c>
      <c r="P25" s="138"/>
      <c r="Q25" s="138"/>
      <c r="R25" s="137" t="s">
        <v>3408</v>
      </c>
      <c r="S25" s="144" t="b">
        <v>0</v>
      </c>
      <c r="T25" s="138"/>
      <c r="U25" s="138"/>
      <c r="V25" s="138"/>
      <c r="W25" s="138"/>
      <c r="X25" s="138"/>
      <c r="Y25" s="147"/>
      <c r="Z25" s="148"/>
      <c r="AA25" s="135"/>
      <c r="AB25" s="135"/>
      <c r="AC25" s="135"/>
      <c r="AD25" s="135"/>
      <c r="AE25" s="135"/>
    </row>
    <row r="26" ht="22.5" customHeight="1">
      <c r="A26" s="136">
        <v>46205.420535937505</v>
      </c>
      <c r="B26" s="137" t="s">
        <v>3374</v>
      </c>
      <c r="C26" s="138"/>
      <c r="D26" s="139"/>
      <c r="E26" s="138"/>
      <c r="F26" s="138"/>
      <c r="G26" s="138"/>
      <c r="H26" s="137" t="s">
        <v>3492</v>
      </c>
      <c r="I26" s="137" t="s">
        <v>3493</v>
      </c>
      <c r="J26" s="140" t="s">
        <v>3494</v>
      </c>
      <c r="K26" s="137" t="s">
        <v>3495</v>
      </c>
      <c r="L26" s="141" t="s">
        <v>3496</v>
      </c>
      <c r="M26" s="142">
        <v>0.0</v>
      </c>
      <c r="N26" s="137" t="s">
        <v>3497</v>
      </c>
      <c r="O26" s="137">
        <v>2.0</v>
      </c>
      <c r="P26" s="137" t="s">
        <v>3498</v>
      </c>
      <c r="Q26" s="138"/>
      <c r="R26" s="137" t="s">
        <v>3445</v>
      </c>
      <c r="S26" s="144" t="b">
        <v>1</v>
      </c>
      <c r="T26" s="138"/>
      <c r="U26" s="138"/>
      <c r="V26" s="138"/>
      <c r="W26" s="138"/>
      <c r="X26" s="138"/>
      <c r="Y26" s="147"/>
      <c r="Z26" s="148"/>
      <c r="AA26" s="135"/>
      <c r="AB26" s="135"/>
      <c r="AC26" s="135"/>
      <c r="AD26" s="135"/>
      <c r="AE26" s="135"/>
    </row>
    <row r="27" ht="22.5" customHeight="1">
      <c r="A27" s="136">
        <v>46205.994009745365</v>
      </c>
      <c r="B27" s="137" t="s">
        <v>3374</v>
      </c>
      <c r="C27" s="138"/>
      <c r="D27" s="139"/>
      <c r="E27" s="138"/>
      <c r="F27" s="138"/>
      <c r="G27" s="138"/>
      <c r="H27" s="137" t="s">
        <v>2587</v>
      </c>
      <c r="I27" s="137" t="s">
        <v>3499</v>
      </c>
      <c r="J27" s="140" t="s">
        <v>3500</v>
      </c>
      <c r="K27" s="137" t="s">
        <v>3501</v>
      </c>
      <c r="L27" s="141" t="s">
        <v>3502</v>
      </c>
      <c r="M27" s="142">
        <v>0.0</v>
      </c>
      <c r="N27" s="137" t="s">
        <v>3503</v>
      </c>
      <c r="O27" s="137">
        <v>24.0</v>
      </c>
      <c r="P27" s="138"/>
      <c r="Q27" s="138"/>
      <c r="R27" s="137" t="s">
        <v>3504</v>
      </c>
      <c r="S27" s="144" t="b">
        <v>0</v>
      </c>
      <c r="T27" s="138"/>
      <c r="U27" s="138"/>
      <c r="V27" s="138"/>
      <c r="W27" s="138"/>
      <c r="X27" s="138"/>
      <c r="Y27" s="147"/>
      <c r="Z27" s="138"/>
      <c r="AA27" s="135"/>
      <c r="AB27" s="135"/>
      <c r="AC27" s="135"/>
      <c r="AD27" s="135"/>
      <c r="AE27" s="135"/>
    </row>
    <row r="28" ht="22.5" customHeight="1">
      <c r="A28" s="136">
        <v>46206.55488174768</v>
      </c>
      <c r="B28" s="137" t="s">
        <v>3374</v>
      </c>
      <c r="C28" s="138"/>
      <c r="D28" s="139"/>
      <c r="E28" s="138"/>
      <c r="F28" s="138"/>
      <c r="G28" s="138"/>
      <c r="H28" s="137" t="s">
        <v>1599</v>
      </c>
      <c r="I28" s="137" t="s">
        <v>3505</v>
      </c>
      <c r="J28" s="140" t="s">
        <v>3506</v>
      </c>
      <c r="K28" s="137" t="s">
        <v>3507</v>
      </c>
      <c r="L28" s="141" t="s">
        <v>3508</v>
      </c>
      <c r="M28" s="142">
        <v>0.0</v>
      </c>
      <c r="N28" s="137" t="s">
        <v>3505</v>
      </c>
      <c r="O28" s="137">
        <v>4.0</v>
      </c>
      <c r="P28" s="141" t="s">
        <v>3509</v>
      </c>
      <c r="Q28" s="137" t="s">
        <v>3510</v>
      </c>
      <c r="R28" s="137" t="s">
        <v>76</v>
      </c>
      <c r="S28" s="144" t="b">
        <v>1</v>
      </c>
      <c r="T28" s="138"/>
      <c r="U28" s="138"/>
      <c r="V28" s="138"/>
      <c r="W28" s="138"/>
      <c r="X28" s="138"/>
      <c r="Y28" s="147"/>
      <c r="Z28" s="138"/>
      <c r="AA28" s="135"/>
      <c r="AB28" s="135"/>
      <c r="AC28" s="135"/>
      <c r="AD28" s="135"/>
      <c r="AE28" s="135"/>
    </row>
    <row r="29" ht="22.5" customHeight="1">
      <c r="A29" s="136">
        <v>46206.84665717593</v>
      </c>
      <c r="B29" s="137" t="s">
        <v>3374</v>
      </c>
      <c r="C29" s="138"/>
      <c r="D29" s="139"/>
      <c r="E29" s="138"/>
      <c r="F29" s="138"/>
      <c r="G29" s="138"/>
      <c r="H29" s="137" t="s">
        <v>3111</v>
      </c>
      <c r="I29" s="137" t="s">
        <v>3511</v>
      </c>
      <c r="J29" s="140" t="s">
        <v>3512</v>
      </c>
      <c r="K29" s="137" t="s">
        <v>3513</v>
      </c>
      <c r="L29" s="141" t="s">
        <v>3514</v>
      </c>
      <c r="M29" s="142">
        <v>0.0</v>
      </c>
      <c r="N29" s="137" t="s">
        <v>3515</v>
      </c>
      <c r="O29" s="137">
        <v>10.0</v>
      </c>
      <c r="P29" s="138"/>
      <c r="Q29" s="138"/>
      <c r="R29" s="137" t="s">
        <v>76</v>
      </c>
      <c r="S29" s="144" t="b">
        <v>0</v>
      </c>
      <c r="T29" s="138"/>
      <c r="U29" s="138"/>
      <c r="V29" s="138"/>
      <c r="W29" s="138"/>
      <c r="X29" s="138"/>
      <c r="Y29" s="147"/>
      <c r="Z29" s="138"/>
      <c r="AA29" s="135"/>
      <c r="AB29" s="135"/>
      <c r="AC29" s="135"/>
      <c r="AD29" s="135"/>
      <c r="AE29" s="135"/>
    </row>
    <row r="30" ht="22.5" customHeight="1">
      <c r="A30" s="136">
        <v>46206.940502314814</v>
      </c>
      <c r="B30" s="137" t="s">
        <v>3374</v>
      </c>
      <c r="C30" s="138"/>
      <c r="D30" s="139"/>
      <c r="E30" s="138"/>
      <c r="F30" s="138"/>
      <c r="G30" s="138"/>
      <c r="H30" s="137" t="s">
        <v>2555</v>
      </c>
      <c r="I30" s="137" t="s">
        <v>3516</v>
      </c>
      <c r="J30" s="140" t="s">
        <v>3517</v>
      </c>
      <c r="K30" s="137" t="s">
        <v>3518</v>
      </c>
      <c r="L30" s="141" t="s">
        <v>3519</v>
      </c>
      <c r="M30" s="142">
        <v>0.0</v>
      </c>
      <c r="N30" s="137" t="s">
        <v>3516</v>
      </c>
      <c r="O30" s="137">
        <v>10.0</v>
      </c>
      <c r="P30" s="138"/>
      <c r="Q30" s="138"/>
      <c r="R30" s="137" t="s">
        <v>3445</v>
      </c>
      <c r="S30" s="144" t="b">
        <v>0</v>
      </c>
      <c r="T30" s="138"/>
      <c r="U30" s="138"/>
      <c r="V30" s="138"/>
      <c r="W30" s="138"/>
      <c r="X30" s="138"/>
      <c r="Y30" s="147"/>
      <c r="Z30" s="138"/>
      <c r="AA30" s="135"/>
      <c r="AB30" s="135"/>
      <c r="AC30" s="135"/>
      <c r="AD30" s="135"/>
      <c r="AE30" s="135"/>
    </row>
    <row r="31" ht="22.5" customHeight="1">
      <c r="A31" s="136">
        <v>46206.954556805555</v>
      </c>
      <c r="B31" s="137" t="s">
        <v>3374</v>
      </c>
      <c r="C31" s="138"/>
      <c r="D31" s="139"/>
      <c r="E31" s="138"/>
      <c r="F31" s="138"/>
      <c r="G31" s="138"/>
      <c r="H31" s="137" t="s">
        <v>2131</v>
      </c>
      <c r="I31" s="137" t="s">
        <v>3520</v>
      </c>
      <c r="J31" s="140" t="s">
        <v>3521</v>
      </c>
      <c r="K31" s="137" t="s">
        <v>3522</v>
      </c>
      <c r="L31" s="141" t="s">
        <v>3523</v>
      </c>
      <c r="M31" s="142">
        <v>0.0</v>
      </c>
      <c r="N31" s="137" t="s">
        <v>3520</v>
      </c>
      <c r="O31" s="137">
        <v>2.0</v>
      </c>
      <c r="P31" s="138"/>
      <c r="Q31" s="138"/>
      <c r="R31" s="137" t="s">
        <v>3445</v>
      </c>
      <c r="S31" s="144" t="b">
        <v>0</v>
      </c>
      <c r="T31" s="138"/>
      <c r="U31" s="138"/>
      <c r="V31" s="138"/>
      <c r="W31" s="138"/>
      <c r="X31" s="138"/>
      <c r="Y31" s="147"/>
      <c r="Z31" s="138"/>
      <c r="AA31" s="135"/>
      <c r="AB31" s="135"/>
      <c r="AC31" s="135"/>
      <c r="AD31" s="135"/>
      <c r="AE31" s="135"/>
    </row>
    <row r="32" ht="22.5" customHeight="1">
      <c r="A32" s="136">
        <v>46207.279468043984</v>
      </c>
      <c r="B32" s="137" t="s">
        <v>3374</v>
      </c>
      <c r="C32" s="138"/>
      <c r="D32" s="139"/>
      <c r="E32" s="138"/>
      <c r="F32" s="138"/>
      <c r="G32" s="138"/>
      <c r="H32" s="137" t="s">
        <v>1572</v>
      </c>
      <c r="I32" s="137" t="s">
        <v>3524</v>
      </c>
      <c r="J32" s="140" t="s">
        <v>3525</v>
      </c>
      <c r="K32" s="137" t="s">
        <v>3526</v>
      </c>
      <c r="L32" s="141" t="s">
        <v>3527</v>
      </c>
      <c r="M32" s="142">
        <v>0.0</v>
      </c>
      <c r="N32" s="137" t="s">
        <v>3528</v>
      </c>
      <c r="O32" s="137">
        <v>4.0</v>
      </c>
      <c r="P32" s="138"/>
      <c r="Q32" s="138"/>
      <c r="R32" s="137" t="s">
        <v>3438</v>
      </c>
      <c r="S32" s="144" t="b">
        <v>0</v>
      </c>
      <c r="T32" s="138"/>
      <c r="U32" s="138"/>
      <c r="V32" s="138"/>
      <c r="W32" s="138"/>
      <c r="X32" s="138"/>
      <c r="Y32" s="147"/>
      <c r="Z32" s="138"/>
      <c r="AA32" s="135"/>
      <c r="AB32" s="135"/>
      <c r="AC32" s="135"/>
      <c r="AD32" s="135"/>
      <c r="AE32" s="135"/>
    </row>
    <row r="33" ht="22.5" customHeight="1">
      <c r="A33" s="169">
        <v>46207.51402163194</v>
      </c>
      <c r="B33" s="170" t="s">
        <v>3374</v>
      </c>
      <c r="C33" s="171"/>
      <c r="D33" s="172"/>
      <c r="E33" s="171"/>
      <c r="F33" s="171"/>
      <c r="G33" s="171"/>
      <c r="H33" s="170" t="s">
        <v>1353</v>
      </c>
      <c r="I33" s="170" t="s">
        <v>3529</v>
      </c>
      <c r="J33" s="173" t="s">
        <v>3530</v>
      </c>
      <c r="K33" s="170" t="s">
        <v>3531</v>
      </c>
      <c r="L33" s="174" t="s">
        <v>3532</v>
      </c>
      <c r="M33" s="175">
        <v>0.0</v>
      </c>
      <c r="N33" s="170" t="s">
        <v>3529</v>
      </c>
      <c r="O33" s="170">
        <v>7.0</v>
      </c>
      <c r="P33" s="171"/>
      <c r="Q33" s="171"/>
      <c r="R33" s="170" t="s">
        <v>3408</v>
      </c>
      <c r="S33" s="176" t="b">
        <v>0</v>
      </c>
      <c r="T33" s="171"/>
      <c r="U33" s="171"/>
      <c r="V33" s="171"/>
      <c r="W33" s="171"/>
      <c r="X33" s="171"/>
      <c r="Y33" s="177"/>
      <c r="Z33" s="171"/>
      <c r="AA33" s="178"/>
      <c r="AB33" s="178"/>
      <c r="AC33" s="178"/>
      <c r="AD33" s="178"/>
      <c r="AE33" s="178"/>
    </row>
    <row r="34" ht="22.5" customHeight="1">
      <c r="A34" s="169">
        <v>46207.530410057865</v>
      </c>
      <c r="B34" s="170" t="s">
        <v>3374</v>
      </c>
      <c r="C34" s="171"/>
      <c r="D34" s="172"/>
      <c r="E34" s="171"/>
      <c r="F34" s="171"/>
      <c r="G34" s="171"/>
      <c r="H34" s="170" t="s">
        <v>2638</v>
      </c>
      <c r="I34" s="170" t="s">
        <v>3533</v>
      </c>
      <c r="J34" s="173" t="s">
        <v>3534</v>
      </c>
      <c r="K34" s="170" t="s">
        <v>3535</v>
      </c>
      <c r="L34" s="174" t="s">
        <v>3536</v>
      </c>
      <c r="M34" s="175">
        <v>0.0</v>
      </c>
      <c r="N34" s="170" t="s">
        <v>3533</v>
      </c>
      <c r="O34" s="170">
        <v>5.0</v>
      </c>
      <c r="P34" s="171"/>
      <c r="Q34" s="171"/>
      <c r="R34" s="170" t="s">
        <v>76</v>
      </c>
      <c r="S34" s="176" t="b">
        <v>0</v>
      </c>
      <c r="T34" s="171"/>
      <c r="U34" s="171"/>
      <c r="V34" s="171"/>
      <c r="W34" s="171"/>
      <c r="X34" s="171"/>
      <c r="Y34" s="177"/>
      <c r="Z34" s="171"/>
      <c r="AA34" s="178"/>
      <c r="AB34" s="178"/>
      <c r="AC34" s="178"/>
      <c r="AD34" s="178"/>
      <c r="AE34" s="178"/>
    </row>
    <row r="35" ht="22.5" customHeight="1">
      <c r="A35" s="169">
        <v>46207.62287009259</v>
      </c>
      <c r="B35" s="170" t="s">
        <v>3374</v>
      </c>
      <c r="C35" s="171"/>
      <c r="D35" s="172"/>
      <c r="E35" s="171"/>
      <c r="F35" s="171"/>
      <c r="G35" s="171"/>
      <c r="H35" s="170" t="s">
        <v>1577</v>
      </c>
      <c r="I35" s="170" t="s">
        <v>3537</v>
      </c>
      <c r="J35" s="173" t="s">
        <v>3538</v>
      </c>
      <c r="K35" s="170" t="s">
        <v>3539</v>
      </c>
      <c r="L35" s="174" t="s">
        <v>3540</v>
      </c>
      <c r="M35" s="175">
        <v>0.0</v>
      </c>
      <c r="N35" s="170" t="s">
        <v>3537</v>
      </c>
      <c r="O35" s="170">
        <v>2.0</v>
      </c>
      <c r="P35" s="171"/>
      <c r="Q35" s="171"/>
      <c r="R35" s="170" t="s">
        <v>3445</v>
      </c>
      <c r="S35" s="176" t="b">
        <v>0</v>
      </c>
      <c r="T35" s="171"/>
      <c r="U35" s="171"/>
      <c r="V35" s="171"/>
      <c r="W35" s="171"/>
      <c r="X35" s="171"/>
      <c r="Y35" s="177"/>
      <c r="Z35" s="171"/>
      <c r="AA35" s="179"/>
      <c r="AB35" s="179"/>
      <c r="AC35" s="179"/>
      <c r="AD35" s="179"/>
      <c r="AE35" s="179"/>
    </row>
    <row r="36" ht="22.5" customHeight="1">
      <c r="A36" s="169">
        <v>46207.83998400463</v>
      </c>
      <c r="B36" s="170" t="s">
        <v>3374</v>
      </c>
      <c r="C36" s="171"/>
      <c r="D36" s="172"/>
      <c r="E36" s="171"/>
      <c r="F36" s="171"/>
      <c r="G36" s="171"/>
      <c r="H36" s="170" t="s">
        <v>3541</v>
      </c>
      <c r="I36" s="170" t="s">
        <v>2597</v>
      </c>
      <c r="J36" s="173" t="s">
        <v>3542</v>
      </c>
      <c r="K36" s="170" t="s">
        <v>3543</v>
      </c>
      <c r="L36" s="174" t="s">
        <v>3544</v>
      </c>
      <c r="M36" s="175">
        <v>0.0</v>
      </c>
      <c r="N36" s="170" t="s">
        <v>3545</v>
      </c>
      <c r="O36" s="170">
        <v>10.0</v>
      </c>
      <c r="P36" s="171"/>
      <c r="Q36" s="171"/>
      <c r="R36" s="170" t="s">
        <v>76</v>
      </c>
      <c r="S36" s="176" t="b">
        <v>0</v>
      </c>
      <c r="T36" s="171"/>
      <c r="U36" s="171"/>
      <c r="V36" s="171"/>
      <c r="W36" s="171"/>
      <c r="X36" s="171"/>
      <c r="Y36" s="177"/>
      <c r="Z36" s="171"/>
      <c r="AA36" s="178"/>
      <c r="AB36" s="178"/>
      <c r="AC36" s="178"/>
      <c r="AD36" s="178"/>
      <c r="AE36" s="178"/>
    </row>
    <row r="37" ht="22.5" customHeight="1">
      <c r="A37" s="169">
        <v>46207.84676784722</v>
      </c>
      <c r="B37" s="170" t="s">
        <v>3374</v>
      </c>
      <c r="C37" s="171"/>
      <c r="D37" s="172"/>
      <c r="E37" s="171"/>
      <c r="F37" s="171"/>
      <c r="G37" s="171"/>
      <c r="H37" s="170" t="s">
        <v>1999</v>
      </c>
      <c r="I37" s="170" t="s">
        <v>3546</v>
      </c>
      <c r="J37" s="173" t="s">
        <v>3547</v>
      </c>
      <c r="K37" s="170" t="s">
        <v>3548</v>
      </c>
      <c r="L37" s="174" t="s">
        <v>3549</v>
      </c>
      <c r="M37" s="175">
        <v>0.0</v>
      </c>
      <c r="N37" s="170" t="s">
        <v>3550</v>
      </c>
      <c r="O37" s="170">
        <v>5.0</v>
      </c>
      <c r="P37" s="171"/>
      <c r="Q37" s="171"/>
      <c r="R37" s="170" t="s">
        <v>76</v>
      </c>
      <c r="S37" s="176" t="b">
        <v>0</v>
      </c>
      <c r="T37" s="171"/>
      <c r="U37" s="171"/>
      <c r="V37" s="171"/>
      <c r="W37" s="171"/>
      <c r="X37" s="171"/>
      <c r="Y37" s="177"/>
      <c r="Z37" s="171"/>
      <c r="AA37" s="178"/>
      <c r="AB37" s="178"/>
      <c r="AC37" s="178"/>
      <c r="AD37" s="178"/>
      <c r="AE37" s="178"/>
    </row>
    <row r="38" ht="22.5" customHeight="1">
      <c r="A38" s="169">
        <v>46207.8527486574</v>
      </c>
      <c r="B38" s="170" t="s">
        <v>3374</v>
      </c>
      <c r="C38" s="171"/>
      <c r="D38" s="172"/>
      <c r="E38" s="171"/>
      <c r="F38" s="171"/>
      <c r="G38" s="171"/>
      <c r="H38" s="170" t="s">
        <v>2159</v>
      </c>
      <c r="I38" s="170" t="s">
        <v>3551</v>
      </c>
      <c r="J38" s="173" t="s">
        <v>3552</v>
      </c>
      <c r="K38" s="170" t="s">
        <v>3553</v>
      </c>
      <c r="L38" s="174" t="s">
        <v>3554</v>
      </c>
      <c r="M38" s="175">
        <v>0.0</v>
      </c>
      <c r="N38" s="170" t="s">
        <v>3551</v>
      </c>
      <c r="O38" s="170">
        <v>8.0</v>
      </c>
      <c r="P38" s="170" t="s">
        <v>3555</v>
      </c>
      <c r="Q38" s="170" t="s">
        <v>3556</v>
      </c>
      <c r="R38" s="170" t="s">
        <v>76</v>
      </c>
      <c r="S38" s="176" t="b">
        <v>1</v>
      </c>
      <c r="T38" s="170" t="s">
        <v>3557</v>
      </c>
      <c r="U38" s="170" t="s">
        <v>3558</v>
      </c>
      <c r="V38" s="171"/>
      <c r="W38" s="171"/>
      <c r="X38" s="171"/>
      <c r="Y38" s="177"/>
      <c r="Z38" s="171"/>
      <c r="AA38" s="178"/>
      <c r="AB38" s="178"/>
      <c r="AC38" s="178"/>
      <c r="AD38" s="178"/>
      <c r="AE38" s="178"/>
    </row>
    <row r="39" ht="22.5" customHeight="1">
      <c r="A39" s="169">
        <v>46207.85309091435</v>
      </c>
      <c r="B39" s="170" t="s">
        <v>3374</v>
      </c>
      <c r="C39" s="171"/>
      <c r="D39" s="172"/>
      <c r="E39" s="171"/>
      <c r="F39" s="171"/>
      <c r="G39" s="171"/>
      <c r="H39" s="170" t="s">
        <v>3200</v>
      </c>
      <c r="I39" s="170" t="s">
        <v>3559</v>
      </c>
      <c r="J39" s="173" t="s">
        <v>3560</v>
      </c>
      <c r="K39" s="170" t="s">
        <v>3561</v>
      </c>
      <c r="L39" s="174" t="s">
        <v>3562</v>
      </c>
      <c r="M39" s="175">
        <v>0.0</v>
      </c>
      <c r="N39" s="170" t="s">
        <v>3559</v>
      </c>
      <c r="O39" s="170">
        <v>4.0</v>
      </c>
      <c r="P39" s="171"/>
      <c r="Q39" s="171"/>
      <c r="R39" s="171"/>
      <c r="S39" s="176" t="b">
        <v>0</v>
      </c>
      <c r="T39" s="171"/>
      <c r="U39" s="171"/>
      <c r="V39" s="171"/>
      <c r="W39" s="171"/>
      <c r="X39" s="171"/>
      <c r="Y39" s="177"/>
      <c r="Z39" s="171"/>
      <c r="AA39" s="178"/>
      <c r="AB39" s="178"/>
      <c r="AC39" s="178"/>
      <c r="AD39" s="178"/>
      <c r="AE39" s="178"/>
    </row>
    <row r="40" ht="22.5" customHeight="1">
      <c r="A40" s="169">
        <v>46207.85388087963</v>
      </c>
      <c r="B40" s="170" t="s">
        <v>3374</v>
      </c>
      <c r="C40" s="171"/>
      <c r="D40" s="172"/>
      <c r="E40" s="171"/>
      <c r="F40" s="171"/>
      <c r="G40" s="171"/>
      <c r="H40" s="170" t="s">
        <v>2024</v>
      </c>
      <c r="I40" s="170" t="s">
        <v>3563</v>
      </c>
      <c r="J40" s="173" t="s">
        <v>3564</v>
      </c>
      <c r="K40" s="170" t="s">
        <v>3565</v>
      </c>
      <c r="L40" s="174" t="s">
        <v>3566</v>
      </c>
      <c r="M40" s="175">
        <v>0.0</v>
      </c>
      <c r="N40" s="170" t="s">
        <v>3563</v>
      </c>
      <c r="O40" s="170">
        <v>10.0</v>
      </c>
      <c r="P40" s="170" t="s">
        <v>3567</v>
      </c>
      <c r="Q40" s="170" t="s">
        <v>3568</v>
      </c>
      <c r="R40" s="170" t="s">
        <v>3445</v>
      </c>
      <c r="S40" s="176" t="b">
        <v>1</v>
      </c>
      <c r="T40" s="170" t="s">
        <v>3569</v>
      </c>
      <c r="U40" s="170" t="s">
        <v>3570</v>
      </c>
      <c r="V40" s="180" t="s">
        <v>3571</v>
      </c>
      <c r="W40" s="171"/>
      <c r="X40" s="171"/>
      <c r="Y40" s="177"/>
      <c r="Z40" s="171"/>
      <c r="AA40" s="178"/>
      <c r="AB40" s="178"/>
      <c r="AC40" s="178"/>
      <c r="AD40" s="178"/>
      <c r="AE40" s="178"/>
    </row>
    <row r="41" ht="22.5" customHeight="1">
      <c r="A41" s="169">
        <v>46207.8622921412</v>
      </c>
      <c r="B41" s="170" t="s">
        <v>3374</v>
      </c>
      <c r="C41" s="171"/>
      <c r="D41" s="172"/>
      <c r="E41" s="171"/>
      <c r="F41" s="171"/>
      <c r="G41" s="171"/>
      <c r="H41" s="170" t="s">
        <v>2608</v>
      </c>
      <c r="I41" s="170" t="s">
        <v>3572</v>
      </c>
      <c r="J41" s="173" t="s">
        <v>3573</v>
      </c>
      <c r="K41" s="170" t="s">
        <v>3574</v>
      </c>
      <c r="L41" s="174" t="s">
        <v>3575</v>
      </c>
      <c r="M41" s="175">
        <v>0.0</v>
      </c>
      <c r="N41" s="170" t="s">
        <v>3572</v>
      </c>
      <c r="O41" s="170">
        <v>6.0</v>
      </c>
      <c r="P41" s="181" t="s">
        <v>3576</v>
      </c>
      <c r="Q41" s="170" t="s">
        <v>3577</v>
      </c>
      <c r="R41" s="170" t="s">
        <v>3445</v>
      </c>
      <c r="S41" s="176" t="b">
        <v>1</v>
      </c>
      <c r="T41" s="171"/>
      <c r="U41" s="171"/>
      <c r="V41" s="171"/>
      <c r="W41" s="171"/>
      <c r="X41" s="171"/>
      <c r="Y41" s="177"/>
      <c r="Z41" s="171"/>
      <c r="AA41" s="178"/>
      <c r="AB41" s="178"/>
      <c r="AC41" s="178"/>
      <c r="AD41" s="178"/>
      <c r="AE41" s="178"/>
    </row>
    <row r="42" ht="22.5" customHeight="1">
      <c r="A42" s="169">
        <v>46207.87109237269</v>
      </c>
      <c r="B42" s="170" t="s">
        <v>3374</v>
      </c>
      <c r="C42" s="171"/>
      <c r="D42" s="172"/>
      <c r="E42" s="171"/>
      <c r="F42" s="171"/>
      <c r="G42" s="171"/>
      <c r="H42" s="170" t="s">
        <v>3065</v>
      </c>
      <c r="I42" s="170" t="s">
        <v>3066</v>
      </c>
      <c r="J42" s="173" t="s">
        <v>3578</v>
      </c>
      <c r="K42" s="170" t="s">
        <v>3579</v>
      </c>
      <c r="L42" s="174" t="s">
        <v>3580</v>
      </c>
      <c r="M42" s="175">
        <v>0.0</v>
      </c>
      <c r="N42" s="170" t="s">
        <v>3581</v>
      </c>
      <c r="O42" s="170">
        <v>9.0</v>
      </c>
      <c r="P42" s="171"/>
      <c r="Q42" s="171"/>
      <c r="R42" s="170" t="s">
        <v>3373</v>
      </c>
      <c r="S42" s="176" t="b">
        <v>0</v>
      </c>
      <c r="T42" s="171"/>
      <c r="U42" s="171"/>
      <c r="V42" s="171"/>
      <c r="W42" s="171"/>
      <c r="X42" s="171"/>
      <c r="Y42" s="177"/>
      <c r="Z42" s="171"/>
      <c r="AA42" s="178"/>
      <c r="AB42" s="178"/>
      <c r="AC42" s="178"/>
      <c r="AD42" s="178"/>
      <c r="AE42" s="178"/>
    </row>
    <row r="43" ht="22.5" customHeight="1">
      <c r="A43" s="169">
        <v>46207.8782503588</v>
      </c>
      <c r="B43" s="170" t="s">
        <v>3374</v>
      </c>
      <c r="C43" s="171"/>
      <c r="D43" s="172"/>
      <c r="E43" s="171"/>
      <c r="F43" s="171"/>
      <c r="G43" s="171"/>
      <c r="H43" s="170" t="s">
        <v>3029</v>
      </c>
      <c r="I43" s="170" t="s">
        <v>3582</v>
      </c>
      <c r="J43" s="173" t="s">
        <v>3583</v>
      </c>
      <c r="K43" s="170" t="s">
        <v>3584</v>
      </c>
      <c r="L43" s="174" t="s">
        <v>3585</v>
      </c>
      <c r="M43" s="175">
        <v>0.0</v>
      </c>
      <c r="N43" s="170" t="s">
        <v>3582</v>
      </c>
      <c r="O43" s="170">
        <v>8.0</v>
      </c>
      <c r="P43" s="171"/>
      <c r="Q43" s="171"/>
      <c r="R43" s="170" t="s">
        <v>3408</v>
      </c>
      <c r="S43" s="176" t="b">
        <v>0</v>
      </c>
      <c r="T43" s="171"/>
      <c r="U43" s="171"/>
      <c r="V43" s="171"/>
      <c r="W43" s="171"/>
      <c r="X43" s="171"/>
      <c r="Y43" s="177"/>
      <c r="Z43" s="171"/>
      <c r="AA43" s="178"/>
      <c r="AB43" s="178"/>
      <c r="AC43" s="178"/>
      <c r="AD43" s="178"/>
      <c r="AE43" s="178"/>
    </row>
    <row r="44" ht="22.5" customHeight="1">
      <c r="A44" s="169">
        <v>46207.889395555554</v>
      </c>
      <c r="B44" s="170" t="s">
        <v>3374</v>
      </c>
      <c r="C44" s="171"/>
      <c r="D44" s="172"/>
      <c r="E44" s="171"/>
      <c r="F44" s="171"/>
      <c r="G44" s="171"/>
      <c r="H44" s="170" t="s">
        <v>842</v>
      </c>
      <c r="I44" s="170" t="s">
        <v>843</v>
      </c>
      <c r="J44" s="173" t="s">
        <v>3586</v>
      </c>
      <c r="K44" s="170" t="s">
        <v>3587</v>
      </c>
      <c r="L44" s="174" t="s">
        <v>3588</v>
      </c>
      <c r="M44" s="175">
        <v>0.0</v>
      </c>
      <c r="N44" s="170" t="s">
        <v>3589</v>
      </c>
      <c r="O44" s="170">
        <v>4.0</v>
      </c>
      <c r="P44" s="171"/>
      <c r="Q44" s="171"/>
      <c r="R44" s="170" t="s">
        <v>3445</v>
      </c>
      <c r="S44" s="176" t="b">
        <v>0</v>
      </c>
      <c r="T44" s="171"/>
      <c r="U44" s="171"/>
      <c r="V44" s="171"/>
      <c r="W44" s="171"/>
      <c r="X44" s="171"/>
      <c r="Y44" s="177"/>
      <c r="Z44" s="171"/>
      <c r="AA44" s="178"/>
      <c r="AB44" s="178"/>
      <c r="AC44" s="178"/>
      <c r="AD44" s="178"/>
      <c r="AE44" s="178"/>
    </row>
    <row r="45" ht="22.5" customHeight="1">
      <c r="A45" s="169">
        <v>46207.89130354166</v>
      </c>
      <c r="B45" s="170" t="s">
        <v>3374</v>
      </c>
      <c r="C45" s="171"/>
      <c r="D45" s="172"/>
      <c r="E45" s="171"/>
      <c r="F45" s="171"/>
      <c r="G45" s="171"/>
      <c r="H45" s="170" t="s">
        <v>2434</v>
      </c>
      <c r="I45" s="170" t="s">
        <v>3590</v>
      </c>
      <c r="J45" s="173" t="s">
        <v>3591</v>
      </c>
      <c r="K45" s="170" t="s">
        <v>3592</v>
      </c>
      <c r="L45" s="174" t="s">
        <v>3593</v>
      </c>
      <c r="M45" s="175">
        <v>0.0</v>
      </c>
      <c r="N45" s="170" t="s">
        <v>3594</v>
      </c>
      <c r="O45" s="170">
        <v>8.0</v>
      </c>
      <c r="P45" s="171"/>
      <c r="Q45" s="171"/>
      <c r="R45" s="170" t="s">
        <v>3445</v>
      </c>
      <c r="S45" s="176" t="b">
        <v>0</v>
      </c>
      <c r="T45" s="171"/>
      <c r="U45" s="171"/>
      <c r="V45" s="171"/>
      <c r="W45" s="171"/>
      <c r="X45" s="171"/>
      <c r="Y45" s="177"/>
      <c r="Z45" s="171"/>
      <c r="AA45" s="178"/>
      <c r="AB45" s="178"/>
      <c r="AC45" s="178"/>
      <c r="AD45" s="178"/>
      <c r="AE45" s="178"/>
    </row>
    <row r="46" ht="22.5" customHeight="1">
      <c r="A46" s="169">
        <v>46207.926603078704</v>
      </c>
      <c r="B46" s="170" t="s">
        <v>3374</v>
      </c>
      <c r="C46" s="171"/>
      <c r="D46" s="172"/>
      <c r="E46" s="171"/>
      <c r="F46" s="171"/>
      <c r="G46" s="171"/>
      <c r="H46" s="170" t="s">
        <v>1977</v>
      </c>
      <c r="I46" s="170" t="s">
        <v>3595</v>
      </c>
      <c r="J46" s="173" t="s">
        <v>3596</v>
      </c>
      <c r="K46" s="170" t="s">
        <v>3597</v>
      </c>
      <c r="L46" s="174" t="s">
        <v>3598</v>
      </c>
      <c r="M46" s="175">
        <v>0.0</v>
      </c>
      <c r="N46" s="170" t="s">
        <v>3595</v>
      </c>
      <c r="O46" s="170">
        <v>2.0</v>
      </c>
      <c r="P46" s="170" t="s">
        <v>3599</v>
      </c>
      <c r="Q46" s="170" t="s">
        <v>3600</v>
      </c>
      <c r="R46" s="170" t="s">
        <v>3445</v>
      </c>
      <c r="S46" s="176" t="b">
        <v>1</v>
      </c>
      <c r="T46" s="171"/>
      <c r="U46" s="171"/>
      <c r="V46" s="171"/>
      <c r="W46" s="171"/>
      <c r="X46" s="171"/>
      <c r="Y46" s="177"/>
      <c r="Z46" s="171"/>
      <c r="AA46" s="178"/>
      <c r="AB46" s="178"/>
      <c r="AC46" s="178"/>
      <c r="AD46" s="178"/>
      <c r="AE46" s="178"/>
    </row>
    <row r="47" ht="22.5" customHeight="1">
      <c r="A47" s="169">
        <v>46207.959160983795</v>
      </c>
      <c r="B47" s="170" t="s">
        <v>3374</v>
      </c>
      <c r="C47" s="171"/>
      <c r="D47" s="172"/>
      <c r="E47" s="171"/>
      <c r="F47" s="171"/>
      <c r="G47" s="171"/>
      <c r="H47" s="170" t="s">
        <v>1456</v>
      </c>
      <c r="I47" s="170" t="s">
        <v>1457</v>
      </c>
      <c r="J47" s="173" t="s">
        <v>3601</v>
      </c>
      <c r="K47" s="170" t="s">
        <v>3602</v>
      </c>
      <c r="L47" s="174" t="s">
        <v>3603</v>
      </c>
      <c r="M47" s="175">
        <v>0.0</v>
      </c>
      <c r="N47" s="170" t="s">
        <v>3604</v>
      </c>
      <c r="O47" s="170">
        <v>6.0</v>
      </c>
      <c r="P47" s="180" t="s">
        <v>3605</v>
      </c>
      <c r="Q47" s="170" t="s">
        <v>3606</v>
      </c>
      <c r="R47" s="170" t="s">
        <v>76</v>
      </c>
      <c r="S47" s="176" t="b">
        <v>1</v>
      </c>
      <c r="T47" s="171"/>
      <c r="U47" s="171"/>
      <c r="V47" s="171"/>
      <c r="W47" s="171"/>
      <c r="X47" s="171"/>
      <c r="Y47" s="177"/>
      <c r="Z47" s="171"/>
      <c r="AA47" s="178"/>
      <c r="AB47" s="178"/>
      <c r="AC47" s="178"/>
      <c r="AD47" s="178"/>
      <c r="AE47" s="178"/>
    </row>
    <row r="48" ht="22.5" customHeight="1">
      <c r="A48" s="169">
        <v>46207.9830569676</v>
      </c>
      <c r="B48" s="170" t="s">
        <v>3374</v>
      </c>
      <c r="C48" s="171"/>
      <c r="D48" s="172"/>
      <c r="E48" s="171"/>
      <c r="F48" s="171"/>
      <c r="G48" s="171"/>
      <c r="H48" s="170" t="s">
        <v>1656</v>
      </c>
      <c r="I48" s="170" t="s">
        <v>1657</v>
      </c>
      <c r="J48" s="173" t="s">
        <v>3607</v>
      </c>
      <c r="K48" s="170" t="s">
        <v>3608</v>
      </c>
      <c r="L48" s="174" t="s">
        <v>3609</v>
      </c>
      <c r="M48" s="175">
        <v>0.0</v>
      </c>
      <c r="N48" s="170" t="s">
        <v>3610</v>
      </c>
      <c r="O48" s="170">
        <v>10.0</v>
      </c>
      <c r="P48" s="171"/>
      <c r="Q48" s="171"/>
      <c r="R48" s="171"/>
      <c r="S48" s="182" t="b">
        <v>0</v>
      </c>
      <c r="T48" s="171"/>
      <c r="U48" s="171"/>
      <c r="V48" s="171"/>
      <c r="W48" s="171"/>
      <c r="X48" s="171"/>
      <c r="Y48" s="177"/>
      <c r="Z48" s="171"/>
      <c r="AA48" s="178"/>
      <c r="AB48" s="178"/>
      <c r="AC48" s="178"/>
      <c r="AD48" s="178"/>
      <c r="AE48" s="178"/>
    </row>
    <row r="49" ht="22.5" customHeight="1">
      <c r="A49" s="169">
        <v>46208.44365666667</v>
      </c>
      <c r="B49" s="170" t="s">
        <v>3374</v>
      </c>
      <c r="C49" s="171"/>
      <c r="D49" s="172"/>
      <c r="E49" s="171"/>
      <c r="F49" s="171"/>
      <c r="G49" s="171"/>
      <c r="H49" s="170" t="s">
        <v>2733</v>
      </c>
      <c r="I49" s="170" t="s">
        <v>3611</v>
      </c>
      <c r="J49" s="173" t="s">
        <v>3612</v>
      </c>
      <c r="K49" s="170" t="s">
        <v>3613</v>
      </c>
      <c r="L49" s="174" t="s">
        <v>3614</v>
      </c>
      <c r="M49" s="175">
        <v>0.0</v>
      </c>
      <c r="N49" s="170" t="s">
        <v>3611</v>
      </c>
      <c r="O49" s="170">
        <v>5.0</v>
      </c>
      <c r="P49" s="171"/>
      <c r="Q49" s="171"/>
      <c r="R49" s="170" t="s">
        <v>3438</v>
      </c>
      <c r="S49" s="182" t="b">
        <v>0</v>
      </c>
      <c r="T49" s="171"/>
      <c r="U49" s="171"/>
      <c r="V49" s="171"/>
      <c r="W49" s="171"/>
      <c r="X49" s="171"/>
      <c r="Y49" s="177"/>
      <c r="Z49" s="171"/>
      <c r="AA49" s="178"/>
      <c r="AB49" s="178"/>
      <c r="AC49" s="178"/>
      <c r="AD49" s="178"/>
      <c r="AE49" s="178"/>
    </row>
    <row r="50" ht="22.5" customHeight="1">
      <c r="A50" s="169">
        <v>46208.49651738426</v>
      </c>
      <c r="B50" s="170" t="s">
        <v>3374</v>
      </c>
      <c r="C50" s="171"/>
      <c r="D50" s="172"/>
      <c r="E50" s="171"/>
      <c r="F50" s="171"/>
      <c r="G50" s="171"/>
      <c r="H50" s="170" t="s">
        <v>1725</v>
      </c>
      <c r="I50" s="170" t="s">
        <v>3615</v>
      </c>
      <c r="J50" s="173" t="s">
        <v>3616</v>
      </c>
      <c r="K50" s="170" t="s">
        <v>3617</v>
      </c>
      <c r="L50" s="174" t="s">
        <v>3618</v>
      </c>
      <c r="M50" s="175">
        <v>0.0</v>
      </c>
      <c r="N50" s="170" t="s">
        <v>3615</v>
      </c>
      <c r="O50" s="170">
        <v>9.0</v>
      </c>
      <c r="P50" s="171"/>
      <c r="Q50" s="171"/>
      <c r="R50" s="170" t="s">
        <v>3408</v>
      </c>
      <c r="S50" s="182" t="b">
        <v>0</v>
      </c>
      <c r="T50" s="171"/>
      <c r="U50" s="171"/>
      <c r="V50" s="171"/>
      <c r="W50" s="171"/>
      <c r="X50" s="171"/>
      <c r="Y50" s="177"/>
      <c r="Z50" s="171"/>
      <c r="AA50" s="178"/>
      <c r="AB50" s="178"/>
      <c r="AC50" s="178"/>
      <c r="AD50" s="178"/>
      <c r="AE50" s="178"/>
    </row>
    <row r="51" ht="22.5" customHeight="1">
      <c r="A51" s="169">
        <v>46208.56488356482</v>
      </c>
      <c r="B51" s="170" t="s">
        <v>3374</v>
      </c>
      <c r="C51" s="171"/>
      <c r="D51" s="172"/>
      <c r="E51" s="171"/>
      <c r="F51" s="171"/>
      <c r="G51" s="171"/>
      <c r="H51" s="170" t="s">
        <v>2510</v>
      </c>
      <c r="I51" s="170" t="s">
        <v>3619</v>
      </c>
      <c r="J51" s="173" t="s">
        <v>3620</v>
      </c>
      <c r="K51" s="170" t="s">
        <v>3621</v>
      </c>
      <c r="L51" s="174" t="s">
        <v>3622</v>
      </c>
      <c r="M51" s="175">
        <v>0.0</v>
      </c>
      <c r="N51" s="170" t="s">
        <v>3619</v>
      </c>
      <c r="O51" s="170">
        <v>6.0</v>
      </c>
      <c r="P51" s="180" t="s">
        <v>3623</v>
      </c>
      <c r="Q51" s="170" t="s">
        <v>3624</v>
      </c>
      <c r="R51" s="170" t="s">
        <v>76</v>
      </c>
      <c r="S51" s="176" t="b">
        <v>1</v>
      </c>
      <c r="T51" s="171"/>
      <c r="U51" s="171"/>
      <c r="V51" s="171"/>
      <c r="W51" s="171"/>
      <c r="X51" s="171"/>
      <c r="Y51" s="177"/>
      <c r="Z51" s="171"/>
      <c r="AA51" s="178"/>
      <c r="AB51" s="178"/>
      <c r="AC51" s="178"/>
      <c r="AD51" s="178"/>
      <c r="AE51" s="178"/>
    </row>
    <row r="52" ht="22.5" customHeight="1">
      <c r="A52" s="169">
        <v>46208.57545369213</v>
      </c>
      <c r="B52" s="170" t="s">
        <v>3374</v>
      </c>
      <c r="C52" s="171"/>
      <c r="D52" s="172"/>
      <c r="E52" s="171"/>
      <c r="F52" s="171"/>
      <c r="G52" s="171"/>
      <c r="H52" s="170" t="s">
        <v>3255</v>
      </c>
      <c r="I52" s="170" t="s">
        <v>3625</v>
      </c>
      <c r="J52" s="173" t="s">
        <v>3626</v>
      </c>
      <c r="K52" s="170" t="s">
        <v>3627</v>
      </c>
      <c r="L52" s="174" t="s">
        <v>3628</v>
      </c>
      <c r="M52" s="175">
        <v>0.0</v>
      </c>
      <c r="N52" s="170" t="s">
        <v>3629</v>
      </c>
      <c r="O52" s="170">
        <v>8.0</v>
      </c>
      <c r="P52" s="170" t="s">
        <v>3630</v>
      </c>
      <c r="Q52" s="170" t="s">
        <v>3631</v>
      </c>
      <c r="R52" s="170" t="s">
        <v>3373</v>
      </c>
      <c r="S52" s="176" t="b">
        <v>1</v>
      </c>
      <c r="T52" s="171"/>
      <c r="U52" s="171"/>
      <c r="V52" s="171"/>
      <c r="W52" s="171"/>
      <c r="X52" s="171"/>
      <c r="Y52" s="177"/>
      <c r="Z52" s="171"/>
      <c r="AA52" s="178"/>
      <c r="AB52" s="178"/>
      <c r="AC52" s="178"/>
      <c r="AD52" s="178"/>
      <c r="AE52" s="178"/>
    </row>
    <row r="53" ht="22.5" customHeight="1">
      <c r="A53" s="169">
        <v>46208.754995625</v>
      </c>
      <c r="B53" s="170" t="s">
        <v>3374</v>
      </c>
      <c r="C53" s="171"/>
      <c r="D53" s="172"/>
      <c r="E53" s="171"/>
      <c r="F53" s="171"/>
      <c r="G53" s="171"/>
      <c r="H53" s="170" t="s">
        <v>1080</v>
      </c>
      <c r="I53" s="170" t="s">
        <v>3632</v>
      </c>
      <c r="J53" s="173" t="s">
        <v>3633</v>
      </c>
      <c r="K53" s="170" t="s">
        <v>3634</v>
      </c>
      <c r="L53" s="174" t="s">
        <v>3635</v>
      </c>
      <c r="M53" s="175">
        <v>0.0</v>
      </c>
      <c r="N53" s="170" t="s">
        <v>3632</v>
      </c>
      <c r="O53" s="170">
        <v>2.0</v>
      </c>
      <c r="P53" s="180" t="s">
        <v>3636</v>
      </c>
      <c r="Q53" s="170" t="s">
        <v>3637</v>
      </c>
      <c r="R53" s="170" t="s">
        <v>76</v>
      </c>
      <c r="S53" s="176" t="b">
        <v>1</v>
      </c>
      <c r="T53" s="171"/>
      <c r="U53" s="171"/>
      <c r="V53" s="171"/>
      <c r="W53" s="171"/>
      <c r="X53" s="171"/>
      <c r="Y53" s="177"/>
      <c r="Z53" s="171"/>
      <c r="AA53" s="178"/>
      <c r="AB53" s="178"/>
      <c r="AC53" s="178"/>
      <c r="AD53" s="178"/>
      <c r="AE53" s="178"/>
    </row>
    <row r="54" ht="22.5" customHeight="1">
      <c r="A54" s="183">
        <v>46208.843067222224</v>
      </c>
      <c r="B54" s="184" t="s">
        <v>3374</v>
      </c>
      <c r="C54" s="185"/>
      <c r="D54" s="186"/>
      <c r="E54" s="185"/>
      <c r="F54" s="185"/>
      <c r="G54" s="185"/>
      <c r="H54" s="184" t="s">
        <v>2077</v>
      </c>
      <c r="I54" s="184" t="s">
        <v>2078</v>
      </c>
      <c r="J54" s="187" t="s">
        <v>3638</v>
      </c>
      <c r="K54" s="184" t="s">
        <v>3639</v>
      </c>
      <c r="L54" s="188" t="s">
        <v>3640</v>
      </c>
      <c r="M54" s="189">
        <v>0.0</v>
      </c>
      <c r="N54" s="184" t="s">
        <v>3641</v>
      </c>
      <c r="O54" s="184">
        <v>2.0</v>
      </c>
      <c r="P54" s="185"/>
      <c r="Q54" s="185"/>
      <c r="R54" s="184" t="s">
        <v>3445</v>
      </c>
      <c r="S54" s="190" t="b">
        <v>0</v>
      </c>
      <c r="T54" s="185"/>
      <c r="U54" s="185"/>
      <c r="V54" s="185"/>
      <c r="W54" s="185"/>
      <c r="X54" s="185"/>
      <c r="Y54" s="191"/>
      <c r="Z54" s="185"/>
      <c r="AA54" s="192"/>
      <c r="AB54" s="192"/>
      <c r="AC54" s="192"/>
      <c r="AD54" s="192"/>
      <c r="AE54" s="192"/>
    </row>
    <row r="55" ht="22.5" customHeight="1">
      <c r="A55" s="169">
        <v>46208.84661496528</v>
      </c>
      <c r="B55" s="170" t="s">
        <v>3374</v>
      </c>
      <c r="C55" s="171"/>
      <c r="D55" s="172"/>
      <c r="E55" s="171"/>
      <c r="F55" s="171"/>
      <c r="G55" s="171"/>
      <c r="H55" s="170" t="s">
        <v>1729</v>
      </c>
      <c r="I55" s="170" t="s">
        <v>1730</v>
      </c>
      <c r="J55" s="173" t="s">
        <v>3642</v>
      </c>
      <c r="K55" s="170" t="s">
        <v>3643</v>
      </c>
      <c r="L55" s="174" t="s">
        <v>3644</v>
      </c>
      <c r="M55" s="175">
        <v>0.0</v>
      </c>
      <c r="N55" s="170" t="s">
        <v>3645</v>
      </c>
      <c r="O55" s="170">
        <v>11.0</v>
      </c>
      <c r="P55" s="171"/>
      <c r="Q55" s="171"/>
      <c r="R55" s="170" t="s">
        <v>76</v>
      </c>
      <c r="S55" s="182" t="b">
        <v>0</v>
      </c>
      <c r="T55" s="171"/>
      <c r="U55" s="171"/>
      <c r="V55" s="171"/>
      <c r="W55" s="171"/>
      <c r="X55" s="171"/>
      <c r="Y55" s="177"/>
      <c r="Z55" s="171"/>
      <c r="AA55" s="178"/>
      <c r="AB55" s="178"/>
      <c r="AC55" s="178"/>
      <c r="AD55" s="178"/>
      <c r="AE55" s="178"/>
    </row>
    <row r="56" ht="22.5" customHeight="1">
      <c r="A56" s="169">
        <v>46208.89071891204</v>
      </c>
      <c r="B56" s="170" t="s">
        <v>3374</v>
      </c>
      <c r="C56" s="171"/>
      <c r="D56" s="172"/>
      <c r="E56" s="171"/>
      <c r="F56" s="171"/>
      <c r="G56" s="171"/>
      <c r="H56" s="170" t="s">
        <v>2019</v>
      </c>
      <c r="I56" s="170" t="s">
        <v>3646</v>
      </c>
      <c r="J56" s="173" t="s">
        <v>3647</v>
      </c>
      <c r="K56" s="170" t="s">
        <v>3648</v>
      </c>
      <c r="L56" s="174" t="s">
        <v>3649</v>
      </c>
      <c r="M56" s="175">
        <v>0.0</v>
      </c>
      <c r="N56" s="170" t="s">
        <v>3646</v>
      </c>
      <c r="O56" s="170">
        <v>12.0</v>
      </c>
      <c r="P56" s="171"/>
      <c r="Q56" s="171"/>
      <c r="R56" s="171"/>
      <c r="S56" s="182" t="b">
        <v>0</v>
      </c>
      <c r="T56" s="171"/>
      <c r="U56" s="171"/>
      <c r="V56" s="171"/>
      <c r="W56" s="171"/>
      <c r="X56" s="171"/>
      <c r="Y56" s="177"/>
      <c r="Z56" s="171"/>
      <c r="AA56" s="178"/>
      <c r="AB56" s="178"/>
      <c r="AC56" s="178"/>
      <c r="AD56" s="178"/>
      <c r="AE56" s="178"/>
    </row>
    <row r="57" ht="22.5" customHeight="1">
      <c r="A57" s="169">
        <v>46208.90082059028</v>
      </c>
      <c r="B57" s="170" t="s">
        <v>3374</v>
      </c>
      <c r="C57" s="171"/>
      <c r="D57" s="172"/>
      <c r="E57" s="171"/>
      <c r="F57" s="171"/>
      <c r="G57" s="171"/>
      <c r="H57" s="170" t="s">
        <v>583</v>
      </c>
      <c r="I57" s="170" t="s">
        <v>3650</v>
      </c>
      <c r="J57" s="173" t="s">
        <v>3651</v>
      </c>
      <c r="K57" s="170" t="s">
        <v>3652</v>
      </c>
      <c r="L57" s="174" t="s">
        <v>3653</v>
      </c>
      <c r="M57" s="175">
        <v>0.0</v>
      </c>
      <c r="N57" s="170" t="s">
        <v>3650</v>
      </c>
      <c r="O57" s="170">
        <v>3.0</v>
      </c>
      <c r="P57" s="171"/>
      <c r="Q57" s="171"/>
      <c r="R57" s="170" t="s">
        <v>3408</v>
      </c>
      <c r="S57" s="182" t="b">
        <v>0</v>
      </c>
      <c r="T57" s="171"/>
      <c r="U57" s="171"/>
      <c r="V57" s="171"/>
      <c r="W57" s="171"/>
      <c r="X57" s="171"/>
      <c r="Y57" s="177"/>
      <c r="Z57" s="171"/>
      <c r="AA57" s="178"/>
      <c r="AB57" s="178"/>
      <c r="AC57" s="178"/>
      <c r="AD57" s="178"/>
      <c r="AE57" s="178"/>
    </row>
    <row r="58" ht="22.5" customHeight="1">
      <c r="A58" s="169">
        <v>46208.90511447917</v>
      </c>
      <c r="B58" s="170" t="s">
        <v>3374</v>
      </c>
      <c r="C58" s="171"/>
      <c r="D58" s="172"/>
      <c r="E58" s="171"/>
      <c r="F58" s="171"/>
      <c r="G58" s="171"/>
      <c r="H58" s="170" t="s">
        <v>2544</v>
      </c>
      <c r="I58" s="170" t="s">
        <v>3654</v>
      </c>
      <c r="J58" s="173" t="s">
        <v>3655</v>
      </c>
      <c r="K58" s="170" t="s">
        <v>3656</v>
      </c>
      <c r="L58" s="174" t="s">
        <v>3657</v>
      </c>
      <c r="M58" s="175">
        <v>0.0</v>
      </c>
      <c r="N58" s="170" t="s">
        <v>3654</v>
      </c>
      <c r="O58" s="170">
        <v>4.0</v>
      </c>
      <c r="P58" s="170" t="s">
        <v>3658</v>
      </c>
      <c r="Q58" s="170" t="s">
        <v>3659</v>
      </c>
      <c r="R58" s="170" t="s">
        <v>3373</v>
      </c>
      <c r="S58" s="176" t="b">
        <v>1</v>
      </c>
      <c r="T58" s="171"/>
      <c r="U58" s="171"/>
      <c r="V58" s="171"/>
      <c r="W58" s="171"/>
      <c r="X58" s="171"/>
      <c r="Y58" s="177"/>
      <c r="Z58" s="171"/>
      <c r="AA58" s="178"/>
      <c r="AB58" s="178"/>
      <c r="AC58" s="178"/>
      <c r="AD58" s="178"/>
      <c r="AE58" s="178"/>
    </row>
    <row r="59" ht="22.5" customHeight="1">
      <c r="A59" s="169">
        <v>46208.94849725695</v>
      </c>
      <c r="B59" s="170" t="s">
        <v>3374</v>
      </c>
      <c r="C59" s="171"/>
      <c r="D59" s="172"/>
      <c r="E59" s="171"/>
      <c r="F59" s="171"/>
      <c r="G59" s="171"/>
      <c r="H59" s="170" t="s">
        <v>1914</v>
      </c>
      <c r="I59" s="170" t="s">
        <v>3660</v>
      </c>
      <c r="J59" s="173" t="s">
        <v>3661</v>
      </c>
      <c r="K59" s="170" t="s">
        <v>3662</v>
      </c>
      <c r="L59" s="174" t="s">
        <v>3663</v>
      </c>
      <c r="M59" s="175">
        <v>0.0</v>
      </c>
      <c r="N59" s="170" t="s">
        <v>3660</v>
      </c>
      <c r="O59" s="170">
        <v>3.0</v>
      </c>
      <c r="P59" s="171"/>
      <c r="Q59" s="171"/>
      <c r="R59" s="170" t="s">
        <v>3438</v>
      </c>
      <c r="S59" s="182" t="b">
        <v>0</v>
      </c>
      <c r="T59" s="171"/>
      <c r="U59" s="171"/>
      <c r="V59" s="171"/>
      <c r="W59" s="171"/>
      <c r="X59" s="171"/>
      <c r="Y59" s="177"/>
      <c r="Z59" s="171"/>
      <c r="AA59" s="178"/>
      <c r="AB59" s="178"/>
      <c r="AC59" s="178"/>
      <c r="AD59" s="178"/>
      <c r="AE59" s="178"/>
    </row>
    <row r="60" ht="22.5" customHeight="1">
      <c r="A60" s="169">
        <v>46208.955759930555</v>
      </c>
      <c r="B60" s="170" t="s">
        <v>3374</v>
      </c>
      <c r="C60" s="171"/>
      <c r="D60" s="172"/>
      <c r="E60" s="171"/>
      <c r="F60" s="171"/>
      <c r="G60" s="171"/>
      <c r="H60" s="170" t="s">
        <v>2779</v>
      </c>
      <c r="I60" s="170" t="s">
        <v>3664</v>
      </c>
      <c r="J60" s="173" t="s">
        <v>3665</v>
      </c>
      <c r="K60" s="170" t="s">
        <v>3666</v>
      </c>
      <c r="L60" s="174" t="s">
        <v>3667</v>
      </c>
      <c r="M60" s="175">
        <v>0.0</v>
      </c>
      <c r="N60" s="170" t="s">
        <v>3664</v>
      </c>
      <c r="O60" s="170">
        <v>2.0</v>
      </c>
      <c r="P60" s="180" t="s">
        <v>3668</v>
      </c>
      <c r="Q60" s="170" t="s">
        <v>3669</v>
      </c>
      <c r="R60" s="170" t="s">
        <v>3438</v>
      </c>
      <c r="S60" s="176" t="b">
        <v>1</v>
      </c>
      <c r="T60" s="171"/>
      <c r="U60" s="171"/>
      <c r="V60" s="171"/>
      <c r="W60" s="171"/>
      <c r="X60" s="171"/>
      <c r="Y60" s="177"/>
      <c r="Z60" s="171"/>
      <c r="AA60" s="178"/>
      <c r="AB60" s="178"/>
      <c r="AC60" s="178"/>
      <c r="AD60" s="178"/>
      <c r="AE60" s="178"/>
    </row>
    <row r="61" ht="99.0" customHeight="1">
      <c r="A61" s="169">
        <v>46208.95759893519</v>
      </c>
      <c r="B61" s="170" t="s">
        <v>3374</v>
      </c>
      <c r="C61" s="171"/>
      <c r="D61" s="172"/>
      <c r="E61" s="171"/>
      <c r="F61" s="171"/>
      <c r="G61" s="171"/>
      <c r="H61" s="170" t="s">
        <v>2559</v>
      </c>
      <c r="I61" s="170" t="s">
        <v>3670</v>
      </c>
      <c r="J61" s="173" t="s">
        <v>3671</v>
      </c>
      <c r="K61" s="170" t="s">
        <v>3672</v>
      </c>
      <c r="L61" s="174" t="s">
        <v>3673</v>
      </c>
      <c r="M61" s="175">
        <v>0.0</v>
      </c>
      <c r="N61" s="170" t="s">
        <v>3670</v>
      </c>
      <c r="O61" s="170">
        <v>8.0</v>
      </c>
      <c r="P61" s="180" t="s">
        <v>3674</v>
      </c>
      <c r="Q61" s="171"/>
      <c r="R61" s="170" t="s">
        <v>3445</v>
      </c>
      <c r="S61" s="176" t="b">
        <v>1</v>
      </c>
      <c r="T61" s="171"/>
      <c r="U61" s="171"/>
      <c r="V61" s="171"/>
      <c r="W61" s="171"/>
      <c r="X61" s="171"/>
      <c r="Y61" s="177"/>
      <c r="Z61" s="171"/>
      <c r="AA61" s="178"/>
      <c r="AB61" s="178"/>
      <c r="AC61" s="178"/>
      <c r="AD61" s="178"/>
      <c r="AE61" s="178"/>
    </row>
    <row r="62" ht="22.5" customHeight="1">
      <c r="A62" s="169">
        <v>46208.9637019213</v>
      </c>
      <c r="B62" s="170" t="s">
        <v>3374</v>
      </c>
      <c r="C62" s="171"/>
      <c r="D62" s="172"/>
      <c r="E62" s="171"/>
      <c r="F62" s="171"/>
      <c r="G62" s="171"/>
      <c r="H62" s="170" t="s">
        <v>2781</v>
      </c>
      <c r="I62" s="170" t="s">
        <v>3675</v>
      </c>
      <c r="J62" s="173" t="s">
        <v>3676</v>
      </c>
      <c r="K62" s="170" t="s">
        <v>3677</v>
      </c>
      <c r="L62" s="174" t="s">
        <v>3678</v>
      </c>
      <c r="M62" s="175">
        <v>0.0</v>
      </c>
      <c r="N62" s="170" t="s">
        <v>3675</v>
      </c>
      <c r="O62" s="170">
        <v>10.0</v>
      </c>
      <c r="P62" s="171"/>
      <c r="Q62" s="171"/>
      <c r="R62" s="170" t="s">
        <v>3679</v>
      </c>
      <c r="S62" s="182" t="b">
        <v>0</v>
      </c>
      <c r="T62" s="170" t="s">
        <v>3680</v>
      </c>
      <c r="U62" s="170" t="s">
        <v>3681</v>
      </c>
      <c r="V62" s="170" t="s">
        <v>3682</v>
      </c>
      <c r="W62" s="171"/>
      <c r="X62" s="171"/>
      <c r="Y62" s="177"/>
      <c r="Z62" s="171"/>
      <c r="AA62" s="178"/>
      <c r="AB62" s="178"/>
      <c r="AC62" s="178"/>
      <c r="AD62" s="178"/>
      <c r="AE62" s="178"/>
    </row>
    <row r="63" ht="22.5" customHeight="1">
      <c r="A63" s="169">
        <v>46208.96574104167</v>
      </c>
      <c r="B63" s="170" t="s">
        <v>3374</v>
      </c>
      <c r="C63" s="171"/>
      <c r="D63" s="172"/>
      <c r="E63" s="171"/>
      <c r="F63" s="171"/>
      <c r="G63" s="171"/>
      <c r="H63" s="170" t="s">
        <v>2806</v>
      </c>
      <c r="I63" s="170" t="s">
        <v>2807</v>
      </c>
      <c r="J63" s="173" t="s">
        <v>3683</v>
      </c>
      <c r="K63" s="170" t="s">
        <v>3684</v>
      </c>
      <c r="L63" s="174" t="s">
        <v>3685</v>
      </c>
      <c r="M63" s="175">
        <v>0.0</v>
      </c>
      <c r="N63" s="170" t="s">
        <v>3686</v>
      </c>
      <c r="O63" s="170">
        <v>5.0</v>
      </c>
      <c r="P63" s="171"/>
      <c r="Q63" s="170" t="s">
        <v>3687</v>
      </c>
      <c r="R63" s="170" t="s">
        <v>3445</v>
      </c>
      <c r="S63" s="182" t="b">
        <v>0</v>
      </c>
      <c r="T63" s="171"/>
      <c r="U63" s="171"/>
      <c r="V63" s="171"/>
      <c r="W63" s="171"/>
      <c r="X63" s="171"/>
      <c r="Y63" s="177"/>
      <c r="Z63" s="171"/>
      <c r="AA63" s="178"/>
      <c r="AB63" s="178"/>
      <c r="AC63" s="178"/>
      <c r="AD63" s="178"/>
      <c r="AE63" s="178"/>
    </row>
    <row r="64" ht="22.5" customHeight="1">
      <c r="A64" s="169">
        <v>46208.966523020834</v>
      </c>
      <c r="B64" s="170" t="s">
        <v>3374</v>
      </c>
      <c r="C64" s="171"/>
      <c r="D64" s="172"/>
      <c r="E64" s="171"/>
      <c r="F64" s="171"/>
      <c r="G64" s="171"/>
      <c r="H64" s="170" t="s">
        <v>1519</v>
      </c>
      <c r="I64" s="170" t="s">
        <v>1520</v>
      </c>
      <c r="J64" s="173" t="s">
        <v>3688</v>
      </c>
      <c r="K64" s="170" t="s">
        <v>3689</v>
      </c>
      <c r="L64" s="174" t="s">
        <v>3690</v>
      </c>
      <c r="M64" s="175">
        <v>0.0</v>
      </c>
      <c r="N64" s="170" t="s">
        <v>3691</v>
      </c>
      <c r="O64" s="170">
        <v>9.0</v>
      </c>
      <c r="P64" s="171"/>
      <c r="Q64" s="171"/>
      <c r="R64" s="170" t="s">
        <v>3445</v>
      </c>
      <c r="S64" s="182" t="b">
        <v>0</v>
      </c>
      <c r="T64" s="171"/>
      <c r="U64" s="171"/>
      <c r="V64" s="171"/>
      <c r="W64" s="171"/>
      <c r="X64" s="171"/>
      <c r="Y64" s="177"/>
      <c r="Z64" s="171"/>
      <c r="AA64" s="178"/>
      <c r="AB64" s="178"/>
      <c r="AC64" s="178"/>
      <c r="AD64" s="178"/>
      <c r="AE64" s="178"/>
    </row>
    <row r="65" ht="22.5" customHeight="1">
      <c r="A65" s="169">
        <v>46208.98360229167</v>
      </c>
      <c r="B65" s="170" t="s">
        <v>3374</v>
      </c>
      <c r="C65" s="171"/>
      <c r="D65" s="172"/>
      <c r="E65" s="171"/>
      <c r="F65" s="171"/>
      <c r="G65" s="171"/>
      <c r="H65" s="170" t="s">
        <v>686</v>
      </c>
      <c r="I65" s="170" t="s">
        <v>3692</v>
      </c>
      <c r="J65" s="173" t="s">
        <v>3693</v>
      </c>
      <c r="K65" s="170" t="s">
        <v>3694</v>
      </c>
      <c r="L65" s="174" t="s">
        <v>3695</v>
      </c>
      <c r="M65" s="175">
        <v>0.0</v>
      </c>
      <c r="N65" s="170" t="s">
        <v>3692</v>
      </c>
      <c r="O65" s="170">
        <v>4.0</v>
      </c>
      <c r="P65" s="171"/>
      <c r="Q65" s="171"/>
      <c r="R65" s="170" t="s">
        <v>3445</v>
      </c>
      <c r="S65" s="182" t="b">
        <v>0</v>
      </c>
      <c r="T65" s="171"/>
      <c r="U65" s="171"/>
      <c r="V65" s="171"/>
      <c r="W65" s="171"/>
      <c r="X65" s="171"/>
      <c r="Y65" s="177"/>
      <c r="Z65" s="171"/>
      <c r="AA65" s="178"/>
      <c r="AB65" s="178"/>
      <c r="AC65" s="178"/>
      <c r="AD65" s="178"/>
      <c r="AE65" s="178"/>
    </row>
    <row r="66" ht="22.5" customHeight="1">
      <c r="A66" s="169">
        <v>46208.98999475694</v>
      </c>
      <c r="B66" s="170" t="s">
        <v>3374</v>
      </c>
      <c r="C66" s="171"/>
      <c r="D66" s="172"/>
      <c r="E66" s="171"/>
      <c r="F66" s="171"/>
      <c r="G66" s="171"/>
      <c r="H66" s="170" t="s">
        <v>3106</v>
      </c>
      <c r="I66" s="170" t="s">
        <v>3696</v>
      </c>
      <c r="J66" s="173" t="s">
        <v>3697</v>
      </c>
      <c r="K66" s="170" t="s">
        <v>3698</v>
      </c>
      <c r="L66" s="174" t="s">
        <v>3699</v>
      </c>
      <c r="M66" s="175">
        <v>0.0</v>
      </c>
      <c r="N66" s="170" t="s">
        <v>3696</v>
      </c>
      <c r="O66" s="170">
        <v>2.0</v>
      </c>
      <c r="P66" s="171"/>
      <c r="Q66" s="170" t="s">
        <v>3700</v>
      </c>
      <c r="R66" s="170" t="s">
        <v>3445</v>
      </c>
      <c r="S66" s="182" t="b">
        <v>0</v>
      </c>
      <c r="T66" s="171"/>
      <c r="U66" s="171"/>
      <c r="V66" s="171"/>
      <c r="W66" s="171"/>
      <c r="X66" s="171"/>
      <c r="Y66" s="177"/>
      <c r="Z66" s="171"/>
      <c r="AA66" s="178"/>
      <c r="AB66" s="178"/>
      <c r="AC66" s="178"/>
      <c r="AD66" s="178"/>
      <c r="AE66" s="178"/>
    </row>
    <row r="67" ht="22.5" customHeight="1">
      <c r="A67" s="169">
        <v>46209.02193611111</v>
      </c>
      <c r="B67" s="170" t="s">
        <v>3374</v>
      </c>
      <c r="C67" s="171"/>
      <c r="D67" s="172"/>
      <c r="E67" s="171"/>
      <c r="F67" s="171"/>
      <c r="G67" s="171"/>
      <c r="H67" s="170" t="s">
        <v>1925</v>
      </c>
      <c r="I67" s="170" t="s">
        <v>3701</v>
      </c>
      <c r="J67" s="173" t="s">
        <v>3702</v>
      </c>
      <c r="K67" s="170" t="s">
        <v>3703</v>
      </c>
      <c r="L67" s="174" t="s">
        <v>3704</v>
      </c>
      <c r="M67" s="175">
        <v>0.0</v>
      </c>
      <c r="N67" s="170" t="s">
        <v>3701</v>
      </c>
      <c r="O67" s="170">
        <v>2.0</v>
      </c>
      <c r="P67" s="171"/>
      <c r="Q67" s="171"/>
      <c r="R67" s="170" t="s">
        <v>3373</v>
      </c>
      <c r="S67" s="182" t="b">
        <v>0</v>
      </c>
      <c r="T67" s="171"/>
      <c r="U67" s="171"/>
      <c r="V67" s="171"/>
      <c r="W67" s="171"/>
      <c r="X67" s="171"/>
      <c r="Y67" s="177"/>
      <c r="Z67" s="171"/>
      <c r="AA67" s="178"/>
      <c r="AB67" s="178"/>
      <c r="AC67" s="178"/>
      <c r="AD67" s="178"/>
      <c r="AE67" s="178"/>
    </row>
    <row r="68" ht="22.5" customHeight="1">
      <c r="A68" s="169">
        <v>46204.58899787037</v>
      </c>
      <c r="B68" s="170" t="s">
        <v>3705</v>
      </c>
      <c r="C68" s="170" t="s">
        <v>3317</v>
      </c>
      <c r="D68" s="193" t="s">
        <v>267</v>
      </c>
      <c r="E68" s="170" t="s">
        <v>3706</v>
      </c>
      <c r="F68" s="173" t="s">
        <v>3707</v>
      </c>
      <c r="G68" s="174" t="s">
        <v>3708</v>
      </c>
      <c r="H68" s="171"/>
      <c r="I68" s="171"/>
      <c r="J68" s="171"/>
      <c r="K68" s="171"/>
      <c r="L68" s="171"/>
      <c r="M68" s="175">
        <v>0.0</v>
      </c>
      <c r="N68" s="170" t="s">
        <v>3709</v>
      </c>
      <c r="O68" s="171"/>
      <c r="P68" s="171"/>
      <c r="Q68" s="171"/>
      <c r="R68" s="170" t="s">
        <v>3373</v>
      </c>
      <c r="S68" s="176" t="b">
        <v>0</v>
      </c>
      <c r="T68" s="171"/>
      <c r="U68" s="171"/>
      <c r="V68" s="171"/>
      <c r="W68" s="171"/>
      <c r="X68" s="171"/>
      <c r="Y68" s="177"/>
      <c r="Z68" s="194"/>
      <c r="AA68" s="178"/>
      <c r="AB68" s="178"/>
      <c r="AC68" s="178"/>
      <c r="AD68" s="178"/>
      <c r="AE68" s="178"/>
    </row>
    <row r="69" ht="22.5" customHeight="1">
      <c r="A69" s="169">
        <v>46205.656361319445</v>
      </c>
      <c r="B69" s="170" t="s">
        <v>3705</v>
      </c>
      <c r="C69" s="170" t="s">
        <v>2250</v>
      </c>
      <c r="D69" s="193" t="s">
        <v>499</v>
      </c>
      <c r="E69" s="170" t="s">
        <v>2251</v>
      </c>
      <c r="F69" s="173" t="s">
        <v>3710</v>
      </c>
      <c r="G69" s="174" t="s">
        <v>3711</v>
      </c>
      <c r="H69" s="171"/>
      <c r="I69" s="171"/>
      <c r="J69" s="171"/>
      <c r="K69" s="171"/>
      <c r="L69" s="171"/>
      <c r="M69" s="175">
        <v>0.0</v>
      </c>
      <c r="N69" s="170" t="s">
        <v>3712</v>
      </c>
      <c r="O69" s="171"/>
      <c r="P69" s="181" t="s">
        <v>3713</v>
      </c>
      <c r="Q69" s="170" t="s">
        <v>3714</v>
      </c>
      <c r="R69" s="170" t="s">
        <v>3373</v>
      </c>
      <c r="S69" s="176" t="b">
        <v>1</v>
      </c>
      <c r="T69" s="171"/>
      <c r="U69" s="171"/>
      <c r="V69" s="171"/>
      <c r="W69" s="171"/>
      <c r="X69" s="171"/>
      <c r="Y69" s="177"/>
      <c r="Z69" s="171"/>
      <c r="AA69" s="178"/>
      <c r="AB69" s="178"/>
      <c r="AC69" s="178"/>
      <c r="AD69" s="178"/>
      <c r="AE69" s="178"/>
    </row>
    <row r="70" ht="22.5" customHeight="1">
      <c r="A70" s="169">
        <v>46206.36865925926</v>
      </c>
      <c r="B70" s="170" t="s">
        <v>3705</v>
      </c>
      <c r="C70" s="170" t="s">
        <v>2148</v>
      </c>
      <c r="D70" s="193" t="s">
        <v>500</v>
      </c>
      <c r="E70" s="170" t="s">
        <v>3715</v>
      </c>
      <c r="F70" s="173" t="s">
        <v>3716</v>
      </c>
      <c r="G70" s="174" t="s">
        <v>3717</v>
      </c>
      <c r="H70" s="171"/>
      <c r="I70" s="171"/>
      <c r="J70" s="171"/>
      <c r="K70" s="171"/>
      <c r="L70" s="171"/>
      <c r="M70" s="175">
        <v>0.0</v>
      </c>
      <c r="N70" s="170" t="s">
        <v>3715</v>
      </c>
      <c r="O70" s="171"/>
      <c r="P70" s="174" t="s">
        <v>3718</v>
      </c>
      <c r="Q70" s="170" t="s">
        <v>3719</v>
      </c>
      <c r="R70" s="170" t="s">
        <v>3373</v>
      </c>
      <c r="S70" s="176" t="b">
        <v>1</v>
      </c>
      <c r="T70" s="171"/>
      <c r="U70" s="171"/>
      <c r="V70" s="171"/>
      <c r="W70" s="171"/>
      <c r="X70" s="171"/>
      <c r="Y70" s="177"/>
      <c r="Z70" s="171"/>
      <c r="AA70" s="178"/>
      <c r="AB70" s="178"/>
      <c r="AC70" s="178"/>
      <c r="AD70" s="178"/>
      <c r="AE70" s="178"/>
    </row>
    <row r="71" ht="22.5" customHeight="1">
      <c r="A71" s="169">
        <v>46207.84395996528</v>
      </c>
      <c r="B71" s="170" t="s">
        <v>3705</v>
      </c>
      <c r="C71" s="170" t="s">
        <v>2336</v>
      </c>
      <c r="D71" s="193" t="s">
        <v>501</v>
      </c>
      <c r="E71" s="170" t="s">
        <v>3720</v>
      </c>
      <c r="F71" s="173" t="s">
        <v>3721</v>
      </c>
      <c r="G71" s="174" t="s">
        <v>3722</v>
      </c>
      <c r="H71" s="171"/>
      <c r="I71" s="171"/>
      <c r="J71" s="171"/>
      <c r="K71" s="171"/>
      <c r="L71" s="171"/>
      <c r="M71" s="175">
        <v>0.0</v>
      </c>
      <c r="N71" s="170" t="s">
        <v>3720</v>
      </c>
      <c r="O71" s="171"/>
      <c r="P71" s="171"/>
      <c r="Q71" s="171"/>
      <c r="R71" s="170" t="s">
        <v>3373</v>
      </c>
      <c r="S71" s="176" t="b">
        <v>0</v>
      </c>
      <c r="T71" s="171"/>
      <c r="U71" s="171"/>
      <c r="V71" s="171"/>
      <c r="W71" s="171"/>
      <c r="X71" s="171"/>
      <c r="Y71" s="177"/>
      <c r="Z71" s="171"/>
      <c r="AA71" s="178"/>
      <c r="AB71" s="178"/>
      <c r="AC71" s="178"/>
      <c r="AD71" s="178"/>
      <c r="AE71" s="178"/>
    </row>
    <row r="72" ht="22.5" customHeight="1">
      <c r="A72" s="169">
        <v>46208.98908791666</v>
      </c>
      <c r="B72" s="170" t="s">
        <v>3705</v>
      </c>
      <c r="C72" s="170" t="s">
        <v>1112</v>
      </c>
      <c r="D72" s="193" t="s">
        <v>502</v>
      </c>
      <c r="E72" s="170" t="s">
        <v>3723</v>
      </c>
      <c r="F72" s="173" t="s">
        <v>3724</v>
      </c>
      <c r="G72" s="174" t="s">
        <v>3725</v>
      </c>
      <c r="H72" s="171"/>
      <c r="I72" s="171"/>
      <c r="J72" s="171"/>
      <c r="K72" s="171"/>
      <c r="L72" s="171"/>
      <c r="M72" s="175">
        <v>0.0</v>
      </c>
      <c r="N72" s="170" t="s">
        <v>3723</v>
      </c>
      <c r="O72" s="171"/>
      <c r="P72" s="171"/>
      <c r="Q72" s="171"/>
      <c r="R72" s="170" t="s">
        <v>3373</v>
      </c>
      <c r="S72" s="182" t="b">
        <v>0</v>
      </c>
      <c r="T72" s="171"/>
      <c r="U72" s="171"/>
      <c r="V72" s="171"/>
      <c r="W72" s="171"/>
      <c r="X72" s="171"/>
      <c r="Y72" s="177"/>
      <c r="Z72" s="171"/>
      <c r="AA72" s="178"/>
      <c r="AB72" s="178"/>
      <c r="AC72" s="178"/>
      <c r="AD72" s="178"/>
      <c r="AE72" s="178"/>
    </row>
    <row r="73" ht="22.5" customHeight="1">
      <c r="A73" s="169">
        <v>46195.9325777662</v>
      </c>
      <c r="B73" s="170" t="s">
        <v>3705</v>
      </c>
      <c r="C73" s="170" t="s">
        <v>2640</v>
      </c>
      <c r="D73" s="193" t="s">
        <v>463</v>
      </c>
      <c r="E73" s="170" t="s">
        <v>2641</v>
      </c>
      <c r="F73" s="173" t="s">
        <v>3726</v>
      </c>
      <c r="G73" s="174" t="s">
        <v>3727</v>
      </c>
      <c r="H73" s="171"/>
      <c r="I73" s="171"/>
      <c r="J73" s="171"/>
      <c r="K73" s="171"/>
      <c r="L73" s="171"/>
      <c r="M73" s="175">
        <v>0.0</v>
      </c>
      <c r="N73" s="170" t="s">
        <v>3728</v>
      </c>
      <c r="O73" s="171"/>
      <c r="P73" s="174" t="s">
        <v>3729</v>
      </c>
      <c r="Q73" s="170" t="s">
        <v>3730</v>
      </c>
      <c r="R73" s="170" t="s">
        <v>3408</v>
      </c>
      <c r="S73" s="176" t="b">
        <v>1</v>
      </c>
      <c r="T73" s="195"/>
      <c r="U73" s="195"/>
      <c r="V73" s="195"/>
      <c r="W73" s="195"/>
      <c r="X73" s="195"/>
      <c r="Y73" s="177"/>
      <c r="Z73" s="194"/>
      <c r="AA73" s="178"/>
      <c r="AB73" s="178"/>
      <c r="AC73" s="178"/>
      <c r="AD73" s="178"/>
      <c r="AE73" s="178"/>
    </row>
    <row r="74" ht="22.5" customHeight="1">
      <c r="A74" s="169">
        <v>46207.846620578704</v>
      </c>
      <c r="B74" s="170" t="s">
        <v>3705</v>
      </c>
      <c r="C74" s="170" t="s">
        <v>2788</v>
      </c>
      <c r="D74" s="193" t="s">
        <v>355</v>
      </c>
      <c r="E74" s="170" t="s">
        <v>2789</v>
      </c>
      <c r="F74" s="173" t="s">
        <v>3731</v>
      </c>
      <c r="G74" s="174" t="s">
        <v>3732</v>
      </c>
      <c r="H74" s="171"/>
      <c r="I74" s="171"/>
      <c r="J74" s="171"/>
      <c r="K74" s="171"/>
      <c r="L74" s="171"/>
      <c r="M74" s="175">
        <v>0.0</v>
      </c>
      <c r="N74" s="170" t="s">
        <v>3733</v>
      </c>
      <c r="O74" s="171"/>
      <c r="P74" s="171"/>
      <c r="Q74" s="171"/>
      <c r="R74" s="170" t="s">
        <v>3408</v>
      </c>
      <c r="S74" s="176" t="b">
        <v>0</v>
      </c>
      <c r="T74" s="171"/>
      <c r="U74" s="171"/>
      <c r="V74" s="171"/>
      <c r="W74" s="171"/>
      <c r="X74" s="171"/>
      <c r="Y74" s="177"/>
      <c r="Z74" s="171"/>
      <c r="AA74" s="178"/>
      <c r="AB74" s="178"/>
      <c r="AC74" s="178"/>
      <c r="AD74" s="178"/>
      <c r="AE74" s="178"/>
    </row>
    <row r="75" ht="22.5" customHeight="1">
      <c r="A75" s="169">
        <v>46200.865303391205</v>
      </c>
      <c r="B75" s="170" t="s">
        <v>3705</v>
      </c>
      <c r="C75" s="170" t="s">
        <v>2601</v>
      </c>
      <c r="D75" s="193" t="s">
        <v>573</v>
      </c>
      <c r="E75" s="170" t="s">
        <v>2602</v>
      </c>
      <c r="F75" s="173" t="s">
        <v>3734</v>
      </c>
      <c r="G75" s="174" t="s">
        <v>3735</v>
      </c>
      <c r="H75" s="171"/>
      <c r="I75" s="171"/>
      <c r="J75" s="171"/>
      <c r="K75" s="171"/>
      <c r="L75" s="171"/>
      <c r="M75" s="175">
        <v>0.0</v>
      </c>
      <c r="N75" s="170" t="s">
        <v>3736</v>
      </c>
      <c r="O75" s="171"/>
      <c r="P75" s="174" t="s">
        <v>3737</v>
      </c>
      <c r="Q75" s="170" t="s">
        <v>3738</v>
      </c>
      <c r="R75" s="170" t="s">
        <v>3739</v>
      </c>
      <c r="S75" s="176" t="b">
        <v>1</v>
      </c>
      <c r="T75" s="170" t="s">
        <v>3740</v>
      </c>
      <c r="U75" s="170" t="s">
        <v>3740</v>
      </c>
      <c r="V75" s="170" t="s">
        <v>3740</v>
      </c>
      <c r="W75" s="171"/>
      <c r="X75" s="171"/>
      <c r="Y75" s="177"/>
      <c r="Z75" s="194"/>
      <c r="AA75" s="178"/>
      <c r="AB75" s="178"/>
      <c r="AC75" s="178"/>
      <c r="AD75" s="178"/>
      <c r="AE75" s="178"/>
    </row>
    <row r="76" ht="22.5" customHeight="1">
      <c r="A76" s="169">
        <v>46207.67112291667</v>
      </c>
      <c r="B76" s="170" t="s">
        <v>3705</v>
      </c>
      <c r="C76" s="170" t="s">
        <v>3741</v>
      </c>
      <c r="D76" s="193" t="s">
        <v>217</v>
      </c>
      <c r="E76" s="170" t="s">
        <v>3742</v>
      </c>
      <c r="F76" s="173" t="s">
        <v>3743</v>
      </c>
      <c r="G76" s="174" t="s">
        <v>3744</v>
      </c>
      <c r="H76" s="171"/>
      <c r="I76" s="171"/>
      <c r="J76" s="171"/>
      <c r="K76" s="171"/>
      <c r="L76" s="171"/>
      <c r="M76" s="175">
        <v>0.0</v>
      </c>
      <c r="N76" s="170" t="s">
        <v>3742</v>
      </c>
      <c r="O76" s="171"/>
      <c r="P76" s="174" t="s">
        <v>3745</v>
      </c>
      <c r="Q76" s="170" t="s">
        <v>3746</v>
      </c>
      <c r="R76" s="170" t="s">
        <v>3739</v>
      </c>
      <c r="S76" s="176" t="b">
        <v>1</v>
      </c>
      <c r="T76" s="171"/>
      <c r="U76" s="171"/>
      <c r="V76" s="171"/>
      <c r="W76" s="171"/>
      <c r="X76" s="171"/>
      <c r="Y76" s="177"/>
      <c r="Z76" s="171"/>
      <c r="AA76" s="178"/>
      <c r="AB76" s="178"/>
      <c r="AC76" s="178"/>
      <c r="AD76" s="178"/>
      <c r="AE76" s="178"/>
    </row>
    <row r="77" ht="22.5" customHeight="1">
      <c r="A77" s="169">
        <v>46207.83633533565</v>
      </c>
      <c r="B77" s="170" t="s">
        <v>3705</v>
      </c>
      <c r="C77" s="170" t="s">
        <v>768</v>
      </c>
      <c r="D77" s="193" t="s">
        <v>375</v>
      </c>
      <c r="E77" s="170" t="s">
        <v>769</v>
      </c>
      <c r="F77" s="173" t="s">
        <v>3747</v>
      </c>
      <c r="G77" s="174" t="s">
        <v>3748</v>
      </c>
      <c r="H77" s="171"/>
      <c r="I77" s="171"/>
      <c r="J77" s="171"/>
      <c r="K77" s="171"/>
      <c r="L77" s="171"/>
      <c r="M77" s="175">
        <v>0.0</v>
      </c>
      <c r="N77" s="170" t="s">
        <v>3749</v>
      </c>
      <c r="O77" s="171"/>
      <c r="P77" s="171"/>
      <c r="Q77" s="171"/>
      <c r="R77" s="170" t="s">
        <v>3739</v>
      </c>
      <c r="S77" s="176" t="b">
        <v>0</v>
      </c>
      <c r="T77" s="171"/>
      <c r="U77" s="171"/>
      <c r="V77" s="171"/>
      <c r="W77" s="171"/>
      <c r="X77" s="171"/>
      <c r="Y77" s="177"/>
      <c r="Z77" s="171"/>
      <c r="AA77" s="178"/>
      <c r="AB77" s="178"/>
      <c r="AC77" s="178"/>
      <c r="AD77" s="178"/>
      <c r="AE77" s="178"/>
    </row>
    <row r="78" ht="22.5" customHeight="1">
      <c r="A78" s="169">
        <v>46207.845721550926</v>
      </c>
      <c r="B78" s="170" t="s">
        <v>3705</v>
      </c>
      <c r="C78" s="170" t="s">
        <v>3043</v>
      </c>
      <c r="D78" s="193" t="s">
        <v>524</v>
      </c>
      <c r="E78" s="170" t="s">
        <v>3044</v>
      </c>
      <c r="F78" s="173" t="s">
        <v>3750</v>
      </c>
      <c r="G78" s="174" t="s">
        <v>3751</v>
      </c>
      <c r="H78" s="171"/>
      <c r="I78" s="171"/>
      <c r="J78" s="171"/>
      <c r="K78" s="171"/>
      <c r="L78" s="171"/>
      <c r="M78" s="175">
        <v>0.0</v>
      </c>
      <c r="N78" s="170" t="s">
        <v>3752</v>
      </c>
      <c r="O78" s="171"/>
      <c r="P78" s="171"/>
      <c r="Q78" s="171"/>
      <c r="R78" s="170" t="s">
        <v>3739</v>
      </c>
      <c r="S78" s="176" t="b">
        <v>0</v>
      </c>
      <c r="T78" s="171"/>
      <c r="U78" s="171"/>
      <c r="V78" s="171"/>
      <c r="W78" s="171"/>
      <c r="X78" s="171"/>
      <c r="Y78" s="177"/>
      <c r="Z78" s="171"/>
      <c r="AA78" s="196"/>
      <c r="AB78" s="196"/>
      <c r="AC78" s="196"/>
      <c r="AD78" s="196"/>
      <c r="AE78" s="196"/>
    </row>
    <row r="79" ht="22.5" customHeight="1">
      <c r="A79" s="169">
        <v>46207.90165746528</v>
      </c>
      <c r="B79" s="170" t="s">
        <v>3705</v>
      </c>
      <c r="C79" s="170" t="s">
        <v>774</v>
      </c>
      <c r="D79" s="193" t="s">
        <v>525</v>
      </c>
      <c r="E79" s="170" t="s">
        <v>778</v>
      </c>
      <c r="F79" s="173" t="s">
        <v>3753</v>
      </c>
      <c r="G79" s="174" t="s">
        <v>3754</v>
      </c>
      <c r="H79" s="171"/>
      <c r="I79" s="171"/>
      <c r="J79" s="171"/>
      <c r="K79" s="171"/>
      <c r="L79" s="171"/>
      <c r="M79" s="175">
        <v>0.0</v>
      </c>
      <c r="N79" s="170" t="s">
        <v>3755</v>
      </c>
      <c r="O79" s="171"/>
      <c r="P79" s="171"/>
      <c r="Q79" s="171"/>
      <c r="R79" s="170" t="s">
        <v>3739</v>
      </c>
      <c r="S79" s="176" t="b">
        <v>0</v>
      </c>
      <c r="T79" s="171"/>
      <c r="U79" s="171"/>
      <c r="V79" s="171"/>
      <c r="W79" s="171"/>
      <c r="X79" s="171"/>
      <c r="Y79" s="177"/>
      <c r="Z79" s="171"/>
      <c r="AA79" s="192"/>
      <c r="AB79" s="192"/>
      <c r="AC79" s="192"/>
      <c r="AD79" s="192"/>
      <c r="AE79" s="192"/>
    </row>
    <row r="80" ht="22.5" customHeight="1">
      <c r="A80" s="169">
        <v>46205.49226908565</v>
      </c>
      <c r="B80" s="170" t="s">
        <v>3705</v>
      </c>
      <c r="C80" s="170" t="s">
        <v>3309</v>
      </c>
      <c r="D80" s="193" t="s">
        <v>545</v>
      </c>
      <c r="E80" s="170" t="s">
        <v>3756</v>
      </c>
      <c r="F80" s="173" t="s">
        <v>3757</v>
      </c>
      <c r="G80" s="174" t="s">
        <v>3758</v>
      </c>
      <c r="H80" s="171"/>
      <c r="I80" s="171"/>
      <c r="J80" s="171"/>
      <c r="K80" s="171"/>
      <c r="L80" s="171"/>
      <c r="M80" s="175">
        <v>0.0</v>
      </c>
      <c r="N80" s="170" t="s">
        <v>3756</v>
      </c>
      <c r="O80" s="171"/>
      <c r="P80" s="171"/>
      <c r="Q80" s="171"/>
      <c r="R80" s="170" t="s">
        <v>3759</v>
      </c>
      <c r="S80" s="176" t="b">
        <v>0</v>
      </c>
      <c r="T80" s="171"/>
      <c r="U80" s="171"/>
      <c r="V80" s="171"/>
      <c r="W80" s="171"/>
      <c r="X80" s="171"/>
      <c r="Y80" s="177"/>
      <c r="Z80" s="194"/>
      <c r="AA80" s="178"/>
      <c r="AB80" s="178"/>
      <c r="AC80" s="178"/>
      <c r="AD80" s="178"/>
      <c r="AE80" s="178"/>
    </row>
    <row r="81" ht="22.5" customHeight="1">
      <c r="A81" s="169">
        <v>46197.48292829861</v>
      </c>
      <c r="B81" s="170" t="s">
        <v>3705</v>
      </c>
      <c r="C81" s="170" t="s">
        <v>3120</v>
      </c>
      <c r="D81" s="193" t="s">
        <v>495</v>
      </c>
      <c r="E81" s="170" t="s">
        <v>3760</v>
      </c>
      <c r="F81" s="173" t="s">
        <v>3761</v>
      </c>
      <c r="G81" s="174" t="s">
        <v>3762</v>
      </c>
      <c r="H81" s="171"/>
      <c r="I81" s="171"/>
      <c r="J81" s="171"/>
      <c r="K81" s="171"/>
      <c r="L81" s="171"/>
      <c r="M81" s="175">
        <v>0.0</v>
      </c>
      <c r="N81" s="170" t="s">
        <v>3763</v>
      </c>
      <c r="O81" s="171"/>
      <c r="P81" s="174" t="s">
        <v>3764</v>
      </c>
      <c r="Q81" s="171"/>
      <c r="R81" s="170" t="s">
        <v>3445</v>
      </c>
      <c r="S81" s="176" t="b">
        <v>0</v>
      </c>
      <c r="T81" s="171"/>
      <c r="U81" s="171"/>
      <c r="V81" s="171"/>
      <c r="W81" s="171"/>
      <c r="X81" s="171"/>
      <c r="Y81" s="177"/>
      <c r="Z81" s="194"/>
      <c r="AA81" s="178"/>
      <c r="AB81" s="178"/>
      <c r="AC81" s="178"/>
      <c r="AD81" s="178"/>
      <c r="AE81" s="178"/>
    </row>
    <row r="82" ht="22.5" customHeight="1">
      <c r="A82" s="169">
        <v>46197.74316319445</v>
      </c>
      <c r="B82" s="170" t="s">
        <v>3705</v>
      </c>
      <c r="C82" s="170" t="s">
        <v>2888</v>
      </c>
      <c r="D82" s="193" t="s">
        <v>521</v>
      </c>
      <c r="E82" s="170" t="s">
        <v>3765</v>
      </c>
      <c r="F82" s="173" t="s">
        <v>3766</v>
      </c>
      <c r="G82" s="174" t="s">
        <v>3767</v>
      </c>
      <c r="H82" s="171"/>
      <c r="I82" s="171"/>
      <c r="J82" s="171"/>
      <c r="K82" s="171"/>
      <c r="L82" s="171"/>
      <c r="M82" s="175">
        <v>0.0</v>
      </c>
      <c r="N82" s="170" t="s">
        <v>3768</v>
      </c>
      <c r="O82" s="171"/>
      <c r="P82" s="171"/>
      <c r="Q82" s="171"/>
      <c r="R82" s="170" t="s">
        <v>3445</v>
      </c>
      <c r="S82" s="176" t="b">
        <v>0</v>
      </c>
      <c r="T82" s="171"/>
      <c r="U82" s="171"/>
      <c r="V82" s="171"/>
      <c r="W82" s="171"/>
      <c r="X82" s="171"/>
      <c r="Y82" s="177"/>
      <c r="Z82" s="194"/>
      <c r="AA82" s="178"/>
      <c r="AB82" s="178"/>
      <c r="AC82" s="178"/>
      <c r="AD82" s="178"/>
      <c r="AE82" s="178"/>
    </row>
    <row r="83" ht="22.5" customHeight="1">
      <c r="A83" s="169">
        <v>46201.72101076389</v>
      </c>
      <c r="B83" s="170" t="s">
        <v>3705</v>
      </c>
      <c r="C83" s="170" t="s">
        <v>591</v>
      </c>
      <c r="D83" s="193" t="s">
        <v>503</v>
      </c>
      <c r="E83" s="170" t="s">
        <v>2977</v>
      </c>
      <c r="F83" s="173" t="s">
        <v>3769</v>
      </c>
      <c r="G83" s="174" t="s">
        <v>3770</v>
      </c>
      <c r="H83" s="171"/>
      <c r="I83" s="171"/>
      <c r="J83" s="171"/>
      <c r="K83" s="171"/>
      <c r="L83" s="171"/>
      <c r="M83" s="175">
        <v>0.0</v>
      </c>
      <c r="N83" s="170" t="s">
        <v>3771</v>
      </c>
      <c r="O83" s="171"/>
      <c r="P83" s="171"/>
      <c r="Q83" s="171"/>
      <c r="R83" s="170" t="s">
        <v>3445</v>
      </c>
      <c r="S83" s="176" t="b">
        <v>0</v>
      </c>
      <c r="T83" s="171"/>
      <c r="U83" s="171"/>
      <c r="V83" s="171"/>
      <c r="W83" s="171"/>
      <c r="X83" s="171"/>
      <c r="Y83" s="177"/>
      <c r="Z83" s="194"/>
      <c r="AA83" s="178"/>
      <c r="AB83" s="178"/>
      <c r="AC83" s="178"/>
      <c r="AD83" s="178"/>
      <c r="AE83" s="178"/>
    </row>
    <row r="84" ht="22.5" customHeight="1">
      <c r="A84" s="169">
        <v>46204.48077181713</v>
      </c>
      <c r="B84" s="170" t="s">
        <v>3705</v>
      </c>
      <c r="C84" s="170" t="s">
        <v>962</v>
      </c>
      <c r="D84" s="193" t="s">
        <v>504</v>
      </c>
      <c r="E84" s="170" t="s">
        <v>3772</v>
      </c>
      <c r="F84" s="173" t="s">
        <v>3773</v>
      </c>
      <c r="G84" s="174" t="s">
        <v>3774</v>
      </c>
      <c r="H84" s="171"/>
      <c r="I84" s="171"/>
      <c r="J84" s="171"/>
      <c r="K84" s="171"/>
      <c r="L84" s="171"/>
      <c r="M84" s="175">
        <v>0.0</v>
      </c>
      <c r="N84" s="170" t="s">
        <v>3775</v>
      </c>
      <c r="O84" s="171"/>
      <c r="P84" s="174" t="s">
        <v>3776</v>
      </c>
      <c r="Q84" s="170" t="s">
        <v>3777</v>
      </c>
      <c r="R84" s="170" t="s">
        <v>3445</v>
      </c>
      <c r="S84" s="176" t="b">
        <v>1</v>
      </c>
      <c r="T84" s="171"/>
      <c r="U84" s="171"/>
      <c r="V84" s="171"/>
      <c r="W84" s="171"/>
      <c r="X84" s="171"/>
      <c r="Y84" s="177"/>
      <c r="Z84" s="194"/>
      <c r="AA84" s="178"/>
      <c r="AB84" s="178"/>
      <c r="AC84" s="178"/>
      <c r="AD84" s="178"/>
      <c r="AE84" s="178"/>
    </row>
    <row r="85" ht="22.5" customHeight="1">
      <c r="A85" s="169">
        <v>46207.953245682875</v>
      </c>
      <c r="B85" s="170" t="s">
        <v>3705</v>
      </c>
      <c r="C85" s="170" t="s">
        <v>1936</v>
      </c>
      <c r="D85" s="193" t="s">
        <v>505</v>
      </c>
      <c r="E85" s="170" t="s">
        <v>3778</v>
      </c>
      <c r="F85" s="173" t="s">
        <v>3779</v>
      </c>
      <c r="G85" s="174" t="s">
        <v>3780</v>
      </c>
      <c r="H85" s="171"/>
      <c r="I85" s="171"/>
      <c r="J85" s="171"/>
      <c r="K85" s="171"/>
      <c r="L85" s="171"/>
      <c r="M85" s="175">
        <v>0.0</v>
      </c>
      <c r="N85" s="170" t="s">
        <v>3778</v>
      </c>
      <c r="O85" s="171"/>
      <c r="P85" s="171"/>
      <c r="Q85" s="171"/>
      <c r="R85" s="170" t="s">
        <v>3445</v>
      </c>
      <c r="S85" s="176" t="b">
        <v>0</v>
      </c>
      <c r="T85" s="171"/>
      <c r="U85" s="171"/>
      <c r="V85" s="171"/>
      <c r="W85" s="171"/>
      <c r="X85" s="171"/>
      <c r="Y85" s="177"/>
      <c r="Z85" s="171"/>
      <c r="AA85" s="178"/>
      <c r="AB85" s="178"/>
      <c r="AC85" s="178"/>
      <c r="AD85" s="178"/>
      <c r="AE85" s="178"/>
    </row>
    <row r="86" ht="22.5" customHeight="1">
      <c r="A86" s="169">
        <v>46207.98584116898</v>
      </c>
      <c r="B86" s="170" t="s">
        <v>3705</v>
      </c>
      <c r="C86" s="170" t="s">
        <v>1878</v>
      </c>
      <c r="D86" s="193" t="s">
        <v>245</v>
      </c>
      <c r="E86" s="170" t="s">
        <v>1879</v>
      </c>
      <c r="F86" s="173" t="s">
        <v>3781</v>
      </c>
      <c r="G86" s="174" t="s">
        <v>3782</v>
      </c>
      <c r="H86" s="171"/>
      <c r="I86" s="171"/>
      <c r="J86" s="171"/>
      <c r="K86" s="171"/>
      <c r="L86" s="171"/>
      <c r="M86" s="175">
        <v>0.0</v>
      </c>
      <c r="N86" s="170" t="s">
        <v>3783</v>
      </c>
      <c r="O86" s="171"/>
      <c r="P86" s="174" t="s">
        <v>3784</v>
      </c>
      <c r="Q86" s="170" t="s">
        <v>3785</v>
      </c>
      <c r="R86" s="170" t="s">
        <v>3445</v>
      </c>
      <c r="S86" s="176" t="b">
        <v>1</v>
      </c>
      <c r="T86" s="171"/>
      <c r="U86" s="171"/>
      <c r="V86" s="171"/>
      <c r="W86" s="171"/>
      <c r="X86" s="171"/>
      <c r="Y86" s="177"/>
      <c r="Z86" s="171"/>
      <c r="AA86" s="178"/>
      <c r="AB86" s="178"/>
      <c r="AC86" s="178"/>
      <c r="AD86" s="178"/>
      <c r="AE86" s="178"/>
    </row>
    <row r="87" ht="22.5" customHeight="1">
      <c r="A87" s="169">
        <v>46208.01351226852</v>
      </c>
      <c r="B87" s="170" t="s">
        <v>3705</v>
      </c>
      <c r="C87" s="170" t="s">
        <v>3145</v>
      </c>
      <c r="D87" s="193" t="s">
        <v>305</v>
      </c>
      <c r="E87" s="170" t="s">
        <v>3786</v>
      </c>
      <c r="F87" s="173" t="s">
        <v>3787</v>
      </c>
      <c r="G87" s="174" t="s">
        <v>3788</v>
      </c>
      <c r="H87" s="171"/>
      <c r="I87" s="171"/>
      <c r="J87" s="171"/>
      <c r="K87" s="171"/>
      <c r="L87" s="171"/>
      <c r="M87" s="175">
        <v>0.0</v>
      </c>
      <c r="N87" s="170" t="s">
        <v>3789</v>
      </c>
      <c r="O87" s="171"/>
      <c r="P87" s="171"/>
      <c r="Q87" s="171"/>
      <c r="R87" s="170" t="s">
        <v>3445</v>
      </c>
      <c r="S87" s="182" t="b">
        <v>0</v>
      </c>
      <c r="T87" s="171"/>
      <c r="U87" s="171"/>
      <c r="V87" s="171"/>
      <c r="W87" s="171"/>
      <c r="X87" s="171"/>
      <c r="Y87" s="177"/>
      <c r="Z87" s="171"/>
      <c r="AA87" s="178"/>
      <c r="AB87" s="178"/>
      <c r="AC87" s="178"/>
      <c r="AD87" s="178"/>
      <c r="AE87" s="178"/>
    </row>
    <row r="88" ht="22.5" customHeight="1">
      <c r="A88" s="169">
        <v>46208.626693391205</v>
      </c>
      <c r="B88" s="170" t="s">
        <v>3705</v>
      </c>
      <c r="C88" s="170" t="s">
        <v>2004</v>
      </c>
      <c r="D88" s="193" t="s">
        <v>276</v>
      </c>
      <c r="E88" s="170" t="s">
        <v>3790</v>
      </c>
      <c r="F88" s="173" t="s">
        <v>3791</v>
      </c>
      <c r="G88" s="174" t="s">
        <v>3792</v>
      </c>
      <c r="H88" s="171"/>
      <c r="I88" s="171"/>
      <c r="J88" s="171"/>
      <c r="K88" s="171"/>
      <c r="L88" s="171"/>
      <c r="M88" s="175">
        <v>0.0</v>
      </c>
      <c r="N88" s="170" t="s">
        <v>3790</v>
      </c>
      <c r="O88" s="171"/>
      <c r="P88" s="171"/>
      <c r="Q88" s="171"/>
      <c r="R88" s="170" t="s">
        <v>3445</v>
      </c>
      <c r="S88" s="182" t="b">
        <v>0</v>
      </c>
      <c r="T88" s="171"/>
      <c r="U88" s="171"/>
      <c r="V88" s="171"/>
      <c r="W88" s="171"/>
      <c r="X88" s="171"/>
      <c r="Y88" s="177"/>
      <c r="Z88" s="171"/>
      <c r="AA88" s="178"/>
      <c r="AB88" s="178"/>
      <c r="AC88" s="178"/>
      <c r="AD88" s="178"/>
      <c r="AE88" s="178"/>
    </row>
    <row r="89" ht="22.5" customHeight="1">
      <c r="A89" s="169">
        <v>46208.76249623843</v>
      </c>
      <c r="B89" s="170" t="s">
        <v>3705</v>
      </c>
      <c r="C89" s="170" t="s">
        <v>3327</v>
      </c>
      <c r="D89" s="193" t="s">
        <v>277</v>
      </c>
      <c r="E89" s="170" t="s">
        <v>3328</v>
      </c>
      <c r="F89" s="173" t="s">
        <v>3793</v>
      </c>
      <c r="G89" s="174" t="s">
        <v>3794</v>
      </c>
      <c r="H89" s="171"/>
      <c r="I89" s="171"/>
      <c r="J89" s="171"/>
      <c r="K89" s="171"/>
      <c r="L89" s="171"/>
      <c r="M89" s="175">
        <v>0.0</v>
      </c>
      <c r="N89" s="170" t="s">
        <v>3795</v>
      </c>
      <c r="O89" s="171"/>
      <c r="P89" s="174" t="s">
        <v>3796</v>
      </c>
      <c r="Q89" s="171"/>
      <c r="R89" s="170" t="s">
        <v>3445</v>
      </c>
      <c r="S89" s="176" t="b">
        <v>1</v>
      </c>
      <c r="T89" s="171"/>
      <c r="U89" s="171"/>
      <c r="V89" s="171"/>
      <c r="W89" s="171"/>
      <c r="X89" s="171"/>
      <c r="Y89" s="177"/>
      <c r="Z89" s="171"/>
      <c r="AA89" s="178"/>
      <c r="AB89" s="178"/>
      <c r="AC89" s="178"/>
      <c r="AD89" s="178"/>
      <c r="AE89" s="178"/>
    </row>
    <row r="90" ht="22.5" customHeight="1">
      <c r="A90" s="169">
        <v>46208.77005820602</v>
      </c>
      <c r="B90" s="170" t="s">
        <v>3705</v>
      </c>
      <c r="C90" s="170" t="s">
        <v>3797</v>
      </c>
      <c r="D90" s="193" t="s">
        <v>243</v>
      </c>
      <c r="E90" s="170" t="s">
        <v>3798</v>
      </c>
      <c r="F90" s="173" t="s">
        <v>3799</v>
      </c>
      <c r="G90" s="174" t="s">
        <v>3800</v>
      </c>
      <c r="H90" s="171"/>
      <c r="I90" s="171"/>
      <c r="J90" s="171"/>
      <c r="K90" s="171"/>
      <c r="L90" s="171"/>
      <c r="M90" s="175">
        <v>0.0</v>
      </c>
      <c r="N90" s="170" t="s">
        <v>3798</v>
      </c>
      <c r="O90" s="171"/>
      <c r="P90" s="171"/>
      <c r="Q90" s="171"/>
      <c r="R90" s="170" t="s">
        <v>3445</v>
      </c>
      <c r="S90" s="182" t="b">
        <v>0</v>
      </c>
      <c r="T90" s="171"/>
      <c r="U90" s="171"/>
      <c r="V90" s="171"/>
      <c r="W90" s="171"/>
      <c r="X90" s="171"/>
      <c r="Y90" s="177"/>
      <c r="Z90" s="171"/>
      <c r="AA90" s="178"/>
      <c r="AB90" s="178"/>
      <c r="AC90" s="178"/>
      <c r="AD90" s="178"/>
      <c r="AE90" s="178"/>
    </row>
    <row r="91" ht="22.5" customHeight="1">
      <c r="A91" s="169">
        <v>46208.97351964121</v>
      </c>
      <c r="B91" s="170" t="s">
        <v>3705</v>
      </c>
      <c r="C91" s="170" t="s">
        <v>3801</v>
      </c>
      <c r="D91" s="193" t="s">
        <v>158</v>
      </c>
      <c r="E91" s="170" t="s">
        <v>3802</v>
      </c>
      <c r="F91" s="173" t="s">
        <v>3803</v>
      </c>
      <c r="G91" s="174" t="s">
        <v>3804</v>
      </c>
      <c r="H91" s="171"/>
      <c r="I91" s="171"/>
      <c r="J91" s="171"/>
      <c r="K91" s="171"/>
      <c r="L91" s="171"/>
      <c r="M91" s="175">
        <v>0.0</v>
      </c>
      <c r="N91" s="170" t="s">
        <v>3805</v>
      </c>
      <c r="O91" s="171"/>
      <c r="P91" s="171"/>
      <c r="Q91" s="171"/>
      <c r="R91" s="170" t="s">
        <v>3445</v>
      </c>
      <c r="S91" s="182" t="b">
        <v>0</v>
      </c>
      <c r="T91" s="171"/>
      <c r="U91" s="171"/>
      <c r="V91" s="171"/>
      <c r="W91" s="171"/>
      <c r="X91" s="171"/>
      <c r="Y91" s="177"/>
      <c r="Z91" s="171"/>
      <c r="AA91" s="178"/>
      <c r="AB91" s="178"/>
      <c r="AC91" s="178"/>
      <c r="AD91" s="178"/>
      <c r="AE91" s="178"/>
    </row>
    <row r="92" ht="22.5" customHeight="1">
      <c r="A92" s="169">
        <v>46196.58433189815</v>
      </c>
      <c r="B92" s="170" t="s">
        <v>3705</v>
      </c>
      <c r="C92" s="170" t="s">
        <v>2589</v>
      </c>
      <c r="D92" s="193" t="s">
        <v>197</v>
      </c>
      <c r="E92" s="170" t="s">
        <v>3806</v>
      </c>
      <c r="F92" s="173" t="s">
        <v>3807</v>
      </c>
      <c r="G92" s="174" t="s">
        <v>3808</v>
      </c>
      <c r="H92" s="171"/>
      <c r="I92" s="171"/>
      <c r="J92" s="171"/>
      <c r="K92" s="171"/>
      <c r="L92" s="171"/>
      <c r="M92" s="175">
        <v>0.0</v>
      </c>
      <c r="N92" s="170" t="s">
        <v>3809</v>
      </c>
      <c r="O92" s="171"/>
      <c r="P92" s="174" t="s">
        <v>3810</v>
      </c>
      <c r="Q92" s="170" t="s">
        <v>3811</v>
      </c>
      <c r="R92" s="170" t="s">
        <v>3438</v>
      </c>
      <c r="S92" s="176" t="b">
        <v>0</v>
      </c>
      <c r="T92" s="195"/>
      <c r="U92" s="195"/>
      <c r="V92" s="195"/>
      <c r="W92" s="195"/>
      <c r="X92" s="195"/>
      <c r="Y92" s="177"/>
      <c r="Z92" s="194"/>
      <c r="AA92" s="192"/>
      <c r="AB92" s="192"/>
      <c r="AC92" s="192"/>
      <c r="AD92" s="192"/>
      <c r="AE92" s="192"/>
    </row>
    <row r="93" ht="22.5" customHeight="1">
      <c r="A93" s="169">
        <v>46206.89671436342</v>
      </c>
      <c r="B93" s="170" t="s">
        <v>3705</v>
      </c>
      <c r="C93" s="170" t="s">
        <v>2913</v>
      </c>
      <c r="D93" s="193" t="s">
        <v>202</v>
      </c>
      <c r="E93" s="170" t="s">
        <v>3812</v>
      </c>
      <c r="F93" s="173" t="s">
        <v>3813</v>
      </c>
      <c r="G93" s="174" t="s">
        <v>3814</v>
      </c>
      <c r="H93" s="171"/>
      <c r="I93" s="171"/>
      <c r="J93" s="171"/>
      <c r="K93" s="171"/>
      <c r="L93" s="171"/>
      <c r="M93" s="175">
        <v>0.0</v>
      </c>
      <c r="N93" s="170" t="s">
        <v>3815</v>
      </c>
      <c r="O93" s="171"/>
      <c r="P93" s="171"/>
      <c r="Q93" s="171"/>
      <c r="R93" s="170" t="s">
        <v>3438</v>
      </c>
      <c r="S93" s="176" t="b">
        <v>0</v>
      </c>
      <c r="T93" s="171"/>
      <c r="U93" s="171"/>
      <c r="V93" s="171"/>
      <c r="W93" s="171"/>
      <c r="X93" s="171"/>
      <c r="Y93" s="177"/>
      <c r="Z93" s="171"/>
      <c r="AA93" s="178"/>
      <c r="AB93" s="178"/>
      <c r="AC93" s="178"/>
      <c r="AD93" s="178"/>
      <c r="AE93" s="178"/>
    </row>
    <row r="94" ht="22.5" customHeight="1">
      <c r="A94" s="169">
        <v>46207.89683133102</v>
      </c>
      <c r="B94" s="170" t="s">
        <v>3705</v>
      </c>
      <c r="C94" s="170" t="s">
        <v>1186</v>
      </c>
      <c r="D94" s="193" t="s">
        <v>203</v>
      </c>
      <c r="E94" s="170" t="s">
        <v>3816</v>
      </c>
      <c r="F94" s="173" t="s">
        <v>3817</v>
      </c>
      <c r="G94" s="174" t="s">
        <v>3818</v>
      </c>
      <c r="H94" s="171"/>
      <c r="I94" s="171"/>
      <c r="J94" s="171"/>
      <c r="K94" s="171"/>
      <c r="L94" s="171"/>
      <c r="M94" s="175">
        <v>0.0</v>
      </c>
      <c r="N94" s="170" t="s">
        <v>3816</v>
      </c>
      <c r="O94" s="171"/>
      <c r="P94" s="171"/>
      <c r="Q94" s="171"/>
      <c r="R94" s="170" t="s">
        <v>3438</v>
      </c>
      <c r="S94" s="176" t="b">
        <v>0</v>
      </c>
      <c r="T94" s="171"/>
      <c r="U94" s="171"/>
      <c r="V94" s="171"/>
      <c r="W94" s="171"/>
      <c r="X94" s="171"/>
      <c r="Y94" s="177"/>
      <c r="Z94" s="171"/>
      <c r="AA94" s="178"/>
      <c r="AB94" s="178"/>
      <c r="AC94" s="178"/>
      <c r="AD94" s="178"/>
      <c r="AE94" s="178"/>
    </row>
    <row r="95" ht="22.5" customHeight="1">
      <c r="A95" s="169">
        <v>46208.90889100694</v>
      </c>
      <c r="B95" s="170" t="s">
        <v>3705</v>
      </c>
      <c r="C95" s="170" t="s">
        <v>3287</v>
      </c>
      <c r="D95" s="193" t="s">
        <v>204</v>
      </c>
      <c r="E95" s="170" t="s">
        <v>3819</v>
      </c>
      <c r="F95" s="173" t="s">
        <v>3820</v>
      </c>
      <c r="G95" s="174" t="s">
        <v>3821</v>
      </c>
      <c r="H95" s="171"/>
      <c r="I95" s="171"/>
      <c r="J95" s="171"/>
      <c r="K95" s="171"/>
      <c r="L95" s="171"/>
      <c r="M95" s="175">
        <v>0.0</v>
      </c>
      <c r="N95" s="170" t="s">
        <v>3822</v>
      </c>
      <c r="O95" s="171"/>
      <c r="P95" s="174" t="s">
        <v>3823</v>
      </c>
      <c r="Q95" s="170" t="s">
        <v>3824</v>
      </c>
      <c r="R95" s="170" t="s">
        <v>3438</v>
      </c>
      <c r="S95" s="176" t="b">
        <v>1</v>
      </c>
      <c r="T95" s="171"/>
      <c r="U95" s="171"/>
      <c r="V95" s="171"/>
      <c r="W95" s="171"/>
      <c r="X95" s="171"/>
      <c r="Y95" s="177"/>
      <c r="Z95" s="171"/>
      <c r="AA95" s="178"/>
      <c r="AB95" s="178"/>
      <c r="AC95" s="178"/>
      <c r="AD95" s="178"/>
      <c r="AE95" s="178"/>
    </row>
    <row r="96" ht="22.5" customHeight="1">
      <c r="A96" s="169">
        <v>46208.98206700232</v>
      </c>
      <c r="B96" s="170" t="s">
        <v>3705</v>
      </c>
      <c r="C96" s="170" t="s">
        <v>2345</v>
      </c>
      <c r="D96" s="193" t="s">
        <v>205</v>
      </c>
      <c r="E96" s="170" t="s">
        <v>3825</v>
      </c>
      <c r="F96" s="173" t="s">
        <v>3826</v>
      </c>
      <c r="G96" s="174" t="s">
        <v>3827</v>
      </c>
      <c r="H96" s="171"/>
      <c r="I96" s="171"/>
      <c r="J96" s="171"/>
      <c r="K96" s="171"/>
      <c r="L96" s="171"/>
      <c r="M96" s="175">
        <v>0.0</v>
      </c>
      <c r="N96" s="170" t="s">
        <v>3825</v>
      </c>
      <c r="O96" s="171"/>
      <c r="P96" s="174" t="s">
        <v>3828</v>
      </c>
      <c r="Q96" s="170" t="s">
        <v>3829</v>
      </c>
      <c r="R96" s="170" t="s">
        <v>3438</v>
      </c>
      <c r="S96" s="176" t="b">
        <v>1</v>
      </c>
      <c r="T96" s="171"/>
      <c r="U96" s="171"/>
      <c r="V96" s="171"/>
      <c r="W96" s="171"/>
      <c r="X96" s="171"/>
      <c r="Y96" s="177"/>
      <c r="Z96" s="171"/>
      <c r="AA96" s="178"/>
      <c r="AB96" s="178"/>
      <c r="AC96" s="178"/>
      <c r="AD96" s="178"/>
      <c r="AE96" s="178"/>
    </row>
    <row r="97" ht="22.5" customHeight="1">
      <c r="A97" s="183">
        <v>46202.563723645835</v>
      </c>
      <c r="B97" s="184" t="s">
        <v>3705</v>
      </c>
      <c r="C97" s="184" t="s">
        <v>973</v>
      </c>
      <c r="D97" s="197" t="s">
        <v>196</v>
      </c>
      <c r="E97" s="184" t="s">
        <v>974</v>
      </c>
      <c r="F97" s="187" t="s">
        <v>3830</v>
      </c>
      <c r="G97" s="188" t="s">
        <v>3831</v>
      </c>
      <c r="H97" s="185"/>
      <c r="I97" s="185"/>
      <c r="J97" s="185"/>
      <c r="K97" s="185"/>
      <c r="L97" s="185"/>
      <c r="M97" s="189">
        <v>0.0</v>
      </c>
      <c r="N97" s="184" t="s">
        <v>3832</v>
      </c>
      <c r="O97" s="185"/>
      <c r="P97" s="198" t="s">
        <v>3833</v>
      </c>
      <c r="Q97" s="184" t="s">
        <v>3834</v>
      </c>
      <c r="R97" s="184" t="s">
        <v>76</v>
      </c>
      <c r="S97" s="199" t="b">
        <v>1</v>
      </c>
      <c r="T97" s="185"/>
      <c r="U97" s="185"/>
      <c r="V97" s="185"/>
      <c r="W97" s="185"/>
      <c r="X97" s="185"/>
      <c r="Y97" s="191"/>
      <c r="Z97" s="184" t="s">
        <v>3835</v>
      </c>
      <c r="AA97" s="178"/>
      <c r="AB97" s="178"/>
      <c r="AC97" s="178"/>
      <c r="AD97" s="178"/>
      <c r="AE97" s="178"/>
    </row>
    <row r="98" ht="22.5" customHeight="1">
      <c r="A98" s="169">
        <v>46205.68512571759</v>
      </c>
      <c r="B98" s="170" t="s">
        <v>3705</v>
      </c>
      <c r="C98" s="170" t="s">
        <v>1863</v>
      </c>
      <c r="D98" s="193" t="s">
        <v>206</v>
      </c>
      <c r="E98" s="170" t="s">
        <v>3836</v>
      </c>
      <c r="F98" s="173" t="s">
        <v>3837</v>
      </c>
      <c r="G98" s="174" t="s">
        <v>3838</v>
      </c>
      <c r="H98" s="171"/>
      <c r="I98" s="171"/>
      <c r="J98" s="171"/>
      <c r="K98" s="171"/>
      <c r="L98" s="171"/>
      <c r="M98" s="175">
        <v>0.0</v>
      </c>
      <c r="N98" s="170" t="s">
        <v>3836</v>
      </c>
      <c r="O98" s="171"/>
      <c r="P98" s="174" t="s">
        <v>3839</v>
      </c>
      <c r="Q98" s="170" t="s">
        <v>3840</v>
      </c>
      <c r="R98" s="170" t="s">
        <v>76</v>
      </c>
      <c r="S98" s="176" t="b">
        <v>1</v>
      </c>
      <c r="T98" s="171"/>
      <c r="U98" s="171"/>
      <c r="V98" s="171"/>
      <c r="W98" s="171"/>
      <c r="X98" s="171"/>
      <c r="Y98" s="177"/>
      <c r="Z98" s="171"/>
      <c r="AA98" s="178"/>
      <c r="AB98" s="178"/>
      <c r="AC98" s="178"/>
      <c r="AD98" s="178"/>
      <c r="AE98" s="178"/>
    </row>
    <row r="99" ht="22.5" customHeight="1">
      <c r="A99" s="183">
        <v>46207.879651180556</v>
      </c>
      <c r="B99" s="184" t="s">
        <v>3705</v>
      </c>
      <c r="C99" s="184" t="s">
        <v>1515</v>
      </c>
      <c r="D99" s="197" t="s">
        <v>494</v>
      </c>
      <c r="E99" s="184" t="s">
        <v>1516</v>
      </c>
      <c r="F99" s="187" t="s">
        <v>3841</v>
      </c>
      <c r="G99" s="188" t="s">
        <v>3842</v>
      </c>
      <c r="H99" s="185"/>
      <c r="I99" s="185"/>
      <c r="J99" s="185"/>
      <c r="K99" s="185"/>
      <c r="L99" s="185"/>
      <c r="M99" s="189">
        <v>0.0</v>
      </c>
      <c r="N99" s="184" t="s">
        <v>3843</v>
      </c>
      <c r="O99" s="185"/>
      <c r="P99" s="185"/>
      <c r="Q99" s="185"/>
      <c r="R99" s="184" t="s">
        <v>76</v>
      </c>
      <c r="S99" s="199" t="b">
        <v>0</v>
      </c>
      <c r="T99" s="185"/>
      <c r="U99" s="185"/>
      <c r="V99" s="185"/>
      <c r="W99" s="185"/>
      <c r="X99" s="185"/>
      <c r="Y99" s="191"/>
      <c r="Z99" s="185"/>
      <c r="AA99" s="178"/>
      <c r="AB99" s="178"/>
      <c r="AC99" s="178"/>
      <c r="AD99" s="178"/>
      <c r="AE99" s="178"/>
    </row>
    <row r="100" ht="22.5" customHeight="1">
      <c r="A100" s="169">
        <v>46208.86584023148</v>
      </c>
      <c r="B100" s="170" t="s">
        <v>3705</v>
      </c>
      <c r="C100" s="170" t="s">
        <v>916</v>
      </c>
      <c r="D100" s="193" t="s">
        <v>207</v>
      </c>
      <c r="E100" s="170" t="s">
        <v>917</v>
      </c>
      <c r="F100" s="173" t="s">
        <v>3844</v>
      </c>
      <c r="G100" s="174" t="s">
        <v>3845</v>
      </c>
      <c r="H100" s="171"/>
      <c r="I100" s="171"/>
      <c r="J100" s="171"/>
      <c r="K100" s="171"/>
      <c r="L100" s="171"/>
      <c r="M100" s="175">
        <v>0.0</v>
      </c>
      <c r="N100" s="170" t="s">
        <v>3846</v>
      </c>
      <c r="O100" s="171"/>
      <c r="P100" s="171"/>
      <c r="Q100" s="171"/>
      <c r="R100" s="170" t="s">
        <v>76</v>
      </c>
      <c r="S100" s="182" t="b">
        <v>0</v>
      </c>
      <c r="T100" s="171"/>
      <c r="U100" s="171"/>
      <c r="V100" s="171"/>
      <c r="W100" s="171"/>
      <c r="X100" s="171"/>
      <c r="Y100" s="177"/>
      <c r="Z100" s="171"/>
      <c r="AA100" s="178"/>
      <c r="AB100" s="178"/>
      <c r="AC100" s="178"/>
      <c r="AD100" s="178"/>
      <c r="AE100" s="178"/>
    </row>
    <row r="101" ht="22.5" customHeight="1">
      <c r="A101" s="169">
        <v>46194.87773761574</v>
      </c>
      <c r="B101" s="170" t="s">
        <v>3705</v>
      </c>
      <c r="C101" s="170" t="s">
        <v>1304</v>
      </c>
      <c r="D101" s="193" t="s">
        <v>137</v>
      </c>
      <c r="E101" s="170" t="s">
        <v>3847</v>
      </c>
      <c r="F101" s="173" t="s">
        <v>3848</v>
      </c>
      <c r="G101" s="174" t="s">
        <v>3849</v>
      </c>
      <c r="H101" s="171"/>
      <c r="I101" s="171"/>
      <c r="J101" s="171"/>
      <c r="K101" s="171"/>
      <c r="L101" s="171"/>
      <c r="M101" s="175">
        <v>0.0</v>
      </c>
      <c r="N101" s="170" t="s">
        <v>3847</v>
      </c>
      <c r="O101" s="195"/>
      <c r="P101" s="195"/>
      <c r="Q101" s="195"/>
      <c r="R101" s="195"/>
      <c r="S101" s="176" t="b">
        <v>0</v>
      </c>
      <c r="T101" s="195"/>
      <c r="U101" s="195"/>
      <c r="V101" s="195"/>
      <c r="W101" s="195"/>
      <c r="X101" s="195"/>
      <c r="Y101" s="200"/>
      <c r="Z101" s="201"/>
      <c r="AA101" s="178"/>
      <c r="AB101" s="178"/>
      <c r="AC101" s="178"/>
      <c r="AD101" s="178"/>
      <c r="AE101" s="178"/>
    </row>
    <row r="102" ht="22.5" customHeight="1">
      <c r="A102" s="169">
        <v>46195.34942337963</v>
      </c>
      <c r="B102" s="170" t="s">
        <v>3705</v>
      </c>
      <c r="C102" s="170" t="s">
        <v>2890</v>
      </c>
      <c r="D102" s="193" t="s">
        <v>244</v>
      </c>
      <c r="E102" s="170" t="s">
        <v>3850</v>
      </c>
      <c r="F102" s="173" t="s">
        <v>3851</v>
      </c>
      <c r="G102" s="174" t="s">
        <v>3852</v>
      </c>
      <c r="H102" s="171"/>
      <c r="I102" s="171"/>
      <c r="J102" s="171"/>
      <c r="K102" s="171"/>
      <c r="L102" s="171"/>
      <c r="M102" s="175">
        <v>0.0</v>
      </c>
      <c r="N102" s="170" t="s">
        <v>3853</v>
      </c>
      <c r="O102" s="171"/>
      <c r="P102" s="171"/>
      <c r="Q102" s="171"/>
      <c r="R102" s="171"/>
      <c r="S102" s="176" t="b">
        <v>0</v>
      </c>
      <c r="T102" s="171"/>
      <c r="U102" s="171"/>
      <c r="V102" s="171"/>
      <c r="W102" s="171"/>
      <c r="X102" s="171"/>
      <c r="Y102" s="177"/>
      <c r="Z102" s="194"/>
      <c r="AA102" s="178"/>
      <c r="AB102" s="178"/>
      <c r="AC102" s="178"/>
      <c r="AD102" s="178"/>
      <c r="AE102" s="178"/>
    </row>
    <row r="103" ht="22.5" customHeight="1">
      <c r="A103" s="169">
        <v>46195.399392569445</v>
      </c>
      <c r="B103" s="202" t="s">
        <v>3705</v>
      </c>
      <c r="C103" s="202" t="s">
        <v>2928</v>
      </c>
      <c r="D103" s="203" t="s">
        <v>25</v>
      </c>
      <c r="E103" s="202" t="s">
        <v>2929</v>
      </c>
      <c r="F103" s="204" t="s">
        <v>3854</v>
      </c>
      <c r="G103" s="205" t="s">
        <v>3855</v>
      </c>
      <c r="H103" s="206"/>
      <c r="I103" s="206"/>
      <c r="J103" s="206"/>
      <c r="K103" s="206"/>
      <c r="L103" s="206"/>
      <c r="M103" s="207">
        <v>0.0</v>
      </c>
      <c r="N103" s="202" t="s">
        <v>3856</v>
      </c>
      <c r="O103" s="206"/>
      <c r="P103" s="206"/>
      <c r="Q103" s="206"/>
      <c r="R103" s="206"/>
      <c r="S103" s="208" t="b">
        <v>0</v>
      </c>
      <c r="T103" s="206"/>
      <c r="U103" s="206"/>
      <c r="V103" s="206"/>
      <c r="W103" s="206"/>
      <c r="X103" s="206"/>
      <c r="Y103" s="209"/>
      <c r="Z103" s="202" t="s">
        <v>3857</v>
      </c>
      <c r="AA103" s="210"/>
      <c r="AB103" s="210"/>
      <c r="AC103" s="210"/>
      <c r="AD103" s="210"/>
      <c r="AE103" s="210"/>
    </row>
    <row r="104" ht="22.5" customHeight="1">
      <c r="A104" s="169">
        <v>46196.369189097226</v>
      </c>
      <c r="B104" s="170" t="s">
        <v>3705</v>
      </c>
      <c r="C104" s="170" t="s">
        <v>3858</v>
      </c>
      <c r="D104" s="193" t="s">
        <v>246</v>
      </c>
      <c r="E104" s="170" t="s">
        <v>3859</v>
      </c>
      <c r="F104" s="173" t="s">
        <v>3860</v>
      </c>
      <c r="G104" s="174" t="s">
        <v>3861</v>
      </c>
      <c r="H104" s="171"/>
      <c r="I104" s="171"/>
      <c r="J104" s="171"/>
      <c r="K104" s="171"/>
      <c r="L104" s="171"/>
      <c r="M104" s="175">
        <v>0.0</v>
      </c>
      <c r="N104" s="170" t="s">
        <v>3859</v>
      </c>
      <c r="O104" s="171"/>
      <c r="P104" s="171"/>
      <c r="Q104" s="171"/>
      <c r="R104" s="171"/>
      <c r="S104" s="176" t="b">
        <v>0</v>
      </c>
      <c r="T104" s="171"/>
      <c r="U104" s="171"/>
      <c r="V104" s="171"/>
      <c r="W104" s="171"/>
      <c r="X104" s="171"/>
      <c r="Y104" s="177"/>
      <c r="Z104" s="202" t="s">
        <v>3857</v>
      </c>
      <c r="AA104" s="178"/>
      <c r="AB104" s="178"/>
      <c r="AC104" s="178"/>
      <c r="AD104" s="178"/>
      <c r="AE104" s="178"/>
    </row>
    <row r="105" ht="22.5" customHeight="1">
      <c r="A105" s="169">
        <v>46196.52069392361</v>
      </c>
      <c r="B105" s="170" t="s">
        <v>3705</v>
      </c>
      <c r="C105" s="170" t="s">
        <v>1802</v>
      </c>
      <c r="D105" s="193" t="s">
        <v>247</v>
      </c>
      <c r="E105" s="170" t="s">
        <v>3862</v>
      </c>
      <c r="F105" s="173" t="s">
        <v>3863</v>
      </c>
      <c r="G105" s="174" t="s">
        <v>3864</v>
      </c>
      <c r="H105" s="171"/>
      <c r="I105" s="171"/>
      <c r="J105" s="171"/>
      <c r="K105" s="171"/>
      <c r="L105" s="171"/>
      <c r="M105" s="175">
        <v>0.0</v>
      </c>
      <c r="N105" s="170" t="s">
        <v>3862</v>
      </c>
      <c r="O105" s="171"/>
      <c r="P105" s="171"/>
      <c r="Q105" s="171"/>
      <c r="R105" s="171"/>
      <c r="S105" s="176" t="b">
        <v>0</v>
      </c>
      <c r="T105" s="171"/>
      <c r="U105" s="171"/>
      <c r="V105" s="171"/>
      <c r="W105" s="171"/>
      <c r="X105" s="171"/>
      <c r="Y105" s="177"/>
      <c r="Z105" s="194"/>
      <c r="AA105" s="178"/>
      <c r="AB105" s="178"/>
      <c r="AC105" s="178"/>
      <c r="AD105" s="178"/>
      <c r="AE105" s="178"/>
    </row>
    <row r="106" ht="22.5" customHeight="1">
      <c r="A106" s="169">
        <v>46208.632697974535</v>
      </c>
      <c r="B106" s="170" t="s">
        <v>3705</v>
      </c>
      <c r="C106" s="170" t="s">
        <v>2918</v>
      </c>
      <c r="D106" s="193" t="s">
        <v>498</v>
      </c>
      <c r="E106" s="170" t="s">
        <v>3865</v>
      </c>
      <c r="F106" s="173" t="s">
        <v>3866</v>
      </c>
      <c r="G106" s="174" t="s">
        <v>3867</v>
      </c>
      <c r="H106" s="171"/>
      <c r="I106" s="171"/>
      <c r="J106" s="171"/>
      <c r="K106" s="171"/>
      <c r="L106" s="171"/>
      <c r="M106" s="175">
        <v>0.0</v>
      </c>
      <c r="N106" s="170" t="s">
        <v>3865</v>
      </c>
      <c r="O106" s="171"/>
      <c r="P106" s="171"/>
      <c r="Q106" s="171"/>
      <c r="R106" s="171"/>
      <c r="S106" s="182" t="b">
        <v>0</v>
      </c>
      <c r="T106" s="171"/>
      <c r="U106" s="171"/>
      <c r="V106" s="171"/>
      <c r="W106" s="171"/>
      <c r="X106" s="171"/>
      <c r="Y106" s="177"/>
      <c r="Z106" s="171"/>
      <c r="AA106" s="178"/>
      <c r="AB106" s="178"/>
      <c r="AC106" s="178"/>
      <c r="AD106" s="178"/>
      <c r="AE106" s="178"/>
    </row>
    <row r="107" ht="22.5" customHeight="1">
      <c r="A107" s="211"/>
      <c r="B107" s="212" t="s">
        <v>3705</v>
      </c>
      <c r="C107" s="213" t="s">
        <v>3329</v>
      </c>
      <c r="D107" s="214">
        <v>2.0215611E7</v>
      </c>
      <c r="E107" s="213" t="s">
        <v>3330</v>
      </c>
      <c r="F107" s="215" t="s">
        <v>3868</v>
      </c>
      <c r="G107" s="216"/>
      <c r="H107" s="217"/>
      <c r="I107" s="217"/>
      <c r="J107" s="217"/>
      <c r="K107" s="217"/>
      <c r="L107" s="217"/>
      <c r="M107" s="218"/>
      <c r="N107" s="217"/>
      <c r="O107" s="217"/>
      <c r="P107" s="216"/>
      <c r="Q107" s="213" t="s">
        <v>3869</v>
      </c>
      <c r="R107" s="212" t="s">
        <v>3870</v>
      </c>
      <c r="S107" s="219" t="b">
        <v>0</v>
      </c>
      <c r="T107" s="216"/>
      <c r="U107" s="216"/>
      <c r="V107" s="216"/>
      <c r="W107" s="216"/>
      <c r="X107" s="216"/>
      <c r="Y107" s="220"/>
      <c r="Z107" s="221"/>
      <c r="AA107" s="222"/>
      <c r="AB107" s="222"/>
      <c r="AC107" s="222"/>
      <c r="AD107" s="222"/>
      <c r="AE107" s="222"/>
    </row>
    <row r="108">
      <c r="A108" s="125"/>
      <c r="B108" s="125"/>
      <c r="C108" s="125"/>
      <c r="D108" s="223"/>
      <c r="E108" s="125"/>
      <c r="F108" s="125"/>
      <c r="G108" s="125"/>
      <c r="H108" s="125"/>
      <c r="I108" s="125"/>
      <c r="J108" s="125"/>
      <c r="K108" s="125"/>
      <c r="L108" s="125"/>
      <c r="M108" s="125"/>
      <c r="N108" s="125"/>
      <c r="O108" s="125"/>
      <c r="P108" s="125"/>
      <c r="Q108" s="125"/>
      <c r="R108" s="125"/>
      <c r="S108" s="125"/>
      <c r="T108" s="125"/>
      <c r="U108" s="125"/>
      <c r="V108" s="125"/>
      <c r="W108" s="125"/>
      <c r="X108" s="125"/>
      <c r="Y108" s="125"/>
      <c r="Z108" s="125"/>
      <c r="AA108" s="125"/>
      <c r="AB108" s="125"/>
      <c r="AC108" s="125"/>
      <c r="AD108" s="125"/>
      <c r="AE108" s="125"/>
    </row>
    <row r="109">
      <c r="A109" s="125"/>
      <c r="B109" s="125"/>
      <c r="C109" s="125"/>
      <c r="D109" s="223"/>
      <c r="E109" s="125"/>
      <c r="F109" s="125"/>
      <c r="G109" s="125"/>
      <c r="H109" s="125"/>
      <c r="I109" s="125"/>
      <c r="J109" s="125"/>
      <c r="K109" s="125"/>
      <c r="L109" s="125"/>
      <c r="M109" s="125"/>
      <c r="N109" s="125"/>
      <c r="O109" s="125"/>
      <c r="P109" s="125"/>
      <c r="Q109" s="125"/>
      <c r="R109" s="125"/>
      <c r="S109" s="125"/>
      <c r="T109" s="125"/>
      <c r="U109" s="125"/>
      <c r="V109" s="125"/>
      <c r="W109" s="125"/>
      <c r="X109" s="125"/>
      <c r="Y109" s="125"/>
      <c r="Z109" s="125"/>
      <c r="AA109" s="125"/>
      <c r="AB109" s="125"/>
      <c r="AC109" s="125"/>
      <c r="AD109" s="125"/>
      <c r="AE109" s="125"/>
    </row>
    <row r="110">
      <c r="A110" s="125"/>
      <c r="B110" s="125"/>
      <c r="C110" s="125"/>
      <c r="D110" s="223"/>
      <c r="E110" s="125"/>
      <c r="F110" s="125"/>
      <c r="G110" s="125"/>
      <c r="H110" s="125"/>
      <c r="I110" s="125"/>
      <c r="J110" s="125"/>
      <c r="K110" s="125"/>
      <c r="L110" s="125"/>
      <c r="M110" s="125"/>
      <c r="N110" s="125"/>
      <c r="O110" s="125"/>
      <c r="P110" s="125"/>
      <c r="Q110" s="125"/>
      <c r="R110" s="125"/>
      <c r="S110" s="125"/>
      <c r="T110" s="125"/>
      <c r="U110" s="125"/>
      <c r="V110" s="125"/>
      <c r="W110" s="125"/>
      <c r="X110" s="125"/>
      <c r="Y110" s="125"/>
      <c r="Z110" s="125"/>
      <c r="AA110" s="125"/>
      <c r="AB110" s="125"/>
      <c r="AC110" s="125"/>
      <c r="AD110" s="125"/>
      <c r="AE110" s="125"/>
    </row>
    <row r="111">
      <c r="A111" s="125"/>
      <c r="B111" s="125"/>
      <c r="C111" s="125"/>
      <c r="D111" s="223"/>
      <c r="E111" s="125"/>
      <c r="F111" s="125"/>
      <c r="G111" s="125"/>
      <c r="H111" s="125"/>
      <c r="I111" s="125"/>
      <c r="J111" s="125"/>
      <c r="K111" s="125"/>
      <c r="L111" s="125"/>
      <c r="M111" s="125"/>
      <c r="N111" s="125"/>
      <c r="O111" s="125"/>
      <c r="P111" s="125"/>
      <c r="Q111" s="125"/>
      <c r="R111" s="125"/>
      <c r="S111" s="125"/>
      <c r="T111" s="125"/>
      <c r="U111" s="125"/>
      <c r="V111" s="125"/>
      <c r="W111" s="125"/>
      <c r="X111" s="125"/>
      <c r="Y111" s="125"/>
      <c r="Z111" s="125"/>
      <c r="AA111" s="125"/>
      <c r="AB111" s="125"/>
      <c r="AC111" s="125"/>
      <c r="AD111" s="125"/>
      <c r="AE111" s="125"/>
    </row>
    <row r="112">
      <c r="A112" s="125"/>
      <c r="B112" s="125"/>
      <c r="C112" s="125"/>
      <c r="D112" s="223"/>
      <c r="E112" s="125"/>
      <c r="F112" s="125"/>
      <c r="G112" s="125"/>
      <c r="H112" s="125"/>
      <c r="I112" s="125"/>
      <c r="J112" s="125"/>
      <c r="K112" s="125"/>
      <c r="L112" s="125"/>
      <c r="M112" s="125"/>
      <c r="N112" s="125"/>
      <c r="O112" s="125"/>
      <c r="P112" s="125"/>
      <c r="Q112" s="125"/>
      <c r="R112" s="125"/>
      <c r="S112" s="125"/>
      <c r="T112" s="125"/>
      <c r="U112" s="125"/>
      <c r="V112" s="125"/>
      <c r="W112" s="125"/>
      <c r="X112" s="125"/>
      <c r="Y112" s="125"/>
      <c r="Z112" s="125"/>
      <c r="AA112" s="125"/>
      <c r="AB112" s="125"/>
      <c r="AC112" s="125"/>
      <c r="AD112" s="125"/>
      <c r="AE112" s="125"/>
    </row>
    <row r="113">
      <c r="A113" s="125"/>
      <c r="B113" s="125"/>
      <c r="C113" s="125"/>
      <c r="D113" s="223"/>
      <c r="E113" s="125"/>
      <c r="F113" s="125"/>
      <c r="G113" s="125"/>
      <c r="H113" s="125"/>
      <c r="I113" s="125"/>
      <c r="J113" s="125"/>
      <c r="K113" s="125"/>
      <c r="L113" s="125"/>
      <c r="M113" s="125"/>
      <c r="N113" s="125"/>
      <c r="O113" s="125"/>
      <c r="P113" s="125"/>
      <c r="Q113" s="125"/>
      <c r="R113" s="125"/>
      <c r="S113" s="125"/>
      <c r="T113" s="125"/>
      <c r="U113" s="125"/>
      <c r="V113" s="125"/>
      <c r="W113" s="125"/>
      <c r="X113" s="125"/>
      <c r="Y113" s="125"/>
      <c r="Z113" s="125"/>
      <c r="AA113" s="125"/>
      <c r="AB113" s="125"/>
      <c r="AC113" s="125"/>
      <c r="AD113" s="125"/>
      <c r="AE113" s="125"/>
    </row>
    <row r="114">
      <c r="A114" s="125"/>
      <c r="B114" s="125"/>
      <c r="C114" s="125"/>
      <c r="D114" s="223"/>
      <c r="E114" s="125"/>
      <c r="F114" s="125"/>
      <c r="G114" s="125"/>
      <c r="H114" s="125"/>
      <c r="I114" s="125"/>
      <c r="J114" s="125"/>
      <c r="K114" s="125"/>
      <c r="L114" s="125"/>
      <c r="M114" s="125"/>
      <c r="N114" s="125"/>
      <c r="O114" s="125"/>
      <c r="P114" s="125"/>
      <c r="Q114" s="125"/>
      <c r="R114" s="125"/>
      <c r="S114" s="125"/>
      <c r="T114" s="125"/>
      <c r="U114" s="125"/>
      <c r="V114" s="125"/>
      <c r="W114" s="125"/>
      <c r="X114" s="125"/>
      <c r="Y114" s="125"/>
      <c r="Z114" s="125"/>
      <c r="AA114" s="125"/>
      <c r="AB114" s="125"/>
      <c r="AC114" s="125"/>
      <c r="AD114" s="125"/>
      <c r="AE114" s="125"/>
    </row>
    <row r="115">
      <c r="A115" s="125"/>
      <c r="B115" s="125"/>
      <c r="C115" s="125"/>
      <c r="D115" s="223"/>
      <c r="E115" s="125"/>
      <c r="F115" s="125"/>
      <c r="G115" s="125"/>
      <c r="H115" s="125"/>
      <c r="I115" s="125"/>
      <c r="J115" s="125"/>
      <c r="K115" s="125"/>
      <c r="L115" s="125"/>
      <c r="M115" s="125"/>
      <c r="N115" s="125"/>
      <c r="O115" s="125"/>
      <c r="P115" s="125"/>
      <c r="Q115" s="125"/>
      <c r="R115" s="125"/>
      <c r="S115" s="125"/>
      <c r="T115" s="125"/>
      <c r="U115" s="125"/>
      <c r="V115" s="125"/>
      <c r="W115" s="125"/>
      <c r="X115" s="125"/>
      <c r="Y115" s="125"/>
      <c r="Z115" s="125"/>
      <c r="AA115" s="125"/>
      <c r="AB115" s="125"/>
      <c r="AC115" s="125"/>
      <c r="AD115" s="125"/>
      <c r="AE115" s="125"/>
    </row>
    <row r="116">
      <c r="A116" s="125"/>
      <c r="B116" s="125"/>
      <c r="C116" s="125"/>
      <c r="D116" s="223"/>
      <c r="E116" s="125"/>
      <c r="F116" s="125"/>
      <c r="G116" s="125"/>
      <c r="H116" s="125"/>
      <c r="I116" s="125"/>
      <c r="J116" s="125"/>
      <c r="K116" s="125"/>
      <c r="L116" s="125"/>
      <c r="M116" s="125"/>
      <c r="N116" s="125"/>
      <c r="O116" s="125"/>
      <c r="P116" s="125"/>
      <c r="Q116" s="125"/>
      <c r="R116" s="125"/>
      <c r="S116" s="125"/>
      <c r="T116" s="125"/>
      <c r="U116" s="125"/>
      <c r="V116" s="125"/>
      <c r="W116" s="125"/>
      <c r="X116" s="125"/>
      <c r="Y116" s="125"/>
      <c r="Z116" s="125"/>
      <c r="AA116" s="125"/>
      <c r="AB116" s="125"/>
      <c r="AC116" s="125"/>
      <c r="AD116" s="125"/>
      <c r="AE116" s="125"/>
    </row>
    <row r="117">
      <c r="A117" s="125"/>
      <c r="B117" s="125"/>
      <c r="C117" s="125"/>
      <c r="D117" s="223"/>
      <c r="E117" s="125"/>
      <c r="F117" s="125"/>
      <c r="G117" s="125"/>
      <c r="H117" s="125"/>
      <c r="I117" s="125"/>
      <c r="J117" s="125"/>
      <c r="K117" s="125"/>
      <c r="L117" s="125"/>
      <c r="M117" s="125"/>
      <c r="N117" s="125"/>
      <c r="O117" s="125"/>
      <c r="P117" s="125"/>
      <c r="Q117" s="125"/>
      <c r="R117" s="125"/>
      <c r="S117" s="125"/>
      <c r="T117" s="125"/>
      <c r="U117" s="125"/>
      <c r="V117" s="125"/>
      <c r="W117" s="125"/>
      <c r="X117" s="125"/>
      <c r="Y117" s="125"/>
      <c r="Z117" s="125"/>
      <c r="AA117" s="125"/>
      <c r="AB117" s="125"/>
      <c r="AC117" s="125"/>
      <c r="AD117" s="125"/>
      <c r="AE117" s="125"/>
    </row>
    <row r="118">
      <c r="A118" s="125"/>
      <c r="B118" s="125"/>
      <c r="C118" s="125"/>
      <c r="D118" s="223"/>
      <c r="E118" s="125"/>
      <c r="F118" s="125"/>
      <c r="G118" s="125"/>
      <c r="H118" s="125"/>
      <c r="I118" s="125"/>
      <c r="J118" s="125"/>
      <c r="K118" s="125"/>
      <c r="L118" s="125"/>
      <c r="M118" s="125"/>
      <c r="N118" s="125"/>
      <c r="O118" s="125"/>
      <c r="P118" s="125"/>
      <c r="Q118" s="125"/>
      <c r="R118" s="125"/>
      <c r="S118" s="125"/>
      <c r="T118" s="125"/>
      <c r="U118" s="125"/>
      <c r="V118" s="125"/>
      <c r="W118" s="125"/>
      <c r="X118" s="125"/>
      <c r="Y118" s="125"/>
      <c r="Z118" s="125"/>
      <c r="AA118" s="125"/>
      <c r="AB118" s="125"/>
      <c r="AC118" s="125"/>
      <c r="AD118" s="125"/>
      <c r="AE118" s="125"/>
    </row>
    <row r="119">
      <c r="A119" s="125"/>
      <c r="B119" s="125"/>
      <c r="C119" s="125"/>
      <c r="D119" s="223"/>
      <c r="E119" s="125"/>
      <c r="F119" s="125"/>
      <c r="G119" s="125"/>
      <c r="H119" s="125"/>
      <c r="I119" s="125"/>
      <c r="J119" s="125"/>
      <c r="K119" s="125"/>
      <c r="L119" s="125"/>
      <c r="M119" s="125"/>
      <c r="N119" s="125"/>
      <c r="O119" s="125"/>
      <c r="P119" s="125"/>
      <c r="Q119" s="125"/>
      <c r="R119" s="125"/>
      <c r="S119" s="125"/>
      <c r="T119" s="125"/>
      <c r="U119" s="125"/>
      <c r="V119" s="125"/>
      <c r="W119" s="125"/>
      <c r="X119" s="125"/>
      <c r="Y119" s="125"/>
      <c r="Z119" s="125"/>
      <c r="AA119" s="125"/>
      <c r="AB119" s="125"/>
      <c r="AC119" s="125"/>
      <c r="AD119" s="125"/>
      <c r="AE119" s="125"/>
    </row>
    <row r="120">
      <c r="A120" s="125"/>
      <c r="B120" s="125"/>
      <c r="C120" s="125"/>
      <c r="D120" s="223"/>
      <c r="E120" s="125"/>
      <c r="F120" s="125"/>
      <c r="G120" s="125"/>
      <c r="H120" s="125"/>
      <c r="I120" s="125"/>
      <c r="J120" s="125"/>
      <c r="K120" s="125"/>
      <c r="L120" s="125"/>
      <c r="M120" s="125"/>
      <c r="N120" s="125"/>
      <c r="O120" s="125"/>
      <c r="P120" s="125"/>
      <c r="Q120" s="125"/>
      <c r="R120" s="125"/>
      <c r="S120" s="125"/>
      <c r="T120" s="125"/>
      <c r="U120" s="125"/>
      <c r="V120" s="125"/>
      <c r="W120" s="125"/>
      <c r="X120" s="125"/>
      <c r="Y120" s="125"/>
      <c r="Z120" s="125"/>
      <c r="AA120" s="125"/>
      <c r="AB120" s="125"/>
      <c r="AC120" s="125"/>
      <c r="AD120" s="125"/>
      <c r="AE120" s="125"/>
    </row>
    <row r="121">
      <c r="A121" s="125"/>
      <c r="B121" s="125"/>
      <c r="C121" s="125"/>
      <c r="D121" s="223"/>
      <c r="E121" s="125"/>
      <c r="F121" s="125"/>
      <c r="G121" s="125"/>
      <c r="H121" s="125"/>
      <c r="I121" s="125"/>
      <c r="J121" s="125"/>
      <c r="K121" s="125"/>
      <c r="L121" s="125"/>
      <c r="M121" s="125"/>
      <c r="N121" s="125"/>
      <c r="O121" s="125"/>
      <c r="P121" s="125"/>
      <c r="Q121" s="125"/>
      <c r="R121" s="125"/>
      <c r="S121" s="125"/>
      <c r="T121" s="125"/>
      <c r="U121" s="125"/>
      <c r="V121" s="125"/>
      <c r="W121" s="125"/>
      <c r="X121" s="125"/>
      <c r="Y121" s="125"/>
      <c r="Z121" s="125"/>
      <c r="AA121" s="125"/>
      <c r="AB121" s="125"/>
      <c r="AC121" s="125"/>
      <c r="AD121" s="125"/>
      <c r="AE121" s="125"/>
    </row>
    <row r="122">
      <c r="A122" s="125"/>
      <c r="B122" s="125"/>
      <c r="C122" s="125"/>
      <c r="D122" s="223"/>
      <c r="E122" s="125"/>
      <c r="F122" s="125"/>
      <c r="G122" s="125"/>
      <c r="H122" s="125"/>
      <c r="I122" s="125"/>
      <c r="J122" s="125"/>
      <c r="K122" s="125"/>
      <c r="L122" s="125"/>
      <c r="M122" s="125"/>
      <c r="N122" s="125"/>
      <c r="O122" s="125"/>
      <c r="P122" s="125"/>
      <c r="Q122" s="125"/>
      <c r="R122" s="125"/>
      <c r="S122" s="125"/>
      <c r="T122" s="125"/>
      <c r="U122" s="125"/>
      <c r="V122" s="125"/>
      <c r="W122" s="125"/>
      <c r="X122" s="125"/>
      <c r="Y122" s="125"/>
      <c r="Z122" s="125"/>
      <c r="AA122" s="125"/>
      <c r="AB122" s="125"/>
      <c r="AC122" s="125"/>
      <c r="AD122" s="125"/>
      <c r="AE122" s="125"/>
    </row>
    <row r="123">
      <c r="A123" s="125"/>
      <c r="B123" s="125"/>
      <c r="C123" s="125"/>
      <c r="D123" s="223"/>
      <c r="E123" s="125"/>
      <c r="F123" s="125"/>
      <c r="G123" s="125"/>
      <c r="H123" s="125"/>
      <c r="I123" s="125"/>
      <c r="J123" s="125"/>
      <c r="K123" s="125"/>
      <c r="L123" s="125"/>
      <c r="M123" s="125"/>
      <c r="N123" s="125"/>
      <c r="O123" s="125"/>
      <c r="P123" s="125"/>
      <c r="Q123" s="125"/>
      <c r="R123" s="125"/>
      <c r="S123" s="125"/>
      <c r="T123" s="125"/>
      <c r="U123" s="125"/>
      <c r="V123" s="125"/>
      <c r="W123" s="125"/>
      <c r="X123" s="125"/>
      <c r="Y123" s="125"/>
      <c r="Z123" s="125"/>
      <c r="AA123" s="125"/>
      <c r="AB123" s="125"/>
      <c r="AC123" s="125"/>
      <c r="AD123" s="125"/>
      <c r="AE123" s="125"/>
    </row>
    <row r="124">
      <c r="A124" s="125"/>
      <c r="B124" s="125"/>
      <c r="C124" s="125"/>
      <c r="D124" s="223"/>
      <c r="E124" s="125"/>
      <c r="F124" s="125"/>
      <c r="G124" s="125"/>
      <c r="H124" s="125"/>
      <c r="I124" s="125"/>
      <c r="J124" s="125"/>
      <c r="K124" s="125"/>
      <c r="L124" s="125"/>
      <c r="M124" s="125"/>
      <c r="N124" s="125"/>
      <c r="O124" s="125"/>
      <c r="P124" s="125"/>
      <c r="Q124" s="125"/>
      <c r="R124" s="125"/>
      <c r="S124" s="125"/>
      <c r="T124" s="125"/>
      <c r="U124" s="125"/>
      <c r="V124" s="125"/>
      <c r="W124" s="125"/>
      <c r="X124" s="125"/>
      <c r="Y124" s="125"/>
      <c r="Z124" s="125"/>
      <c r="AA124" s="125"/>
      <c r="AB124" s="125"/>
      <c r="AC124" s="125"/>
      <c r="AD124" s="125"/>
      <c r="AE124" s="125"/>
    </row>
    <row r="125">
      <c r="A125" s="125"/>
      <c r="B125" s="125"/>
      <c r="C125" s="125"/>
      <c r="D125" s="223"/>
      <c r="E125" s="125"/>
      <c r="F125" s="125"/>
      <c r="G125" s="125"/>
      <c r="H125" s="125"/>
      <c r="I125" s="125"/>
      <c r="J125" s="125"/>
      <c r="K125" s="125"/>
      <c r="L125" s="125"/>
      <c r="M125" s="125"/>
      <c r="N125" s="125"/>
      <c r="O125" s="125"/>
      <c r="P125" s="125"/>
      <c r="Q125" s="125"/>
      <c r="R125" s="125"/>
      <c r="S125" s="125"/>
      <c r="T125" s="125"/>
      <c r="U125" s="125"/>
      <c r="V125" s="125"/>
      <c r="W125" s="125"/>
      <c r="X125" s="125"/>
      <c r="Y125" s="125"/>
      <c r="Z125" s="125"/>
      <c r="AA125" s="125"/>
      <c r="AB125" s="125"/>
      <c r="AC125" s="125"/>
      <c r="AD125" s="125"/>
      <c r="AE125" s="125"/>
    </row>
    <row r="126">
      <c r="A126" s="125"/>
      <c r="B126" s="125"/>
      <c r="C126" s="125"/>
      <c r="D126" s="223"/>
      <c r="E126" s="125"/>
      <c r="F126" s="125"/>
      <c r="G126" s="125"/>
      <c r="H126" s="125"/>
      <c r="I126" s="125"/>
      <c r="J126" s="125"/>
      <c r="K126" s="125"/>
      <c r="L126" s="125"/>
      <c r="M126" s="125"/>
      <c r="N126" s="125"/>
      <c r="O126" s="125"/>
      <c r="P126" s="125"/>
      <c r="Q126" s="125"/>
      <c r="R126" s="125"/>
      <c r="S126" s="125"/>
      <c r="T126" s="125"/>
      <c r="U126" s="125"/>
      <c r="V126" s="125"/>
      <c r="W126" s="125"/>
      <c r="X126" s="125"/>
      <c r="Y126" s="125"/>
      <c r="Z126" s="125"/>
      <c r="AA126" s="125"/>
      <c r="AB126" s="125"/>
      <c r="AC126" s="125"/>
      <c r="AD126" s="125"/>
      <c r="AE126" s="125"/>
    </row>
    <row r="127">
      <c r="A127" s="125"/>
      <c r="B127" s="125"/>
      <c r="C127" s="125"/>
      <c r="D127" s="223"/>
      <c r="E127" s="125"/>
      <c r="F127" s="125"/>
      <c r="G127" s="125"/>
      <c r="H127" s="125"/>
      <c r="I127" s="125"/>
      <c r="J127" s="125"/>
      <c r="K127" s="125"/>
      <c r="L127" s="125"/>
      <c r="M127" s="125"/>
      <c r="N127" s="125"/>
      <c r="O127" s="125"/>
      <c r="P127" s="125"/>
      <c r="Q127" s="125"/>
      <c r="R127" s="125"/>
      <c r="S127" s="125"/>
      <c r="T127" s="125"/>
      <c r="U127" s="125"/>
      <c r="V127" s="125"/>
      <c r="W127" s="125"/>
      <c r="X127" s="125"/>
      <c r="Y127" s="125"/>
      <c r="Z127" s="125"/>
      <c r="AA127" s="125"/>
      <c r="AB127" s="125"/>
      <c r="AC127" s="125"/>
      <c r="AD127" s="125"/>
      <c r="AE127" s="125"/>
    </row>
    <row r="128">
      <c r="A128" s="125"/>
      <c r="B128" s="125"/>
      <c r="C128" s="125"/>
      <c r="D128" s="223"/>
      <c r="E128" s="125"/>
      <c r="F128" s="125"/>
      <c r="G128" s="125"/>
      <c r="H128" s="125"/>
      <c r="I128" s="125"/>
      <c r="J128" s="125"/>
      <c r="K128" s="125"/>
      <c r="L128" s="125"/>
      <c r="M128" s="125"/>
      <c r="N128" s="125"/>
      <c r="O128" s="125"/>
      <c r="P128" s="125"/>
      <c r="Q128" s="125"/>
      <c r="R128" s="125"/>
      <c r="S128" s="125"/>
      <c r="T128" s="125"/>
      <c r="U128" s="125"/>
      <c r="V128" s="125"/>
      <c r="W128" s="125"/>
      <c r="X128" s="125"/>
      <c r="Y128" s="125"/>
      <c r="Z128" s="125"/>
      <c r="AA128" s="125"/>
      <c r="AB128" s="125"/>
      <c r="AC128" s="125"/>
      <c r="AD128" s="125"/>
      <c r="AE128" s="125"/>
    </row>
    <row r="129">
      <c r="A129" s="125"/>
      <c r="B129" s="125"/>
      <c r="C129" s="125"/>
      <c r="D129" s="223"/>
      <c r="E129" s="125"/>
      <c r="F129" s="125"/>
      <c r="G129" s="125"/>
      <c r="H129" s="125"/>
      <c r="I129" s="125"/>
      <c r="J129" s="125"/>
      <c r="K129" s="125"/>
      <c r="L129" s="125"/>
      <c r="M129" s="125"/>
      <c r="N129" s="125"/>
      <c r="O129" s="125"/>
      <c r="P129" s="125"/>
      <c r="Q129" s="125"/>
      <c r="R129" s="125"/>
      <c r="S129" s="125"/>
      <c r="T129" s="125"/>
      <c r="U129" s="125"/>
      <c r="V129" s="125"/>
      <c r="W129" s="125"/>
      <c r="X129" s="125"/>
      <c r="Y129" s="125"/>
      <c r="Z129" s="125"/>
      <c r="AA129" s="125"/>
      <c r="AB129" s="125"/>
      <c r="AC129" s="125"/>
      <c r="AD129" s="125"/>
      <c r="AE129" s="125"/>
    </row>
    <row r="130">
      <c r="A130" s="125"/>
      <c r="B130" s="125"/>
      <c r="C130" s="125"/>
      <c r="D130" s="223"/>
      <c r="E130" s="125"/>
      <c r="F130" s="125"/>
      <c r="G130" s="125"/>
      <c r="H130" s="125"/>
      <c r="I130" s="125"/>
      <c r="J130" s="125"/>
      <c r="K130" s="125"/>
      <c r="L130" s="125"/>
      <c r="M130" s="125"/>
      <c r="N130" s="125"/>
      <c r="O130" s="125"/>
      <c r="P130" s="125"/>
      <c r="Q130" s="125"/>
      <c r="R130" s="125"/>
      <c r="S130" s="125"/>
      <c r="T130" s="125"/>
      <c r="U130" s="125"/>
      <c r="V130" s="125"/>
      <c r="W130" s="125"/>
      <c r="X130" s="125"/>
      <c r="Y130" s="125"/>
      <c r="Z130" s="125"/>
      <c r="AA130" s="125"/>
      <c r="AB130" s="125"/>
      <c r="AC130" s="125"/>
      <c r="AD130" s="125"/>
      <c r="AE130" s="125"/>
    </row>
    <row r="131">
      <c r="A131" s="125"/>
      <c r="B131" s="125"/>
      <c r="C131" s="125"/>
      <c r="D131" s="223"/>
      <c r="E131" s="125"/>
      <c r="F131" s="125"/>
      <c r="G131" s="125"/>
      <c r="H131" s="125"/>
      <c r="I131" s="125"/>
      <c r="J131" s="125"/>
      <c r="K131" s="125"/>
      <c r="L131" s="125"/>
      <c r="M131" s="125"/>
      <c r="N131" s="125"/>
      <c r="O131" s="125"/>
      <c r="P131" s="125"/>
      <c r="Q131" s="125"/>
      <c r="R131" s="125"/>
      <c r="S131" s="125"/>
      <c r="T131" s="125"/>
      <c r="U131" s="125"/>
      <c r="V131" s="125"/>
      <c r="W131" s="125"/>
      <c r="X131" s="125"/>
      <c r="Y131" s="125"/>
      <c r="Z131" s="125"/>
      <c r="AA131" s="125"/>
      <c r="AB131" s="125"/>
      <c r="AC131" s="125"/>
      <c r="AD131" s="125"/>
      <c r="AE131" s="125"/>
    </row>
    <row r="132">
      <c r="A132" s="125"/>
      <c r="B132" s="125"/>
      <c r="C132" s="125"/>
      <c r="D132" s="223"/>
      <c r="E132" s="125"/>
      <c r="F132" s="125"/>
      <c r="G132" s="125"/>
      <c r="H132" s="125"/>
      <c r="I132" s="125"/>
      <c r="J132" s="125"/>
      <c r="K132" s="125"/>
      <c r="L132" s="125"/>
      <c r="M132" s="125"/>
      <c r="N132" s="125"/>
      <c r="O132" s="125"/>
      <c r="P132" s="125"/>
      <c r="Q132" s="125"/>
      <c r="R132" s="125"/>
      <c r="S132" s="125"/>
      <c r="T132" s="125"/>
      <c r="U132" s="125"/>
      <c r="V132" s="125"/>
      <c r="W132" s="125"/>
      <c r="X132" s="125"/>
      <c r="Y132" s="125"/>
      <c r="Z132" s="125"/>
      <c r="AA132" s="125"/>
      <c r="AB132" s="125"/>
      <c r="AC132" s="125"/>
      <c r="AD132" s="125"/>
      <c r="AE132" s="125"/>
    </row>
    <row r="133">
      <c r="A133" s="125"/>
      <c r="B133" s="125"/>
      <c r="C133" s="125"/>
      <c r="D133" s="223"/>
      <c r="E133" s="125"/>
      <c r="F133" s="125"/>
      <c r="G133" s="125"/>
      <c r="H133" s="125"/>
      <c r="I133" s="125"/>
      <c r="J133" s="125"/>
      <c r="K133" s="125"/>
      <c r="L133" s="125"/>
      <c r="M133" s="125"/>
      <c r="N133" s="125"/>
      <c r="O133" s="125"/>
      <c r="P133" s="125"/>
      <c r="Q133" s="125"/>
      <c r="R133" s="125"/>
      <c r="S133" s="125"/>
      <c r="T133" s="125"/>
      <c r="U133" s="125"/>
      <c r="V133" s="125"/>
      <c r="W133" s="125"/>
      <c r="X133" s="125"/>
      <c r="Y133" s="125"/>
      <c r="Z133" s="125"/>
      <c r="AA133" s="125"/>
      <c r="AB133" s="125"/>
      <c r="AC133" s="125"/>
      <c r="AD133" s="125"/>
      <c r="AE133" s="125"/>
    </row>
    <row r="134">
      <c r="A134" s="125"/>
      <c r="B134" s="125"/>
      <c r="C134" s="125"/>
      <c r="D134" s="223"/>
      <c r="E134" s="125"/>
      <c r="F134" s="125"/>
      <c r="G134" s="125"/>
      <c r="H134" s="125"/>
      <c r="I134" s="125"/>
      <c r="J134" s="125"/>
      <c r="K134" s="125"/>
      <c r="L134" s="125"/>
      <c r="M134" s="125"/>
      <c r="N134" s="125"/>
      <c r="O134" s="125"/>
      <c r="P134" s="125"/>
      <c r="Q134" s="125"/>
      <c r="R134" s="125"/>
      <c r="S134" s="125"/>
      <c r="T134" s="125"/>
      <c r="U134" s="125"/>
      <c r="V134" s="125"/>
      <c r="W134" s="125"/>
      <c r="X134" s="125"/>
      <c r="Y134" s="125"/>
      <c r="Z134" s="125"/>
      <c r="AA134" s="125"/>
      <c r="AB134" s="125"/>
      <c r="AC134" s="125"/>
      <c r="AD134" s="125"/>
      <c r="AE134" s="125"/>
    </row>
    <row r="135">
      <c r="A135" s="125"/>
      <c r="B135" s="125"/>
      <c r="C135" s="125"/>
      <c r="D135" s="223"/>
      <c r="E135" s="125"/>
      <c r="F135" s="125"/>
      <c r="G135" s="125"/>
      <c r="H135" s="125"/>
      <c r="I135" s="125"/>
      <c r="J135" s="125"/>
      <c r="K135" s="125"/>
      <c r="L135" s="125"/>
      <c r="M135" s="125"/>
      <c r="N135" s="125"/>
      <c r="O135" s="125"/>
      <c r="P135" s="125"/>
      <c r="Q135" s="125"/>
      <c r="R135" s="125"/>
      <c r="S135" s="125"/>
      <c r="T135" s="125"/>
      <c r="U135" s="125"/>
      <c r="V135" s="125"/>
      <c r="W135" s="125"/>
      <c r="X135" s="125"/>
      <c r="Y135" s="125"/>
      <c r="Z135" s="125"/>
      <c r="AA135" s="125"/>
      <c r="AB135" s="125"/>
      <c r="AC135" s="125"/>
      <c r="AD135" s="125"/>
      <c r="AE135" s="125"/>
    </row>
    <row r="136">
      <c r="A136" s="125"/>
      <c r="B136" s="125"/>
      <c r="C136" s="125"/>
      <c r="D136" s="223"/>
      <c r="E136" s="125"/>
      <c r="F136" s="125"/>
      <c r="G136" s="125"/>
      <c r="H136" s="125"/>
      <c r="I136" s="125"/>
      <c r="J136" s="125"/>
      <c r="K136" s="125"/>
      <c r="L136" s="125"/>
      <c r="M136" s="125"/>
      <c r="N136" s="125"/>
      <c r="O136" s="125"/>
      <c r="P136" s="125"/>
      <c r="Q136" s="125"/>
      <c r="R136" s="125"/>
      <c r="S136" s="125"/>
      <c r="T136" s="125"/>
      <c r="U136" s="125"/>
      <c r="V136" s="125"/>
      <c r="W136" s="125"/>
      <c r="X136" s="125"/>
      <c r="Y136" s="125"/>
      <c r="Z136" s="125"/>
      <c r="AA136" s="125"/>
      <c r="AB136" s="125"/>
      <c r="AC136" s="125"/>
      <c r="AD136" s="125"/>
      <c r="AE136" s="125"/>
    </row>
    <row r="137">
      <c r="A137" s="125"/>
      <c r="B137" s="125"/>
      <c r="C137" s="125"/>
      <c r="D137" s="223"/>
      <c r="E137" s="125"/>
      <c r="F137" s="125"/>
      <c r="G137" s="125"/>
      <c r="H137" s="125"/>
      <c r="I137" s="125"/>
      <c r="J137" s="125"/>
      <c r="K137" s="125"/>
      <c r="L137" s="125"/>
      <c r="M137" s="125"/>
      <c r="N137" s="125"/>
      <c r="O137" s="125"/>
      <c r="P137" s="125"/>
      <c r="Q137" s="125"/>
      <c r="R137" s="125"/>
      <c r="S137" s="125"/>
      <c r="T137" s="125"/>
      <c r="U137" s="125"/>
      <c r="V137" s="125"/>
      <c r="W137" s="125"/>
      <c r="X137" s="125"/>
      <c r="Y137" s="125"/>
      <c r="Z137" s="125"/>
      <c r="AA137" s="125"/>
      <c r="AB137" s="125"/>
      <c r="AC137" s="125"/>
      <c r="AD137" s="125"/>
      <c r="AE137" s="125"/>
    </row>
    <row r="138">
      <c r="A138" s="125"/>
      <c r="B138" s="125"/>
      <c r="C138" s="125"/>
      <c r="D138" s="223"/>
      <c r="E138" s="125"/>
      <c r="F138" s="125"/>
      <c r="G138" s="125"/>
      <c r="H138" s="125"/>
      <c r="I138" s="125"/>
      <c r="J138" s="125"/>
      <c r="K138" s="125"/>
      <c r="L138" s="125"/>
      <c r="M138" s="125"/>
      <c r="N138" s="125"/>
      <c r="O138" s="125"/>
      <c r="P138" s="125"/>
      <c r="Q138" s="125"/>
      <c r="R138" s="125"/>
      <c r="S138" s="125"/>
      <c r="T138" s="125"/>
      <c r="U138" s="125"/>
      <c r="V138" s="125"/>
      <c r="W138" s="125"/>
      <c r="X138" s="125"/>
      <c r="Y138" s="125"/>
      <c r="Z138" s="125"/>
      <c r="AA138" s="125"/>
      <c r="AB138" s="125"/>
      <c r="AC138" s="125"/>
      <c r="AD138" s="125"/>
      <c r="AE138" s="125"/>
    </row>
    <row r="139">
      <c r="A139" s="125"/>
      <c r="B139" s="125"/>
      <c r="C139" s="125"/>
      <c r="D139" s="223"/>
      <c r="E139" s="125"/>
      <c r="F139" s="125"/>
      <c r="G139" s="125"/>
      <c r="H139" s="125"/>
      <c r="I139" s="125"/>
      <c r="J139" s="125"/>
      <c r="K139" s="125"/>
      <c r="L139" s="125"/>
      <c r="M139" s="125"/>
      <c r="N139" s="125"/>
      <c r="O139" s="125"/>
      <c r="P139" s="125"/>
      <c r="Q139" s="125"/>
      <c r="R139" s="125"/>
      <c r="S139" s="125"/>
      <c r="T139" s="125"/>
      <c r="U139" s="125"/>
      <c r="V139" s="125"/>
      <c r="W139" s="125"/>
      <c r="X139" s="125"/>
      <c r="Y139" s="125"/>
      <c r="Z139" s="125"/>
      <c r="AA139" s="125"/>
      <c r="AB139" s="125"/>
      <c r="AC139" s="125"/>
      <c r="AD139" s="125"/>
      <c r="AE139" s="125"/>
    </row>
    <row r="140">
      <c r="A140" s="125"/>
      <c r="B140" s="125"/>
      <c r="C140" s="125"/>
      <c r="D140" s="223"/>
      <c r="E140" s="125"/>
      <c r="F140" s="125"/>
      <c r="G140" s="125"/>
      <c r="H140" s="125"/>
      <c r="I140" s="125"/>
      <c r="J140" s="125"/>
      <c r="K140" s="125"/>
      <c r="L140" s="125"/>
      <c r="M140" s="125"/>
      <c r="N140" s="125"/>
      <c r="O140" s="125"/>
      <c r="P140" s="125"/>
      <c r="Q140" s="125"/>
      <c r="R140" s="125"/>
      <c r="S140" s="125"/>
      <c r="T140" s="125"/>
      <c r="U140" s="125"/>
      <c r="V140" s="125"/>
      <c r="W140" s="125"/>
      <c r="X140" s="125"/>
      <c r="Y140" s="125"/>
      <c r="Z140" s="125"/>
      <c r="AA140" s="125"/>
      <c r="AB140" s="125"/>
      <c r="AC140" s="125"/>
      <c r="AD140" s="125"/>
      <c r="AE140" s="125"/>
    </row>
    <row r="141">
      <c r="A141" s="125"/>
      <c r="B141" s="125"/>
      <c r="C141" s="125"/>
      <c r="D141" s="223"/>
      <c r="E141" s="125"/>
      <c r="F141" s="125"/>
      <c r="G141" s="125"/>
      <c r="H141" s="125"/>
      <c r="I141" s="125"/>
      <c r="J141" s="125"/>
      <c r="K141" s="125"/>
      <c r="L141" s="125"/>
      <c r="M141" s="125"/>
      <c r="N141" s="125"/>
      <c r="O141" s="125"/>
      <c r="P141" s="125"/>
      <c r="Q141" s="125"/>
      <c r="R141" s="125"/>
      <c r="S141" s="125"/>
      <c r="T141" s="125"/>
      <c r="U141" s="125"/>
      <c r="V141" s="125"/>
      <c r="W141" s="125"/>
      <c r="X141" s="125"/>
      <c r="Y141" s="125"/>
      <c r="Z141" s="125"/>
      <c r="AA141" s="125"/>
      <c r="AB141" s="125"/>
      <c r="AC141" s="125"/>
      <c r="AD141" s="125"/>
      <c r="AE141" s="125"/>
    </row>
    <row r="142">
      <c r="A142" s="125"/>
      <c r="B142" s="125"/>
      <c r="C142" s="125"/>
      <c r="D142" s="223"/>
      <c r="E142" s="125"/>
      <c r="F142" s="125"/>
      <c r="G142" s="125"/>
      <c r="H142" s="125"/>
      <c r="I142" s="125"/>
      <c r="J142" s="125"/>
      <c r="K142" s="125"/>
      <c r="L142" s="125"/>
      <c r="M142" s="125"/>
      <c r="N142" s="125"/>
      <c r="O142" s="125"/>
      <c r="P142" s="125"/>
      <c r="Q142" s="125"/>
      <c r="R142" s="125"/>
      <c r="S142" s="125"/>
      <c r="T142" s="125"/>
      <c r="U142" s="125"/>
      <c r="V142" s="125"/>
      <c r="W142" s="125"/>
      <c r="X142" s="125"/>
      <c r="Y142" s="125"/>
      <c r="Z142" s="125"/>
      <c r="AA142" s="125"/>
      <c r="AB142" s="125"/>
      <c r="AC142" s="125"/>
      <c r="AD142" s="125"/>
      <c r="AE142" s="125"/>
    </row>
    <row r="143">
      <c r="A143" s="125"/>
      <c r="B143" s="125"/>
      <c r="C143" s="125"/>
      <c r="D143" s="223"/>
      <c r="E143" s="125"/>
      <c r="F143" s="125"/>
      <c r="G143" s="125"/>
      <c r="H143" s="125"/>
      <c r="I143" s="125"/>
      <c r="J143" s="125"/>
      <c r="K143" s="125"/>
      <c r="L143" s="125"/>
      <c r="M143" s="125"/>
      <c r="N143" s="125"/>
      <c r="O143" s="125"/>
      <c r="P143" s="125"/>
      <c r="Q143" s="125"/>
      <c r="R143" s="125"/>
      <c r="S143" s="125"/>
      <c r="T143" s="125"/>
      <c r="U143" s="125"/>
      <c r="V143" s="125"/>
      <c r="W143" s="125"/>
      <c r="X143" s="125"/>
      <c r="Y143" s="125"/>
      <c r="Z143" s="125"/>
      <c r="AA143" s="125"/>
      <c r="AB143" s="125"/>
      <c r="AC143" s="125"/>
      <c r="AD143" s="125"/>
      <c r="AE143" s="125"/>
    </row>
    <row r="144">
      <c r="A144" s="125"/>
      <c r="B144" s="125"/>
      <c r="C144" s="125"/>
      <c r="D144" s="223"/>
      <c r="E144" s="125"/>
      <c r="F144" s="125"/>
      <c r="G144" s="125"/>
      <c r="H144" s="125"/>
      <c r="I144" s="125"/>
      <c r="J144" s="125"/>
      <c r="K144" s="125"/>
      <c r="L144" s="125"/>
      <c r="M144" s="125"/>
      <c r="N144" s="125"/>
      <c r="O144" s="125"/>
      <c r="P144" s="125"/>
      <c r="Q144" s="125"/>
      <c r="R144" s="125"/>
      <c r="S144" s="125"/>
      <c r="T144" s="125"/>
      <c r="U144" s="125"/>
      <c r="V144" s="125"/>
      <c r="W144" s="125"/>
      <c r="X144" s="125"/>
      <c r="Y144" s="125"/>
      <c r="Z144" s="125"/>
      <c r="AA144" s="125"/>
      <c r="AB144" s="125"/>
      <c r="AC144" s="125"/>
      <c r="AD144" s="125"/>
      <c r="AE144" s="125"/>
    </row>
    <row r="145">
      <c r="A145" s="125"/>
      <c r="B145" s="125"/>
      <c r="C145" s="125"/>
      <c r="D145" s="223"/>
      <c r="E145" s="125"/>
      <c r="F145" s="125"/>
      <c r="G145" s="125"/>
      <c r="H145" s="125"/>
      <c r="I145" s="125"/>
      <c r="J145" s="125"/>
      <c r="K145" s="125"/>
      <c r="L145" s="125"/>
      <c r="M145" s="125"/>
      <c r="N145" s="125"/>
      <c r="O145" s="125"/>
      <c r="P145" s="125"/>
      <c r="Q145" s="125"/>
      <c r="R145" s="125"/>
      <c r="S145" s="125"/>
      <c r="T145" s="125"/>
      <c r="U145" s="125"/>
      <c r="V145" s="125"/>
      <c r="W145" s="125"/>
      <c r="X145" s="125"/>
      <c r="Y145" s="125"/>
      <c r="Z145" s="125"/>
      <c r="AA145" s="125"/>
      <c r="AB145" s="125"/>
      <c r="AC145" s="125"/>
      <c r="AD145" s="125"/>
      <c r="AE145" s="125"/>
    </row>
    <row r="146">
      <c r="A146" s="125"/>
      <c r="B146" s="125"/>
      <c r="C146" s="125"/>
      <c r="D146" s="223"/>
      <c r="E146" s="125"/>
      <c r="F146" s="125"/>
      <c r="G146" s="125"/>
      <c r="H146" s="125"/>
      <c r="I146" s="125"/>
      <c r="J146" s="125"/>
      <c r="K146" s="125"/>
      <c r="L146" s="125"/>
      <c r="M146" s="125"/>
      <c r="N146" s="125"/>
      <c r="O146" s="125"/>
      <c r="P146" s="125"/>
      <c r="Q146" s="125"/>
      <c r="R146" s="125"/>
      <c r="S146" s="125"/>
      <c r="T146" s="125"/>
      <c r="U146" s="125"/>
      <c r="V146" s="125"/>
      <c r="W146" s="125"/>
      <c r="X146" s="125"/>
      <c r="Y146" s="125"/>
      <c r="Z146" s="125"/>
      <c r="AA146" s="125"/>
      <c r="AB146" s="125"/>
      <c r="AC146" s="125"/>
      <c r="AD146" s="125"/>
      <c r="AE146" s="125"/>
    </row>
    <row r="147">
      <c r="A147" s="125"/>
      <c r="B147" s="125"/>
      <c r="C147" s="125"/>
      <c r="D147" s="223"/>
      <c r="E147" s="125"/>
      <c r="F147" s="125"/>
      <c r="G147" s="125"/>
      <c r="H147" s="125"/>
      <c r="I147" s="125"/>
      <c r="J147" s="125"/>
      <c r="K147" s="125"/>
      <c r="L147" s="125"/>
      <c r="M147" s="125"/>
      <c r="N147" s="125"/>
      <c r="O147" s="125"/>
      <c r="P147" s="125"/>
      <c r="Q147" s="125"/>
      <c r="R147" s="125"/>
      <c r="S147" s="125"/>
      <c r="T147" s="125"/>
      <c r="U147" s="125"/>
      <c r="V147" s="125"/>
      <c r="W147" s="125"/>
      <c r="X147" s="125"/>
      <c r="Y147" s="125"/>
      <c r="Z147" s="125"/>
      <c r="AA147" s="125"/>
      <c r="AB147" s="125"/>
      <c r="AC147" s="125"/>
      <c r="AD147" s="125"/>
      <c r="AE147" s="125"/>
    </row>
    <row r="148">
      <c r="A148" s="125"/>
      <c r="B148" s="125"/>
      <c r="C148" s="125"/>
      <c r="D148" s="223"/>
      <c r="E148" s="125"/>
      <c r="F148" s="125"/>
      <c r="G148" s="125"/>
      <c r="H148" s="125"/>
      <c r="I148" s="125"/>
      <c r="J148" s="125"/>
      <c r="K148" s="125"/>
      <c r="L148" s="125"/>
      <c r="M148" s="125"/>
      <c r="N148" s="125"/>
      <c r="O148" s="125"/>
      <c r="P148" s="125"/>
      <c r="Q148" s="125"/>
      <c r="R148" s="125"/>
      <c r="S148" s="125"/>
      <c r="T148" s="125"/>
      <c r="U148" s="125"/>
      <c r="V148" s="125"/>
      <c r="W148" s="125"/>
      <c r="X148" s="125"/>
      <c r="Y148" s="125"/>
      <c r="Z148" s="125"/>
      <c r="AA148" s="125"/>
      <c r="AB148" s="125"/>
      <c r="AC148" s="125"/>
      <c r="AD148" s="125"/>
      <c r="AE148" s="125"/>
    </row>
    <row r="149">
      <c r="A149" s="125"/>
      <c r="B149" s="125"/>
      <c r="C149" s="125"/>
      <c r="D149" s="223"/>
      <c r="E149" s="125"/>
      <c r="F149" s="125"/>
      <c r="G149" s="125"/>
      <c r="H149" s="125"/>
      <c r="I149" s="125"/>
      <c r="J149" s="125"/>
      <c r="K149" s="125"/>
      <c r="L149" s="125"/>
      <c r="M149" s="125"/>
      <c r="N149" s="125"/>
      <c r="O149" s="125"/>
      <c r="P149" s="125"/>
      <c r="Q149" s="125"/>
      <c r="R149" s="125"/>
      <c r="S149" s="125"/>
      <c r="T149" s="125"/>
      <c r="U149" s="125"/>
      <c r="V149" s="125"/>
      <c r="W149" s="125"/>
      <c r="X149" s="125"/>
      <c r="Y149" s="125"/>
      <c r="Z149" s="125"/>
      <c r="AA149" s="125"/>
      <c r="AB149" s="125"/>
      <c r="AC149" s="125"/>
      <c r="AD149" s="125"/>
      <c r="AE149" s="125"/>
    </row>
    <row r="150">
      <c r="A150" s="125"/>
      <c r="B150" s="125"/>
      <c r="C150" s="125"/>
      <c r="D150" s="223"/>
      <c r="E150" s="125"/>
      <c r="F150" s="125"/>
      <c r="G150" s="125"/>
      <c r="H150" s="125"/>
      <c r="I150" s="125"/>
      <c r="J150" s="125"/>
      <c r="K150" s="125"/>
      <c r="L150" s="125"/>
      <c r="M150" s="125"/>
      <c r="N150" s="125"/>
      <c r="O150" s="125"/>
      <c r="P150" s="125"/>
      <c r="Q150" s="125"/>
      <c r="R150" s="125"/>
      <c r="S150" s="125"/>
      <c r="T150" s="125"/>
      <c r="U150" s="125"/>
      <c r="V150" s="125"/>
      <c r="W150" s="125"/>
      <c r="X150" s="125"/>
      <c r="Y150" s="125"/>
      <c r="Z150" s="125"/>
      <c r="AA150" s="125"/>
      <c r="AB150" s="125"/>
      <c r="AC150" s="125"/>
      <c r="AD150" s="125"/>
      <c r="AE150" s="125"/>
    </row>
    <row r="151">
      <c r="A151" s="125"/>
      <c r="B151" s="125"/>
      <c r="C151" s="125"/>
      <c r="D151" s="223"/>
      <c r="E151" s="125"/>
      <c r="F151" s="125"/>
      <c r="G151" s="125"/>
      <c r="H151" s="125"/>
      <c r="I151" s="125"/>
      <c r="J151" s="125"/>
      <c r="K151" s="125"/>
      <c r="L151" s="125"/>
      <c r="M151" s="125"/>
      <c r="N151" s="125"/>
      <c r="O151" s="125"/>
      <c r="P151" s="125"/>
      <c r="Q151" s="125"/>
      <c r="R151" s="125"/>
      <c r="S151" s="125"/>
      <c r="T151" s="125"/>
      <c r="U151" s="125"/>
      <c r="V151" s="125"/>
      <c r="W151" s="125"/>
      <c r="X151" s="125"/>
      <c r="Y151" s="125"/>
      <c r="Z151" s="125"/>
      <c r="AA151" s="125"/>
      <c r="AB151" s="125"/>
      <c r="AC151" s="125"/>
      <c r="AD151" s="125"/>
      <c r="AE151" s="125"/>
    </row>
    <row r="152">
      <c r="A152" s="125"/>
      <c r="B152" s="125"/>
      <c r="C152" s="125"/>
      <c r="D152" s="223"/>
      <c r="E152" s="125"/>
      <c r="F152" s="125"/>
      <c r="G152" s="125"/>
      <c r="H152" s="125"/>
      <c r="I152" s="125"/>
      <c r="J152" s="125"/>
      <c r="K152" s="125"/>
      <c r="L152" s="125"/>
      <c r="M152" s="125"/>
      <c r="N152" s="125"/>
      <c r="O152" s="125"/>
      <c r="P152" s="125"/>
      <c r="Q152" s="125"/>
      <c r="R152" s="125"/>
      <c r="S152" s="125"/>
      <c r="T152" s="125"/>
      <c r="U152" s="125"/>
      <c r="V152" s="125"/>
      <c r="W152" s="125"/>
      <c r="X152" s="125"/>
      <c r="Y152" s="125"/>
      <c r="Z152" s="125"/>
      <c r="AA152" s="125"/>
      <c r="AB152" s="125"/>
      <c r="AC152" s="125"/>
      <c r="AD152" s="125"/>
      <c r="AE152" s="125"/>
    </row>
    <row r="153">
      <c r="A153" s="125"/>
      <c r="B153" s="125"/>
      <c r="C153" s="125"/>
      <c r="D153" s="223"/>
      <c r="E153" s="125"/>
      <c r="F153" s="125"/>
      <c r="G153" s="125"/>
      <c r="H153" s="125"/>
      <c r="I153" s="125"/>
      <c r="J153" s="125"/>
      <c r="K153" s="125"/>
      <c r="L153" s="125"/>
      <c r="M153" s="125"/>
      <c r="N153" s="125"/>
      <c r="O153" s="125"/>
      <c r="P153" s="125"/>
      <c r="Q153" s="125"/>
      <c r="R153" s="125"/>
      <c r="S153" s="125"/>
      <c r="T153" s="125"/>
      <c r="U153" s="125"/>
      <c r="V153" s="125"/>
      <c r="W153" s="125"/>
      <c r="X153" s="125"/>
      <c r="Y153" s="125"/>
      <c r="Z153" s="125"/>
      <c r="AA153" s="125"/>
      <c r="AB153" s="125"/>
      <c r="AC153" s="125"/>
      <c r="AD153" s="125"/>
      <c r="AE153" s="125"/>
    </row>
    <row r="154">
      <c r="A154" s="125"/>
      <c r="B154" s="125"/>
      <c r="C154" s="125"/>
      <c r="D154" s="223"/>
      <c r="E154" s="125"/>
      <c r="F154" s="125"/>
      <c r="G154" s="125"/>
      <c r="H154" s="125"/>
      <c r="I154" s="125"/>
      <c r="J154" s="125"/>
      <c r="K154" s="125"/>
      <c r="L154" s="125"/>
      <c r="M154" s="125"/>
      <c r="N154" s="125"/>
      <c r="O154" s="125"/>
      <c r="P154" s="125"/>
      <c r="Q154" s="125"/>
      <c r="R154" s="125"/>
      <c r="S154" s="125"/>
      <c r="T154" s="125"/>
      <c r="U154" s="125"/>
      <c r="V154" s="125"/>
      <c r="W154" s="125"/>
      <c r="X154" s="125"/>
      <c r="Y154" s="125"/>
      <c r="Z154" s="125"/>
      <c r="AA154" s="125"/>
      <c r="AB154" s="125"/>
      <c r="AC154" s="125"/>
      <c r="AD154" s="125"/>
      <c r="AE154" s="125"/>
    </row>
    <row r="155">
      <c r="A155" s="125"/>
      <c r="B155" s="125"/>
      <c r="C155" s="125"/>
      <c r="D155" s="223"/>
      <c r="E155" s="125"/>
      <c r="F155" s="125"/>
      <c r="G155" s="125"/>
      <c r="H155" s="125"/>
      <c r="I155" s="125"/>
      <c r="J155" s="125"/>
      <c r="K155" s="125"/>
      <c r="L155" s="125"/>
      <c r="M155" s="125"/>
      <c r="N155" s="125"/>
      <c r="O155" s="125"/>
      <c r="P155" s="125"/>
      <c r="Q155" s="125"/>
      <c r="R155" s="125"/>
      <c r="S155" s="125"/>
      <c r="T155" s="125"/>
      <c r="U155" s="125"/>
      <c r="V155" s="125"/>
      <c r="W155" s="125"/>
      <c r="X155" s="125"/>
      <c r="Y155" s="125"/>
      <c r="Z155" s="125"/>
      <c r="AA155" s="125"/>
      <c r="AB155" s="125"/>
      <c r="AC155" s="125"/>
      <c r="AD155" s="125"/>
      <c r="AE155" s="125"/>
    </row>
    <row r="156">
      <c r="A156" s="125"/>
      <c r="B156" s="125"/>
      <c r="C156" s="125"/>
      <c r="D156" s="223"/>
      <c r="E156" s="125"/>
      <c r="F156" s="125"/>
      <c r="G156" s="125"/>
      <c r="H156" s="125"/>
      <c r="I156" s="125"/>
      <c r="J156" s="125"/>
      <c r="K156" s="125"/>
      <c r="L156" s="125"/>
      <c r="M156" s="125"/>
      <c r="N156" s="125"/>
      <c r="O156" s="125"/>
      <c r="P156" s="125"/>
      <c r="Q156" s="125"/>
      <c r="R156" s="125"/>
      <c r="S156" s="125"/>
      <c r="T156" s="125"/>
      <c r="U156" s="125"/>
      <c r="V156" s="125"/>
      <c r="W156" s="125"/>
      <c r="X156" s="125"/>
      <c r="Y156" s="125"/>
      <c r="Z156" s="125"/>
      <c r="AA156" s="125"/>
      <c r="AB156" s="125"/>
      <c r="AC156" s="125"/>
      <c r="AD156" s="125"/>
      <c r="AE156" s="125"/>
    </row>
    <row r="157">
      <c r="A157" s="125"/>
      <c r="B157" s="125"/>
      <c r="C157" s="125"/>
      <c r="D157" s="223"/>
      <c r="E157" s="125"/>
      <c r="F157" s="125"/>
      <c r="G157" s="125"/>
      <c r="H157" s="125"/>
      <c r="I157" s="125"/>
      <c r="J157" s="125"/>
      <c r="K157" s="125"/>
      <c r="L157" s="125"/>
      <c r="M157" s="125"/>
      <c r="N157" s="125"/>
      <c r="O157" s="125"/>
      <c r="P157" s="125"/>
      <c r="Q157" s="125"/>
      <c r="R157" s="125"/>
      <c r="S157" s="125"/>
      <c r="T157" s="125"/>
      <c r="U157" s="125"/>
      <c r="V157" s="125"/>
      <c r="W157" s="125"/>
      <c r="X157" s="125"/>
      <c r="Y157" s="125"/>
      <c r="Z157" s="125"/>
      <c r="AA157" s="125"/>
      <c r="AB157" s="125"/>
      <c r="AC157" s="125"/>
      <c r="AD157" s="125"/>
      <c r="AE157" s="125"/>
    </row>
    <row r="158">
      <c r="A158" s="125"/>
      <c r="B158" s="125"/>
      <c r="C158" s="125"/>
      <c r="D158" s="223"/>
      <c r="E158" s="125"/>
      <c r="F158" s="125"/>
      <c r="G158" s="125"/>
      <c r="H158" s="125"/>
      <c r="I158" s="125"/>
      <c r="J158" s="125"/>
      <c r="K158" s="125"/>
      <c r="L158" s="125"/>
      <c r="M158" s="125"/>
      <c r="N158" s="125"/>
      <c r="O158" s="125"/>
      <c r="P158" s="125"/>
      <c r="Q158" s="125"/>
      <c r="R158" s="125"/>
      <c r="S158" s="125"/>
      <c r="T158" s="125"/>
      <c r="U158" s="125"/>
      <c r="V158" s="125"/>
      <c r="W158" s="125"/>
      <c r="X158" s="125"/>
      <c r="Y158" s="125"/>
      <c r="Z158" s="125"/>
      <c r="AA158" s="125"/>
      <c r="AB158" s="125"/>
      <c r="AC158" s="125"/>
      <c r="AD158" s="125"/>
      <c r="AE158" s="125"/>
    </row>
    <row r="159">
      <c r="A159" s="125"/>
      <c r="B159" s="125"/>
      <c r="C159" s="125"/>
      <c r="D159" s="223"/>
      <c r="E159" s="125"/>
      <c r="F159" s="125"/>
      <c r="G159" s="125"/>
      <c r="H159" s="125"/>
      <c r="I159" s="125"/>
      <c r="J159" s="125"/>
      <c r="K159" s="125"/>
      <c r="L159" s="125"/>
      <c r="M159" s="125"/>
      <c r="N159" s="125"/>
      <c r="O159" s="125"/>
      <c r="P159" s="125"/>
      <c r="Q159" s="125"/>
      <c r="R159" s="125"/>
      <c r="S159" s="125"/>
      <c r="T159" s="125"/>
      <c r="U159" s="125"/>
      <c r="V159" s="125"/>
      <c r="W159" s="125"/>
      <c r="X159" s="125"/>
      <c r="Y159" s="125"/>
      <c r="Z159" s="125"/>
      <c r="AA159" s="125"/>
      <c r="AB159" s="125"/>
      <c r="AC159" s="125"/>
      <c r="AD159" s="125"/>
      <c r="AE159" s="125"/>
    </row>
    <row r="160">
      <c r="A160" s="125"/>
      <c r="B160" s="125"/>
      <c r="C160" s="125"/>
      <c r="D160" s="223"/>
      <c r="E160" s="125"/>
      <c r="F160" s="125"/>
      <c r="G160" s="125"/>
      <c r="H160" s="125"/>
      <c r="I160" s="125"/>
      <c r="J160" s="125"/>
      <c r="K160" s="125"/>
      <c r="L160" s="125"/>
      <c r="M160" s="125"/>
      <c r="N160" s="125"/>
      <c r="O160" s="125"/>
      <c r="P160" s="125"/>
      <c r="Q160" s="125"/>
      <c r="R160" s="125"/>
      <c r="S160" s="125"/>
      <c r="T160" s="125"/>
      <c r="U160" s="125"/>
      <c r="V160" s="125"/>
      <c r="W160" s="125"/>
      <c r="X160" s="125"/>
      <c r="Y160" s="125"/>
      <c r="Z160" s="125"/>
      <c r="AA160" s="125"/>
      <c r="AB160" s="125"/>
      <c r="AC160" s="125"/>
      <c r="AD160" s="125"/>
      <c r="AE160" s="125"/>
    </row>
    <row r="161">
      <c r="A161" s="125"/>
      <c r="B161" s="125"/>
      <c r="C161" s="125"/>
      <c r="D161" s="223"/>
      <c r="E161" s="125"/>
      <c r="F161" s="125"/>
      <c r="G161" s="125"/>
      <c r="H161" s="125"/>
      <c r="I161" s="125"/>
      <c r="J161" s="125"/>
      <c r="K161" s="125"/>
      <c r="L161" s="125"/>
      <c r="M161" s="125"/>
      <c r="N161" s="125"/>
      <c r="O161" s="125"/>
      <c r="P161" s="125"/>
      <c r="Q161" s="125"/>
      <c r="R161" s="125"/>
      <c r="S161" s="125"/>
      <c r="T161" s="125"/>
      <c r="U161" s="125"/>
      <c r="V161" s="125"/>
      <c r="W161" s="125"/>
      <c r="X161" s="125"/>
      <c r="Y161" s="125"/>
      <c r="Z161" s="125"/>
      <c r="AA161" s="125"/>
      <c r="AB161" s="125"/>
      <c r="AC161" s="125"/>
      <c r="AD161" s="125"/>
      <c r="AE161" s="125"/>
    </row>
    <row r="162">
      <c r="A162" s="125"/>
      <c r="B162" s="125"/>
      <c r="C162" s="125"/>
      <c r="D162" s="223"/>
      <c r="E162" s="125"/>
      <c r="F162" s="125"/>
      <c r="G162" s="125"/>
      <c r="H162" s="125"/>
      <c r="I162" s="125"/>
      <c r="J162" s="125"/>
      <c r="K162" s="125"/>
      <c r="L162" s="125"/>
      <c r="M162" s="125"/>
      <c r="N162" s="125"/>
      <c r="O162" s="125"/>
      <c r="P162" s="125"/>
      <c r="Q162" s="125"/>
      <c r="R162" s="125"/>
      <c r="S162" s="125"/>
      <c r="T162" s="125"/>
      <c r="U162" s="125"/>
      <c r="V162" s="125"/>
      <c r="W162" s="125"/>
      <c r="X162" s="125"/>
      <c r="Y162" s="125"/>
      <c r="Z162" s="125"/>
      <c r="AA162" s="125"/>
      <c r="AB162" s="125"/>
      <c r="AC162" s="125"/>
      <c r="AD162" s="125"/>
      <c r="AE162" s="125"/>
    </row>
    <row r="163">
      <c r="A163" s="125"/>
      <c r="B163" s="125"/>
      <c r="C163" s="125"/>
      <c r="D163" s="223"/>
      <c r="E163" s="125"/>
      <c r="F163" s="125"/>
      <c r="G163" s="125"/>
      <c r="H163" s="125"/>
      <c r="I163" s="125"/>
      <c r="J163" s="125"/>
      <c r="K163" s="125"/>
      <c r="L163" s="125"/>
      <c r="M163" s="125"/>
      <c r="N163" s="125"/>
      <c r="O163" s="125"/>
      <c r="P163" s="125"/>
      <c r="Q163" s="125"/>
      <c r="R163" s="125"/>
      <c r="S163" s="125"/>
      <c r="T163" s="125"/>
      <c r="U163" s="125"/>
      <c r="V163" s="125"/>
      <c r="W163" s="125"/>
      <c r="X163" s="125"/>
      <c r="Y163" s="125"/>
      <c r="Z163" s="125"/>
      <c r="AA163" s="125"/>
      <c r="AB163" s="125"/>
      <c r="AC163" s="125"/>
      <c r="AD163" s="125"/>
      <c r="AE163" s="125"/>
    </row>
    <row r="164">
      <c r="A164" s="125"/>
      <c r="B164" s="125"/>
      <c r="C164" s="125"/>
      <c r="D164" s="223"/>
      <c r="E164" s="125"/>
      <c r="F164" s="125"/>
      <c r="G164" s="125"/>
      <c r="H164" s="125"/>
      <c r="I164" s="125"/>
      <c r="J164" s="125"/>
      <c r="K164" s="125"/>
      <c r="L164" s="125"/>
      <c r="M164" s="125"/>
      <c r="N164" s="125"/>
      <c r="O164" s="125"/>
      <c r="P164" s="125"/>
      <c r="Q164" s="125"/>
      <c r="R164" s="125"/>
      <c r="S164" s="125"/>
      <c r="T164" s="125"/>
      <c r="U164" s="125"/>
      <c r="V164" s="125"/>
      <c r="W164" s="125"/>
      <c r="X164" s="125"/>
      <c r="Y164" s="125"/>
      <c r="Z164" s="125"/>
      <c r="AA164" s="125"/>
      <c r="AB164" s="125"/>
      <c r="AC164" s="125"/>
      <c r="AD164" s="125"/>
      <c r="AE164" s="125"/>
    </row>
    <row r="165">
      <c r="A165" s="125"/>
      <c r="B165" s="125"/>
      <c r="C165" s="125"/>
      <c r="D165" s="223"/>
      <c r="E165" s="125"/>
      <c r="F165" s="125"/>
      <c r="G165" s="125"/>
      <c r="H165" s="125"/>
      <c r="I165" s="125"/>
      <c r="J165" s="125"/>
      <c r="K165" s="125"/>
      <c r="L165" s="125"/>
      <c r="M165" s="125"/>
      <c r="N165" s="125"/>
      <c r="O165" s="125"/>
      <c r="P165" s="125"/>
      <c r="Q165" s="125"/>
      <c r="R165" s="125"/>
      <c r="S165" s="125"/>
      <c r="T165" s="125"/>
      <c r="U165" s="125"/>
      <c r="V165" s="125"/>
      <c r="W165" s="125"/>
      <c r="X165" s="125"/>
      <c r="Y165" s="125"/>
      <c r="Z165" s="125"/>
      <c r="AA165" s="125"/>
      <c r="AB165" s="125"/>
      <c r="AC165" s="125"/>
      <c r="AD165" s="125"/>
      <c r="AE165" s="125"/>
    </row>
    <row r="166">
      <c r="A166" s="125"/>
      <c r="B166" s="125"/>
      <c r="C166" s="125"/>
      <c r="D166" s="223"/>
      <c r="E166" s="125"/>
      <c r="F166" s="125"/>
      <c r="G166" s="125"/>
      <c r="H166" s="125"/>
      <c r="I166" s="125"/>
      <c r="J166" s="125"/>
      <c r="K166" s="125"/>
      <c r="L166" s="125"/>
      <c r="M166" s="125"/>
      <c r="N166" s="125"/>
      <c r="O166" s="125"/>
      <c r="P166" s="125"/>
      <c r="Q166" s="125"/>
      <c r="R166" s="125"/>
      <c r="S166" s="125"/>
      <c r="T166" s="125"/>
      <c r="U166" s="125"/>
      <c r="V166" s="125"/>
      <c r="W166" s="125"/>
      <c r="X166" s="125"/>
      <c r="Y166" s="125"/>
      <c r="Z166" s="125"/>
      <c r="AA166" s="125"/>
      <c r="AB166" s="125"/>
      <c r="AC166" s="125"/>
      <c r="AD166" s="125"/>
      <c r="AE166" s="125"/>
    </row>
    <row r="167">
      <c r="A167" s="125"/>
      <c r="B167" s="125"/>
      <c r="C167" s="125"/>
      <c r="D167" s="223"/>
      <c r="E167" s="125"/>
      <c r="F167" s="125"/>
      <c r="G167" s="125"/>
      <c r="H167" s="125"/>
      <c r="I167" s="125"/>
      <c r="J167" s="125"/>
      <c r="K167" s="125"/>
      <c r="L167" s="125"/>
      <c r="M167" s="125"/>
      <c r="N167" s="125"/>
      <c r="O167" s="125"/>
      <c r="P167" s="125"/>
      <c r="Q167" s="125"/>
      <c r="R167" s="125"/>
      <c r="S167" s="125"/>
      <c r="T167" s="125"/>
      <c r="U167" s="125"/>
      <c r="V167" s="125"/>
      <c r="W167" s="125"/>
      <c r="X167" s="125"/>
      <c r="Y167" s="125"/>
      <c r="Z167" s="125"/>
      <c r="AA167" s="125"/>
      <c r="AB167" s="125"/>
      <c r="AC167" s="125"/>
      <c r="AD167" s="125"/>
      <c r="AE167" s="125"/>
    </row>
    <row r="168">
      <c r="A168" s="125"/>
      <c r="B168" s="125"/>
      <c r="C168" s="125"/>
      <c r="D168" s="223"/>
      <c r="E168" s="125"/>
      <c r="F168" s="125"/>
      <c r="G168" s="125"/>
      <c r="H168" s="125"/>
      <c r="I168" s="125"/>
      <c r="J168" s="125"/>
      <c r="K168" s="125"/>
      <c r="L168" s="125"/>
      <c r="M168" s="125"/>
      <c r="N168" s="125"/>
      <c r="O168" s="125"/>
      <c r="P168" s="125"/>
      <c r="Q168" s="125"/>
      <c r="R168" s="125"/>
      <c r="S168" s="125"/>
      <c r="T168" s="125"/>
      <c r="U168" s="125"/>
      <c r="V168" s="125"/>
      <c r="W168" s="125"/>
      <c r="X168" s="125"/>
      <c r="Y168" s="125"/>
      <c r="Z168" s="125"/>
      <c r="AA168" s="125"/>
      <c r="AB168" s="125"/>
      <c r="AC168" s="125"/>
      <c r="AD168" s="125"/>
      <c r="AE168" s="125"/>
    </row>
    <row r="169">
      <c r="A169" s="125"/>
      <c r="B169" s="125"/>
      <c r="C169" s="125"/>
      <c r="D169" s="223"/>
      <c r="E169" s="125"/>
      <c r="F169" s="125"/>
      <c r="G169" s="125"/>
      <c r="H169" s="125"/>
      <c r="I169" s="125"/>
      <c r="J169" s="125"/>
      <c r="K169" s="125"/>
      <c r="L169" s="125"/>
      <c r="M169" s="125"/>
      <c r="N169" s="125"/>
      <c r="O169" s="125"/>
      <c r="P169" s="125"/>
      <c r="Q169" s="125"/>
      <c r="R169" s="125"/>
      <c r="S169" s="125"/>
      <c r="T169" s="125"/>
      <c r="U169" s="125"/>
      <c r="V169" s="125"/>
      <c r="W169" s="125"/>
      <c r="X169" s="125"/>
      <c r="Y169" s="125"/>
      <c r="Z169" s="125"/>
      <c r="AA169" s="125"/>
      <c r="AB169" s="125"/>
      <c r="AC169" s="125"/>
      <c r="AD169" s="125"/>
      <c r="AE169" s="125"/>
    </row>
    <row r="170">
      <c r="A170" s="125"/>
      <c r="B170" s="125"/>
      <c r="C170" s="125"/>
      <c r="D170" s="223"/>
      <c r="E170" s="125"/>
      <c r="F170" s="125"/>
      <c r="G170" s="125"/>
      <c r="H170" s="125"/>
      <c r="I170" s="125"/>
      <c r="J170" s="125"/>
      <c r="K170" s="125"/>
      <c r="L170" s="125"/>
      <c r="M170" s="125"/>
      <c r="N170" s="125"/>
      <c r="O170" s="125"/>
      <c r="P170" s="125"/>
      <c r="Q170" s="125"/>
      <c r="R170" s="125"/>
      <c r="S170" s="125"/>
      <c r="T170" s="125"/>
      <c r="U170" s="125"/>
      <c r="V170" s="125"/>
      <c r="W170" s="125"/>
      <c r="X170" s="125"/>
      <c r="Y170" s="125"/>
      <c r="Z170" s="125"/>
      <c r="AA170" s="125"/>
      <c r="AB170" s="125"/>
      <c r="AC170" s="125"/>
      <c r="AD170" s="125"/>
      <c r="AE170" s="125"/>
    </row>
    <row r="171">
      <c r="A171" s="125"/>
      <c r="B171" s="125"/>
      <c r="C171" s="125"/>
      <c r="D171" s="223"/>
      <c r="E171" s="125"/>
      <c r="F171" s="125"/>
      <c r="G171" s="125"/>
      <c r="H171" s="125"/>
      <c r="I171" s="125"/>
      <c r="J171" s="125"/>
      <c r="K171" s="125"/>
      <c r="L171" s="125"/>
      <c r="M171" s="125"/>
      <c r="N171" s="125"/>
      <c r="O171" s="125"/>
      <c r="P171" s="125"/>
      <c r="Q171" s="125"/>
      <c r="R171" s="125"/>
      <c r="S171" s="125"/>
      <c r="T171" s="125"/>
      <c r="U171" s="125"/>
      <c r="V171" s="125"/>
      <c r="W171" s="125"/>
      <c r="X171" s="125"/>
      <c r="Y171" s="125"/>
      <c r="Z171" s="125"/>
      <c r="AA171" s="125"/>
      <c r="AB171" s="125"/>
      <c r="AC171" s="125"/>
      <c r="AD171" s="125"/>
      <c r="AE171" s="125"/>
    </row>
    <row r="172">
      <c r="A172" s="125"/>
      <c r="B172" s="125"/>
      <c r="C172" s="125"/>
      <c r="D172" s="223"/>
      <c r="E172" s="125"/>
      <c r="F172" s="125"/>
      <c r="G172" s="125"/>
      <c r="H172" s="125"/>
      <c r="I172" s="125"/>
      <c r="J172" s="125"/>
      <c r="K172" s="125"/>
      <c r="L172" s="125"/>
      <c r="M172" s="125"/>
      <c r="N172" s="125"/>
      <c r="O172" s="125"/>
      <c r="P172" s="125"/>
      <c r="Q172" s="125"/>
      <c r="R172" s="125"/>
      <c r="S172" s="125"/>
      <c r="T172" s="125"/>
      <c r="U172" s="125"/>
      <c r="V172" s="125"/>
      <c r="W172" s="125"/>
      <c r="X172" s="125"/>
      <c r="Y172" s="125"/>
      <c r="Z172" s="125"/>
      <c r="AA172" s="125"/>
      <c r="AB172" s="125"/>
      <c r="AC172" s="125"/>
      <c r="AD172" s="125"/>
      <c r="AE172" s="125"/>
    </row>
    <row r="173">
      <c r="A173" s="125"/>
      <c r="B173" s="125"/>
      <c r="C173" s="125"/>
      <c r="D173" s="223"/>
      <c r="E173" s="125"/>
      <c r="F173" s="125"/>
      <c r="G173" s="125"/>
      <c r="H173" s="125"/>
      <c r="I173" s="125"/>
      <c r="J173" s="125"/>
      <c r="K173" s="125"/>
      <c r="L173" s="125"/>
      <c r="M173" s="125"/>
      <c r="N173" s="125"/>
      <c r="O173" s="125"/>
      <c r="P173" s="125"/>
      <c r="Q173" s="125"/>
      <c r="R173" s="125"/>
      <c r="S173" s="125"/>
      <c r="T173" s="125"/>
      <c r="U173" s="125"/>
      <c r="V173" s="125"/>
      <c r="W173" s="125"/>
      <c r="X173" s="125"/>
      <c r="Y173" s="125"/>
      <c r="Z173" s="125"/>
      <c r="AA173" s="125"/>
      <c r="AB173" s="125"/>
      <c r="AC173" s="125"/>
      <c r="AD173" s="125"/>
      <c r="AE173" s="125"/>
    </row>
    <row r="174">
      <c r="A174" s="125"/>
      <c r="B174" s="125"/>
      <c r="C174" s="125"/>
      <c r="D174" s="223"/>
      <c r="E174" s="125"/>
      <c r="F174" s="125"/>
      <c r="G174" s="125"/>
      <c r="H174" s="125"/>
      <c r="I174" s="125"/>
      <c r="J174" s="125"/>
      <c r="K174" s="125"/>
      <c r="L174" s="125"/>
      <c r="M174" s="125"/>
      <c r="N174" s="125"/>
      <c r="O174" s="125"/>
      <c r="P174" s="125"/>
      <c r="Q174" s="125"/>
      <c r="R174" s="125"/>
      <c r="S174" s="125"/>
      <c r="T174" s="125"/>
      <c r="U174" s="125"/>
      <c r="V174" s="125"/>
      <c r="W174" s="125"/>
      <c r="X174" s="125"/>
      <c r="Y174" s="125"/>
      <c r="Z174" s="125"/>
      <c r="AA174" s="125"/>
      <c r="AB174" s="125"/>
      <c r="AC174" s="125"/>
      <c r="AD174" s="125"/>
      <c r="AE174" s="125"/>
    </row>
    <row r="175">
      <c r="A175" s="125"/>
      <c r="B175" s="125"/>
      <c r="C175" s="125"/>
      <c r="D175" s="223"/>
      <c r="E175" s="125"/>
      <c r="F175" s="125"/>
      <c r="G175" s="125"/>
      <c r="H175" s="125"/>
      <c r="I175" s="125"/>
      <c r="J175" s="125"/>
      <c r="K175" s="125"/>
      <c r="L175" s="125"/>
      <c r="M175" s="125"/>
      <c r="N175" s="125"/>
      <c r="O175" s="125"/>
      <c r="P175" s="125"/>
      <c r="Q175" s="125"/>
      <c r="R175" s="125"/>
      <c r="S175" s="125"/>
      <c r="T175" s="125"/>
      <c r="U175" s="125"/>
      <c r="V175" s="125"/>
      <c r="W175" s="125"/>
      <c r="X175" s="125"/>
      <c r="Y175" s="125"/>
      <c r="Z175" s="125"/>
      <c r="AA175" s="125"/>
      <c r="AB175" s="125"/>
      <c r="AC175" s="125"/>
      <c r="AD175" s="125"/>
      <c r="AE175" s="125"/>
    </row>
    <row r="176">
      <c r="A176" s="125"/>
      <c r="B176" s="125"/>
      <c r="C176" s="125"/>
      <c r="D176" s="223"/>
      <c r="E176" s="125"/>
      <c r="F176" s="125"/>
      <c r="G176" s="125"/>
      <c r="H176" s="125"/>
      <c r="I176" s="125"/>
      <c r="J176" s="125"/>
      <c r="K176" s="125"/>
      <c r="L176" s="125"/>
      <c r="M176" s="125"/>
      <c r="N176" s="125"/>
      <c r="O176" s="125"/>
      <c r="P176" s="125"/>
      <c r="Q176" s="125"/>
      <c r="R176" s="125"/>
      <c r="S176" s="125"/>
      <c r="T176" s="125"/>
      <c r="U176" s="125"/>
      <c r="V176" s="125"/>
      <c r="W176" s="125"/>
      <c r="X176" s="125"/>
      <c r="Y176" s="125"/>
      <c r="Z176" s="125"/>
      <c r="AA176" s="125"/>
      <c r="AB176" s="125"/>
      <c r="AC176" s="125"/>
      <c r="AD176" s="125"/>
      <c r="AE176" s="125"/>
    </row>
    <row r="177">
      <c r="A177" s="125"/>
      <c r="B177" s="125"/>
      <c r="C177" s="125"/>
      <c r="D177" s="223"/>
      <c r="E177" s="125"/>
      <c r="F177" s="125"/>
      <c r="G177" s="125"/>
      <c r="H177" s="125"/>
      <c r="I177" s="125"/>
      <c r="J177" s="125"/>
      <c r="K177" s="125"/>
      <c r="L177" s="125"/>
      <c r="M177" s="125"/>
      <c r="N177" s="125"/>
      <c r="O177" s="125"/>
      <c r="P177" s="125"/>
      <c r="Q177" s="125"/>
      <c r="R177" s="125"/>
      <c r="S177" s="125"/>
      <c r="T177" s="125"/>
      <c r="U177" s="125"/>
      <c r="V177" s="125"/>
      <c r="W177" s="125"/>
      <c r="X177" s="125"/>
      <c r="Y177" s="125"/>
      <c r="Z177" s="125"/>
      <c r="AA177" s="125"/>
      <c r="AB177" s="125"/>
      <c r="AC177" s="125"/>
      <c r="AD177" s="125"/>
      <c r="AE177" s="125"/>
    </row>
    <row r="178">
      <c r="A178" s="125"/>
      <c r="B178" s="125"/>
      <c r="C178" s="125"/>
      <c r="D178" s="223"/>
      <c r="E178" s="125"/>
      <c r="F178" s="125"/>
      <c r="G178" s="125"/>
      <c r="H178" s="125"/>
      <c r="I178" s="125"/>
      <c r="J178" s="125"/>
      <c r="K178" s="125"/>
      <c r="L178" s="125"/>
      <c r="M178" s="125"/>
      <c r="N178" s="125"/>
      <c r="O178" s="125"/>
      <c r="P178" s="125"/>
      <c r="Q178" s="125"/>
      <c r="R178" s="125"/>
      <c r="S178" s="125"/>
      <c r="T178" s="125"/>
      <c r="U178" s="125"/>
      <c r="V178" s="125"/>
      <c r="W178" s="125"/>
      <c r="X178" s="125"/>
      <c r="Y178" s="125"/>
      <c r="Z178" s="125"/>
      <c r="AA178" s="125"/>
      <c r="AB178" s="125"/>
      <c r="AC178" s="125"/>
      <c r="AD178" s="125"/>
      <c r="AE178" s="125"/>
    </row>
    <row r="179">
      <c r="A179" s="125"/>
      <c r="B179" s="125"/>
      <c r="C179" s="125"/>
      <c r="D179" s="223"/>
      <c r="E179" s="125"/>
      <c r="F179" s="125"/>
      <c r="G179" s="125"/>
      <c r="H179" s="125"/>
      <c r="I179" s="125"/>
      <c r="J179" s="125"/>
      <c r="K179" s="125"/>
      <c r="L179" s="125"/>
      <c r="M179" s="125"/>
      <c r="N179" s="125"/>
      <c r="O179" s="125"/>
      <c r="P179" s="125"/>
      <c r="Q179" s="125"/>
      <c r="R179" s="125"/>
      <c r="S179" s="125"/>
      <c r="T179" s="125"/>
      <c r="U179" s="125"/>
      <c r="V179" s="125"/>
      <c r="W179" s="125"/>
      <c r="X179" s="125"/>
      <c r="Y179" s="125"/>
      <c r="Z179" s="125"/>
      <c r="AA179" s="125"/>
      <c r="AB179" s="125"/>
      <c r="AC179" s="125"/>
      <c r="AD179" s="125"/>
      <c r="AE179" s="125"/>
    </row>
    <row r="180">
      <c r="A180" s="125"/>
      <c r="B180" s="125"/>
      <c r="C180" s="125"/>
      <c r="D180" s="223"/>
      <c r="E180" s="125"/>
      <c r="F180" s="125"/>
      <c r="G180" s="125"/>
      <c r="H180" s="125"/>
      <c r="I180" s="125"/>
      <c r="J180" s="125"/>
      <c r="K180" s="125"/>
      <c r="L180" s="125"/>
      <c r="M180" s="125"/>
      <c r="N180" s="125"/>
      <c r="O180" s="125"/>
      <c r="P180" s="125"/>
      <c r="Q180" s="125"/>
      <c r="R180" s="125"/>
      <c r="S180" s="125"/>
      <c r="T180" s="125"/>
      <c r="U180" s="125"/>
      <c r="V180" s="125"/>
      <c r="W180" s="125"/>
      <c r="X180" s="125"/>
      <c r="Y180" s="125"/>
      <c r="Z180" s="125"/>
      <c r="AA180" s="125"/>
      <c r="AB180" s="125"/>
      <c r="AC180" s="125"/>
      <c r="AD180" s="125"/>
      <c r="AE180" s="125"/>
    </row>
    <row r="181">
      <c r="A181" s="125"/>
      <c r="B181" s="125"/>
      <c r="C181" s="125"/>
      <c r="D181" s="223"/>
      <c r="E181" s="125"/>
      <c r="F181" s="125"/>
      <c r="G181" s="125"/>
      <c r="H181" s="125"/>
      <c r="I181" s="125"/>
      <c r="J181" s="125"/>
      <c r="K181" s="125"/>
      <c r="L181" s="125"/>
      <c r="M181" s="125"/>
      <c r="N181" s="125"/>
      <c r="O181" s="125"/>
      <c r="P181" s="125"/>
      <c r="Q181" s="125"/>
      <c r="R181" s="125"/>
      <c r="S181" s="125"/>
      <c r="T181" s="125"/>
      <c r="U181" s="125"/>
      <c r="V181" s="125"/>
      <c r="W181" s="125"/>
      <c r="X181" s="125"/>
      <c r="Y181" s="125"/>
      <c r="Z181" s="125"/>
      <c r="AA181" s="125"/>
      <c r="AB181" s="125"/>
      <c r="AC181" s="125"/>
      <c r="AD181" s="125"/>
      <c r="AE181" s="125"/>
    </row>
    <row r="182">
      <c r="A182" s="125"/>
      <c r="B182" s="125"/>
      <c r="C182" s="125"/>
      <c r="D182" s="223"/>
      <c r="E182" s="125"/>
      <c r="F182" s="125"/>
      <c r="G182" s="125"/>
      <c r="H182" s="125"/>
      <c r="I182" s="125"/>
      <c r="J182" s="125"/>
      <c r="K182" s="125"/>
      <c r="L182" s="125"/>
      <c r="M182" s="125"/>
      <c r="N182" s="125"/>
      <c r="O182" s="125"/>
      <c r="P182" s="125"/>
      <c r="Q182" s="125"/>
      <c r="R182" s="125"/>
      <c r="S182" s="125"/>
      <c r="T182" s="125"/>
      <c r="U182" s="125"/>
      <c r="V182" s="125"/>
      <c r="W182" s="125"/>
      <c r="X182" s="125"/>
      <c r="Y182" s="125"/>
      <c r="Z182" s="125"/>
      <c r="AA182" s="125"/>
      <c r="AB182" s="125"/>
      <c r="AC182" s="125"/>
      <c r="AD182" s="125"/>
      <c r="AE182" s="125"/>
    </row>
    <row r="183">
      <c r="A183" s="125"/>
      <c r="B183" s="125"/>
      <c r="C183" s="125"/>
      <c r="D183" s="223"/>
      <c r="E183" s="125"/>
      <c r="F183" s="125"/>
      <c r="G183" s="125"/>
      <c r="H183" s="125"/>
      <c r="I183" s="125"/>
      <c r="J183" s="125"/>
      <c r="K183" s="125"/>
      <c r="L183" s="125"/>
      <c r="M183" s="125"/>
      <c r="N183" s="125"/>
      <c r="O183" s="125"/>
      <c r="P183" s="125"/>
      <c r="Q183" s="125"/>
      <c r="R183" s="125"/>
      <c r="S183" s="125"/>
      <c r="T183" s="125"/>
      <c r="U183" s="125"/>
      <c r="V183" s="125"/>
      <c r="W183" s="125"/>
      <c r="X183" s="125"/>
      <c r="Y183" s="125"/>
      <c r="Z183" s="125"/>
      <c r="AA183" s="125"/>
      <c r="AB183" s="125"/>
      <c r="AC183" s="125"/>
      <c r="AD183" s="125"/>
      <c r="AE183" s="125"/>
    </row>
    <row r="184">
      <c r="A184" s="125"/>
      <c r="B184" s="125"/>
      <c r="C184" s="125"/>
      <c r="D184" s="223"/>
      <c r="E184" s="125"/>
      <c r="F184" s="125"/>
      <c r="G184" s="125"/>
      <c r="H184" s="125"/>
      <c r="I184" s="125"/>
      <c r="J184" s="125"/>
      <c r="K184" s="125"/>
      <c r="L184" s="125"/>
      <c r="M184" s="125"/>
      <c r="N184" s="125"/>
      <c r="O184" s="125"/>
      <c r="P184" s="125"/>
      <c r="Q184" s="125"/>
      <c r="R184" s="125"/>
      <c r="S184" s="125"/>
      <c r="T184" s="125"/>
      <c r="U184" s="125"/>
      <c r="V184" s="125"/>
      <c r="W184" s="125"/>
      <c r="X184" s="125"/>
      <c r="Y184" s="125"/>
      <c r="Z184" s="125"/>
      <c r="AA184" s="125"/>
      <c r="AB184" s="125"/>
      <c r="AC184" s="125"/>
      <c r="AD184" s="125"/>
      <c r="AE184" s="125"/>
    </row>
    <row r="185">
      <c r="A185" s="125"/>
      <c r="B185" s="125"/>
      <c r="C185" s="125"/>
      <c r="D185" s="223"/>
      <c r="E185" s="125"/>
      <c r="F185" s="125"/>
      <c r="G185" s="125"/>
      <c r="H185" s="125"/>
      <c r="I185" s="125"/>
      <c r="J185" s="125"/>
      <c r="K185" s="125"/>
      <c r="L185" s="125"/>
      <c r="M185" s="125"/>
      <c r="N185" s="125"/>
      <c r="O185" s="125"/>
      <c r="P185" s="125"/>
      <c r="Q185" s="125"/>
      <c r="R185" s="125"/>
      <c r="S185" s="125"/>
      <c r="T185" s="125"/>
      <c r="U185" s="125"/>
      <c r="V185" s="125"/>
      <c r="W185" s="125"/>
      <c r="X185" s="125"/>
      <c r="Y185" s="125"/>
      <c r="Z185" s="125"/>
      <c r="AA185" s="125"/>
      <c r="AB185" s="125"/>
      <c r="AC185" s="125"/>
      <c r="AD185" s="125"/>
      <c r="AE185" s="125"/>
    </row>
    <row r="186">
      <c r="A186" s="125"/>
      <c r="B186" s="125"/>
      <c r="C186" s="125"/>
      <c r="D186" s="223"/>
      <c r="E186" s="125"/>
      <c r="F186" s="125"/>
      <c r="G186" s="125"/>
      <c r="H186" s="125"/>
      <c r="I186" s="125"/>
      <c r="J186" s="125"/>
      <c r="K186" s="125"/>
      <c r="L186" s="125"/>
      <c r="M186" s="125"/>
      <c r="N186" s="125"/>
      <c r="O186" s="125"/>
      <c r="P186" s="125"/>
      <c r="Q186" s="125"/>
      <c r="R186" s="125"/>
      <c r="S186" s="125"/>
      <c r="T186" s="125"/>
      <c r="U186" s="125"/>
      <c r="V186" s="125"/>
      <c r="W186" s="125"/>
      <c r="X186" s="125"/>
      <c r="Y186" s="125"/>
      <c r="Z186" s="125"/>
      <c r="AA186" s="125"/>
      <c r="AB186" s="125"/>
      <c r="AC186" s="125"/>
      <c r="AD186" s="125"/>
      <c r="AE186" s="125"/>
    </row>
    <row r="187">
      <c r="A187" s="125"/>
      <c r="B187" s="125"/>
      <c r="C187" s="125"/>
      <c r="D187" s="223"/>
      <c r="E187" s="125"/>
      <c r="F187" s="125"/>
      <c r="G187" s="125"/>
      <c r="H187" s="125"/>
      <c r="I187" s="125"/>
      <c r="J187" s="125"/>
      <c r="K187" s="125"/>
      <c r="L187" s="125"/>
      <c r="M187" s="125"/>
      <c r="N187" s="125"/>
      <c r="O187" s="125"/>
      <c r="P187" s="125"/>
      <c r="Q187" s="125"/>
      <c r="R187" s="125"/>
      <c r="S187" s="125"/>
      <c r="T187" s="125"/>
      <c r="U187" s="125"/>
      <c r="V187" s="125"/>
      <c r="W187" s="125"/>
      <c r="X187" s="125"/>
      <c r="Y187" s="125"/>
      <c r="Z187" s="125"/>
      <c r="AA187" s="125"/>
      <c r="AB187" s="125"/>
      <c r="AC187" s="125"/>
      <c r="AD187" s="125"/>
      <c r="AE187" s="125"/>
    </row>
    <row r="188">
      <c r="A188" s="125"/>
      <c r="B188" s="125"/>
      <c r="C188" s="125"/>
      <c r="D188" s="223"/>
      <c r="E188" s="125"/>
      <c r="F188" s="125"/>
      <c r="G188" s="125"/>
      <c r="H188" s="125"/>
      <c r="I188" s="125"/>
      <c r="J188" s="125"/>
      <c r="K188" s="125"/>
      <c r="L188" s="125"/>
      <c r="M188" s="125"/>
      <c r="N188" s="125"/>
      <c r="O188" s="125"/>
      <c r="P188" s="125"/>
      <c r="Q188" s="125"/>
      <c r="R188" s="125"/>
      <c r="S188" s="125"/>
      <c r="T188" s="125"/>
      <c r="U188" s="125"/>
      <c r="V188" s="125"/>
      <c r="W188" s="125"/>
      <c r="X188" s="125"/>
      <c r="Y188" s="125"/>
      <c r="Z188" s="125"/>
      <c r="AA188" s="125"/>
      <c r="AB188" s="125"/>
      <c r="AC188" s="125"/>
      <c r="AD188" s="125"/>
      <c r="AE188" s="125"/>
    </row>
    <row r="189">
      <c r="A189" s="125"/>
      <c r="B189" s="125"/>
      <c r="C189" s="125"/>
      <c r="D189" s="223"/>
      <c r="E189" s="125"/>
      <c r="F189" s="125"/>
      <c r="G189" s="125"/>
      <c r="H189" s="125"/>
      <c r="I189" s="125"/>
      <c r="J189" s="125"/>
      <c r="K189" s="125"/>
      <c r="L189" s="125"/>
      <c r="M189" s="125"/>
      <c r="N189" s="125"/>
      <c r="O189" s="125"/>
      <c r="P189" s="125"/>
      <c r="Q189" s="125"/>
      <c r="R189" s="125"/>
      <c r="S189" s="125"/>
      <c r="T189" s="125"/>
      <c r="U189" s="125"/>
      <c r="V189" s="125"/>
      <c r="W189" s="125"/>
      <c r="X189" s="125"/>
      <c r="Y189" s="125"/>
      <c r="Z189" s="125"/>
      <c r="AA189" s="125"/>
      <c r="AB189" s="125"/>
      <c r="AC189" s="125"/>
      <c r="AD189" s="125"/>
      <c r="AE189" s="125"/>
    </row>
    <row r="190">
      <c r="A190" s="125"/>
      <c r="B190" s="125"/>
      <c r="C190" s="125"/>
      <c r="D190" s="223"/>
      <c r="E190" s="125"/>
      <c r="F190" s="125"/>
      <c r="G190" s="125"/>
      <c r="H190" s="125"/>
      <c r="I190" s="125"/>
      <c r="J190" s="125"/>
      <c r="K190" s="125"/>
      <c r="L190" s="125"/>
      <c r="M190" s="125"/>
      <c r="N190" s="125"/>
      <c r="O190" s="125"/>
      <c r="P190" s="125"/>
      <c r="Q190" s="125"/>
      <c r="R190" s="125"/>
      <c r="S190" s="125"/>
      <c r="T190" s="125"/>
      <c r="U190" s="125"/>
      <c r="V190" s="125"/>
      <c r="W190" s="125"/>
      <c r="X190" s="125"/>
      <c r="Y190" s="125"/>
      <c r="Z190" s="125"/>
      <c r="AA190" s="125"/>
      <c r="AB190" s="125"/>
      <c r="AC190" s="125"/>
      <c r="AD190" s="125"/>
      <c r="AE190" s="125"/>
    </row>
    <row r="191">
      <c r="A191" s="125"/>
      <c r="B191" s="125"/>
      <c r="C191" s="125"/>
      <c r="D191" s="223"/>
      <c r="E191" s="125"/>
      <c r="F191" s="125"/>
      <c r="G191" s="125"/>
      <c r="H191" s="125"/>
      <c r="I191" s="125"/>
      <c r="J191" s="125"/>
      <c r="K191" s="125"/>
      <c r="L191" s="125"/>
      <c r="M191" s="125"/>
      <c r="N191" s="125"/>
      <c r="O191" s="125"/>
      <c r="P191" s="125"/>
      <c r="Q191" s="125"/>
      <c r="R191" s="125"/>
      <c r="S191" s="125"/>
      <c r="T191" s="125"/>
      <c r="U191" s="125"/>
      <c r="V191" s="125"/>
      <c r="W191" s="125"/>
      <c r="X191" s="125"/>
      <c r="Y191" s="125"/>
      <c r="Z191" s="125"/>
      <c r="AA191" s="125"/>
      <c r="AB191" s="125"/>
      <c r="AC191" s="125"/>
      <c r="AD191" s="125"/>
      <c r="AE191" s="125"/>
    </row>
    <row r="192">
      <c r="A192" s="125"/>
      <c r="B192" s="125"/>
      <c r="C192" s="125"/>
      <c r="D192" s="223"/>
      <c r="E192" s="125"/>
      <c r="F192" s="125"/>
      <c r="G192" s="125"/>
      <c r="H192" s="125"/>
      <c r="I192" s="125"/>
      <c r="J192" s="125"/>
      <c r="K192" s="125"/>
      <c r="L192" s="125"/>
      <c r="M192" s="125"/>
      <c r="N192" s="125"/>
      <c r="O192" s="125"/>
      <c r="P192" s="125"/>
      <c r="Q192" s="125"/>
      <c r="R192" s="125"/>
      <c r="S192" s="125"/>
      <c r="T192" s="125"/>
      <c r="U192" s="125"/>
      <c r="V192" s="125"/>
      <c r="W192" s="125"/>
      <c r="X192" s="125"/>
      <c r="Y192" s="125"/>
      <c r="Z192" s="125"/>
      <c r="AA192" s="125"/>
      <c r="AB192" s="125"/>
      <c r="AC192" s="125"/>
      <c r="AD192" s="125"/>
      <c r="AE192" s="125"/>
    </row>
    <row r="193">
      <c r="A193" s="125"/>
      <c r="B193" s="125"/>
      <c r="C193" s="125"/>
      <c r="D193" s="223"/>
      <c r="E193" s="125"/>
      <c r="F193" s="125"/>
      <c r="G193" s="125"/>
      <c r="H193" s="125"/>
      <c r="I193" s="125"/>
      <c r="J193" s="125"/>
      <c r="K193" s="125"/>
      <c r="L193" s="125"/>
      <c r="M193" s="125"/>
      <c r="N193" s="125"/>
      <c r="O193" s="125"/>
      <c r="P193" s="125"/>
      <c r="Q193" s="125"/>
      <c r="R193" s="125"/>
      <c r="S193" s="125"/>
      <c r="T193" s="125"/>
      <c r="U193" s="125"/>
      <c r="V193" s="125"/>
      <c r="W193" s="125"/>
      <c r="X193" s="125"/>
      <c r="Y193" s="125"/>
      <c r="Z193" s="125"/>
      <c r="AA193" s="125"/>
      <c r="AB193" s="125"/>
      <c r="AC193" s="125"/>
      <c r="AD193" s="125"/>
      <c r="AE193" s="125"/>
    </row>
    <row r="194">
      <c r="A194" s="125"/>
      <c r="B194" s="125"/>
      <c r="C194" s="125"/>
      <c r="D194" s="223"/>
      <c r="E194" s="125"/>
      <c r="F194" s="125"/>
      <c r="G194" s="125"/>
      <c r="H194" s="125"/>
      <c r="I194" s="125"/>
      <c r="J194" s="125"/>
      <c r="K194" s="125"/>
      <c r="L194" s="125"/>
      <c r="M194" s="125"/>
      <c r="N194" s="125"/>
      <c r="O194" s="125"/>
      <c r="P194" s="125"/>
      <c r="Q194" s="125"/>
      <c r="R194" s="125"/>
      <c r="S194" s="125"/>
      <c r="T194" s="125"/>
      <c r="U194" s="125"/>
      <c r="V194" s="125"/>
      <c r="W194" s="125"/>
      <c r="X194" s="125"/>
      <c r="Y194" s="125"/>
      <c r="Z194" s="125"/>
      <c r="AA194" s="125"/>
      <c r="AB194" s="125"/>
      <c r="AC194" s="125"/>
      <c r="AD194" s="125"/>
      <c r="AE194" s="125"/>
    </row>
    <row r="195">
      <c r="A195" s="125"/>
      <c r="B195" s="125"/>
      <c r="C195" s="125"/>
      <c r="D195" s="223"/>
      <c r="E195" s="125"/>
      <c r="F195" s="125"/>
      <c r="G195" s="125"/>
      <c r="H195" s="125"/>
      <c r="I195" s="125"/>
      <c r="J195" s="125"/>
      <c r="K195" s="125"/>
      <c r="L195" s="125"/>
      <c r="M195" s="125"/>
      <c r="N195" s="125"/>
      <c r="O195" s="125"/>
      <c r="P195" s="125"/>
      <c r="Q195" s="125"/>
      <c r="R195" s="125"/>
      <c r="S195" s="125"/>
      <c r="T195" s="125"/>
      <c r="U195" s="125"/>
      <c r="V195" s="125"/>
      <c r="W195" s="125"/>
      <c r="X195" s="125"/>
      <c r="Y195" s="125"/>
      <c r="Z195" s="125"/>
      <c r="AA195" s="125"/>
      <c r="AB195" s="125"/>
      <c r="AC195" s="125"/>
      <c r="AD195" s="125"/>
      <c r="AE195" s="125"/>
    </row>
    <row r="196">
      <c r="A196" s="125"/>
      <c r="B196" s="125"/>
      <c r="C196" s="125"/>
      <c r="D196" s="223"/>
      <c r="E196" s="125"/>
      <c r="F196" s="125"/>
      <c r="G196" s="125"/>
      <c r="H196" s="125"/>
      <c r="I196" s="125"/>
      <c r="J196" s="125"/>
      <c r="K196" s="125"/>
      <c r="L196" s="125"/>
      <c r="M196" s="125"/>
      <c r="N196" s="125"/>
      <c r="O196" s="125"/>
      <c r="P196" s="125"/>
      <c r="Q196" s="125"/>
      <c r="R196" s="125"/>
      <c r="S196" s="125"/>
      <c r="T196" s="125"/>
      <c r="U196" s="125"/>
      <c r="V196" s="125"/>
      <c r="W196" s="125"/>
      <c r="X196" s="125"/>
      <c r="Y196" s="125"/>
      <c r="Z196" s="125"/>
      <c r="AA196" s="125"/>
      <c r="AB196" s="125"/>
      <c r="AC196" s="125"/>
      <c r="AD196" s="125"/>
      <c r="AE196" s="125"/>
    </row>
    <row r="197">
      <c r="A197" s="125"/>
      <c r="B197" s="125"/>
      <c r="C197" s="125"/>
      <c r="D197" s="223"/>
      <c r="E197" s="125"/>
      <c r="F197" s="125"/>
      <c r="G197" s="125"/>
      <c r="H197" s="125"/>
      <c r="I197" s="125"/>
      <c r="J197" s="125"/>
      <c r="K197" s="125"/>
      <c r="L197" s="125"/>
      <c r="M197" s="125"/>
      <c r="N197" s="125"/>
      <c r="O197" s="125"/>
      <c r="P197" s="125"/>
      <c r="Q197" s="125"/>
      <c r="R197" s="125"/>
      <c r="S197" s="125"/>
      <c r="T197" s="125"/>
      <c r="U197" s="125"/>
      <c r="V197" s="125"/>
      <c r="W197" s="125"/>
      <c r="X197" s="125"/>
      <c r="Y197" s="125"/>
      <c r="Z197" s="125"/>
      <c r="AA197" s="125"/>
      <c r="AB197" s="125"/>
      <c r="AC197" s="125"/>
      <c r="AD197" s="125"/>
      <c r="AE197" s="125"/>
    </row>
    <row r="198">
      <c r="A198" s="125"/>
      <c r="B198" s="125"/>
      <c r="C198" s="125"/>
      <c r="D198" s="223"/>
      <c r="E198" s="125"/>
      <c r="F198" s="125"/>
      <c r="G198" s="125"/>
      <c r="H198" s="125"/>
      <c r="I198" s="125"/>
      <c r="J198" s="125"/>
      <c r="K198" s="125"/>
      <c r="L198" s="125"/>
      <c r="M198" s="125"/>
      <c r="N198" s="125"/>
      <c r="O198" s="125"/>
      <c r="P198" s="125"/>
      <c r="Q198" s="125"/>
      <c r="R198" s="125"/>
      <c r="S198" s="125"/>
      <c r="T198" s="125"/>
      <c r="U198" s="125"/>
      <c r="V198" s="125"/>
      <c r="W198" s="125"/>
      <c r="X198" s="125"/>
      <c r="Y198" s="125"/>
      <c r="Z198" s="125"/>
      <c r="AA198" s="125"/>
      <c r="AB198" s="125"/>
      <c r="AC198" s="125"/>
      <c r="AD198" s="125"/>
      <c r="AE198" s="125"/>
    </row>
    <row r="199">
      <c r="A199" s="125"/>
      <c r="B199" s="125"/>
      <c r="C199" s="125"/>
      <c r="D199" s="223"/>
      <c r="E199" s="125"/>
      <c r="F199" s="125"/>
      <c r="G199" s="125"/>
      <c r="H199" s="125"/>
      <c r="I199" s="125"/>
      <c r="J199" s="125"/>
      <c r="K199" s="125"/>
      <c r="L199" s="125"/>
      <c r="M199" s="125"/>
      <c r="N199" s="125"/>
      <c r="O199" s="125"/>
      <c r="P199" s="125"/>
      <c r="Q199" s="125"/>
      <c r="R199" s="125"/>
      <c r="S199" s="125"/>
      <c r="T199" s="125"/>
      <c r="U199" s="125"/>
      <c r="V199" s="125"/>
      <c r="W199" s="125"/>
      <c r="X199" s="125"/>
      <c r="Y199" s="125"/>
      <c r="Z199" s="125"/>
      <c r="AA199" s="125"/>
      <c r="AB199" s="125"/>
      <c r="AC199" s="125"/>
      <c r="AD199" s="125"/>
      <c r="AE199" s="125"/>
    </row>
    <row r="200">
      <c r="A200" s="125"/>
      <c r="B200" s="125"/>
      <c r="C200" s="125"/>
      <c r="D200" s="223"/>
      <c r="E200" s="125"/>
      <c r="F200" s="125"/>
      <c r="G200" s="125"/>
      <c r="H200" s="125"/>
      <c r="I200" s="125"/>
      <c r="J200" s="125"/>
      <c r="K200" s="125"/>
      <c r="L200" s="125"/>
      <c r="M200" s="125"/>
      <c r="N200" s="125"/>
      <c r="O200" s="125"/>
      <c r="P200" s="125"/>
      <c r="Q200" s="125"/>
      <c r="R200" s="125"/>
      <c r="S200" s="125"/>
      <c r="T200" s="125"/>
      <c r="U200" s="125"/>
      <c r="V200" s="125"/>
      <c r="W200" s="125"/>
      <c r="X200" s="125"/>
      <c r="Y200" s="125"/>
      <c r="Z200" s="125"/>
      <c r="AA200" s="125"/>
      <c r="AB200" s="125"/>
      <c r="AC200" s="125"/>
      <c r="AD200" s="125"/>
      <c r="AE200" s="125"/>
    </row>
    <row r="201">
      <c r="A201" s="125"/>
      <c r="B201" s="125"/>
      <c r="C201" s="125"/>
      <c r="D201" s="223"/>
      <c r="E201" s="125"/>
      <c r="F201" s="125"/>
      <c r="G201" s="125"/>
      <c r="H201" s="125"/>
      <c r="I201" s="125"/>
      <c r="J201" s="125"/>
      <c r="K201" s="125"/>
      <c r="L201" s="125"/>
      <c r="M201" s="125"/>
      <c r="N201" s="125"/>
      <c r="O201" s="125"/>
      <c r="P201" s="125"/>
      <c r="Q201" s="125"/>
      <c r="R201" s="125"/>
      <c r="S201" s="125"/>
      <c r="T201" s="125"/>
      <c r="U201" s="125"/>
      <c r="V201" s="125"/>
      <c r="W201" s="125"/>
      <c r="X201" s="125"/>
      <c r="Y201" s="125"/>
      <c r="Z201" s="125"/>
      <c r="AA201" s="125"/>
      <c r="AB201" s="125"/>
      <c r="AC201" s="125"/>
      <c r="AD201" s="125"/>
      <c r="AE201" s="125"/>
    </row>
    <row r="202">
      <c r="A202" s="125"/>
      <c r="B202" s="125"/>
      <c r="C202" s="125"/>
      <c r="D202" s="223"/>
      <c r="E202" s="125"/>
      <c r="F202" s="125"/>
      <c r="G202" s="125"/>
      <c r="H202" s="125"/>
      <c r="I202" s="125"/>
      <c r="J202" s="125"/>
      <c r="K202" s="125"/>
      <c r="L202" s="125"/>
      <c r="M202" s="125"/>
      <c r="N202" s="125"/>
      <c r="O202" s="125"/>
      <c r="P202" s="125"/>
      <c r="Q202" s="125"/>
      <c r="R202" s="125"/>
      <c r="S202" s="125"/>
      <c r="T202" s="125"/>
      <c r="U202" s="125"/>
      <c r="V202" s="125"/>
      <c r="W202" s="125"/>
      <c r="X202" s="125"/>
      <c r="Y202" s="125"/>
      <c r="Z202" s="125"/>
      <c r="AA202" s="125"/>
      <c r="AB202" s="125"/>
      <c r="AC202" s="125"/>
      <c r="AD202" s="125"/>
      <c r="AE202" s="125"/>
    </row>
    <row r="203">
      <c r="A203" s="125"/>
      <c r="B203" s="125"/>
      <c r="C203" s="125"/>
      <c r="D203" s="223"/>
      <c r="E203" s="125"/>
      <c r="F203" s="125"/>
      <c r="G203" s="125"/>
      <c r="H203" s="125"/>
      <c r="I203" s="125"/>
      <c r="J203" s="125"/>
      <c r="K203" s="125"/>
      <c r="L203" s="125"/>
      <c r="M203" s="125"/>
      <c r="N203" s="125"/>
      <c r="O203" s="125"/>
      <c r="P203" s="125"/>
      <c r="Q203" s="125"/>
      <c r="R203" s="125"/>
      <c r="S203" s="125"/>
      <c r="T203" s="125"/>
      <c r="U203" s="125"/>
      <c r="V203" s="125"/>
      <c r="W203" s="125"/>
      <c r="X203" s="125"/>
      <c r="Y203" s="125"/>
      <c r="Z203" s="125"/>
      <c r="AA203" s="125"/>
      <c r="AB203" s="125"/>
      <c r="AC203" s="125"/>
      <c r="AD203" s="125"/>
      <c r="AE203" s="125"/>
    </row>
    <row r="204">
      <c r="A204" s="125"/>
      <c r="B204" s="125"/>
      <c r="C204" s="125"/>
      <c r="D204" s="223"/>
      <c r="E204" s="125"/>
      <c r="F204" s="125"/>
      <c r="G204" s="125"/>
      <c r="H204" s="125"/>
      <c r="I204" s="125"/>
      <c r="J204" s="125"/>
      <c r="K204" s="125"/>
      <c r="L204" s="125"/>
      <c r="M204" s="125"/>
      <c r="N204" s="125"/>
      <c r="O204" s="125"/>
      <c r="P204" s="125"/>
      <c r="Q204" s="125"/>
      <c r="R204" s="125"/>
      <c r="S204" s="125"/>
      <c r="T204" s="125"/>
      <c r="U204" s="125"/>
      <c r="V204" s="125"/>
      <c r="W204" s="125"/>
      <c r="X204" s="125"/>
      <c r="Y204" s="125"/>
      <c r="Z204" s="125"/>
      <c r="AA204" s="125"/>
      <c r="AB204" s="125"/>
      <c r="AC204" s="125"/>
      <c r="AD204" s="125"/>
      <c r="AE204" s="125"/>
    </row>
    <row r="205">
      <c r="A205" s="125"/>
      <c r="B205" s="125"/>
      <c r="C205" s="125"/>
      <c r="D205" s="223"/>
      <c r="E205" s="125"/>
      <c r="F205" s="125"/>
      <c r="G205" s="125"/>
      <c r="H205" s="125"/>
      <c r="I205" s="125"/>
      <c r="J205" s="125"/>
      <c r="K205" s="125"/>
      <c r="L205" s="125"/>
      <c r="M205" s="125"/>
      <c r="N205" s="125"/>
      <c r="O205" s="125"/>
      <c r="P205" s="125"/>
      <c r="Q205" s="125"/>
      <c r="R205" s="125"/>
      <c r="S205" s="125"/>
      <c r="T205" s="125"/>
      <c r="U205" s="125"/>
      <c r="V205" s="125"/>
      <c r="W205" s="125"/>
      <c r="X205" s="125"/>
      <c r="Y205" s="125"/>
      <c r="Z205" s="125"/>
      <c r="AA205" s="125"/>
      <c r="AB205" s="125"/>
      <c r="AC205" s="125"/>
      <c r="AD205" s="125"/>
      <c r="AE205" s="125"/>
    </row>
  </sheetData>
  <dataValidations>
    <dataValidation type="list" allowBlank="1" sqref="Y2:Y107">
      <formula1>"Đã thêm,Chưa thêm"</formula1>
    </dataValidation>
  </dataValidations>
  <hyperlinks>
    <hyperlink r:id="rId1" ref="L2"/>
    <hyperlink r:id="rId2" ref="P2"/>
    <hyperlink r:id="rId3" ref="L3"/>
    <hyperlink r:id="rId4" ref="L4"/>
    <hyperlink r:id="rId5" ref="L5"/>
    <hyperlink r:id="rId6" ref="L6"/>
    <hyperlink r:id="rId7" ref="L7"/>
    <hyperlink r:id="rId8" ref="L8"/>
    <hyperlink r:id="rId9" ref="L9"/>
    <hyperlink r:id="rId10" ref="L10"/>
    <hyperlink r:id="rId11" ref="L11"/>
    <hyperlink r:id="rId12" ref="L12"/>
    <hyperlink r:id="rId13" ref="P12"/>
    <hyperlink r:id="rId14" ref="L13"/>
    <hyperlink r:id="rId15" ref="L14"/>
    <hyperlink r:id="rId16" ref="L15"/>
    <hyperlink r:id="rId17" ref="L16"/>
    <hyperlink r:id="rId18" ref="L17"/>
    <hyperlink r:id="rId19" ref="L18"/>
    <hyperlink r:id="rId20" ref="L19"/>
    <hyperlink r:id="rId21" ref="L20"/>
    <hyperlink r:id="rId22" ref="L21"/>
    <hyperlink r:id="rId23" ref="L22"/>
    <hyperlink r:id="rId24" ref="L23"/>
    <hyperlink r:id="rId25" ref="L24"/>
    <hyperlink r:id="rId26" ref="P24"/>
    <hyperlink r:id="rId27" ref="L25"/>
    <hyperlink r:id="rId28" ref="L26"/>
    <hyperlink r:id="rId29" ref="L27"/>
    <hyperlink r:id="rId30" ref="L28"/>
    <hyperlink r:id="rId31" ref="P28"/>
    <hyperlink r:id="rId32" ref="L29"/>
    <hyperlink r:id="rId33" ref="L30"/>
    <hyperlink r:id="rId34" ref="L31"/>
    <hyperlink r:id="rId35" ref="L32"/>
    <hyperlink r:id="rId36" ref="L33"/>
    <hyperlink r:id="rId37" ref="L34"/>
    <hyperlink r:id="rId38" ref="L35"/>
    <hyperlink r:id="rId39" ref="L36"/>
    <hyperlink r:id="rId40" ref="L37"/>
    <hyperlink r:id="rId41" ref="L38"/>
    <hyperlink r:id="rId42" ref="L39"/>
    <hyperlink r:id="rId43" ref="L40"/>
    <hyperlink r:id="rId44" ref="V40"/>
    <hyperlink r:id="rId45" ref="L41"/>
    <hyperlink r:id="rId46" ref="P41"/>
    <hyperlink r:id="rId47" ref="L42"/>
    <hyperlink r:id="rId48" ref="L43"/>
    <hyperlink r:id="rId49" ref="L44"/>
    <hyperlink r:id="rId50" ref="L45"/>
    <hyperlink r:id="rId51" ref="L46"/>
    <hyperlink r:id="rId52" ref="L47"/>
    <hyperlink r:id="rId53" ref="P47"/>
    <hyperlink r:id="rId54" ref="L48"/>
    <hyperlink r:id="rId55" ref="L49"/>
    <hyperlink r:id="rId56" ref="L50"/>
    <hyperlink r:id="rId57" ref="L51"/>
    <hyperlink r:id="rId58" ref="P51"/>
    <hyperlink r:id="rId59" ref="L52"/>
    <hyperlink r:id="rId60" ref="L53"/>
    <hyperlink r:id="rId61" ref="P53"/>
    <hyperlink r:id="rId62" ref="L54"/>
    <hyperlink r:id="rId63" ref="L55"/>
    <hyperlink r:id="rId64" ref="L56"/>
    <hyperlink r:id="rId65" ref="L57"/>
    <hyperlink r:id="rId66" ref="L58"/>
    <hyperlink r:id="rId67" ref="L59"/>
    <hyperlink r:id="rId68" ref="L60"/>
    <hyperlink r:id="rId69" ref="P60"/>
    <hyperlink r:id="rId70" ref="L61"/>
    <hyperlink r:id="rId71" ref="P61"/>
    <hyperlink r:id="rId72" ref="L62"/>
    <hyperlink r:id="rId73" ref="L63"/>
    <hyperlink r:id="rId74" ref="L64"/>
    <hyperlink r:id="rId75" ref="L65"/>
    <hyperlink r:id="rId76" ref="L66"/>
    <hyperlink r:id="rId77" ref="L67"/>
    <hyperlink r:id="rId78" ref="G68"/>
    <hyperlink r:id="rId79" ref="G69"/>
    <hyperlink r:id="rId80" ref="P69"/>
    <hyperlink r:id="rId81" ref="G70"/>
    <hyperlink r:id="rId82" ref="P70"/>
    <hyperlink r:id="rId83" ref="G71"/>
    <hyperlink r:id="rId84" ref="G72"/>
    <hyperlink r:id="rId85" ref="G73"/>
    <hyperlink r:id="rId86" ref="P73"/>
    <hyperlink r:id="rId87" ref="G74"/>
    <hyperlink r:id="rId88" ref="G75"/>
    <hyperlink r:id="rId89" ref="P75"/>
    <hyperlink r:id="rId90" ref="G76"/>
    <hyperlink r:id="rId91" ref="P76"/>
    <hyperlink r:id="rId92" ref="G77"/>
    <hyperlink r:id="rId93" ref="G78"/>
    <hyperlink r:id="rId94" ref="G79"/>
    <hyperlink r:id="rId95" ref="G80"/>
    <hyperlink r:id="rId96" ref="G81"/>
    <hyperlink r:id="rId97" ref="P81"/>
    <hyperlink r:id="rId98" ref="G82"/>
    <hyperlink r:id="rId99" ref="G83"/>
    <hyperlink r:id="rId100" ref="G84"/>
    <hyperlink r:id="rId101" ref="P84"/>
    <hyperlink r:id="rId102" ref="G85"/>
    <hyperlink r:id="rId103" ref="G86"/>
    <hyperlink r:id="rId104" ref="P86"/>
    <hyperlink r:id="rId105" ref="G87"/>
    <hyperlink r:id="rId106" ref="G88"/>
    <hyperlink r:id="rId107" ref="G89"/>
    <hyperlink r:id="rId108" ref="P89"/>
    <hyperlink r:id="rId109" ref="G90"/>
    <hyperlink r:id="rId110" ref="G91"/>
    <hyperlink r:id="rId111" ref="G92"/>
    <hyperlink r:id="rId112" ref="P92"/>
    <hyperlink r:id="rId113" ref="G93"/>
    <hyperlink r:id="rId114" ref="G94"/>
    <hyperlink r:id="rId115" ref="G95"/>
    <hyperlink r:id="rId116" ref="P95"/>
    <hyperlink r:id="rId117" ref="G96"/>
    <hyperlink r:id="rId118" ref="P96"/>
    <hyperlink r:id="rId119" ref="G97"/>
    <hyperlink r:id="rId120" ref="P97"/>
    <hyperlink r:id="rId121" ref="G98"/>
    <hyperlink r:id="rId122" ref="P98"/>
    <hyperlink r:id="rId123" ref="G99"/>
    <hyperlink r:id="rId124" ref="G100"/>
    <hyperlink r:id="rId125" ref="G101"/>
    <hyperlink r:id="rId126" ref="G102"/>
    <hyperlink r:id="rId127" ref="G103"/>
    <hyperlink r:id="rId128" ref="G104"/>
    <hyperlink r:id="rId129" ref="G105"/>
    <hyperlink r:id="rId130" ref="G106"/>
  </hyperlinks>
  <drawing r:id="rId131"/>
  <tableParts count="1">
    <tablePart r:id="rId13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0"/>
    <col customWidth="1" min="2" max="3" width="20.88"/>
    <col customWidth="1" min="4" max="4" width="53.63"/>
    <col customWidth="1" min="5" max="5" width="10.38"/>
    <col customWidth="1" min="6" max="6" width="25.63"/>
    <col customWidth="1" min="7" max="7" width="13.5"/>
    <col customWidth="1" min="8" max="8" width="21.13"/>
    <col customWidth="1" min="9" max="9" width="22.25"/>
    <col customWidth="1" min="10" max="10" width="15.75"/>
    <col customWidth="1" min="11" max="11" width="17.0"/>
    <col customWidth="1" min="12" max="12" width="55.13"/>
    <col customWidth="1" min="13" max="13" width="18.75"/>
    <col customWidth="1" min="14" max="14" width="18.88"/>
    <col customWidth="1" min="15" max="15" width="32.75"/>
    <col customWidth="1" min="16" max="16" width="12.63"/>
    <col customWidth="1" min="17" max="17" width="19.13"/>
    <col customWidth="1" min="18" max="19" width="18.88"/>
    <col customWidth="1" min="20" max="20" width="22.25"/>
    <col customWidth="1" min="21" max="25" width="18.88"/>
    <col customWidth="1" min="26" max="26" width="18.63"/>
    <col customWidth="1" min="27" max="32" width="18.88"/>
  </cols>
  <sheetData>
    <row r="1" ht="22.5" customHeight="1">
      <c r="A1" s="120" t="s">
        <v>3340</v>
      </c>
      <c r="B1" s="120" t="s">
        <v>16</v>
      </c>
      <c r="C1" s="120" t="s">
        <v>3342</v>
      </c>
      <c r="D1" s="120" t="s">
        <v>3341</v>
      </c>
      <c r="E1" s="121" t="s">
        <v>3343</v>
      </c>
      <c r="F1" s="120" t="s">
        <v>3344</v>
      </c>
      <c r="G1" s="120" t="s">
        <v>3345</v>
      </c>
      <c r="H1" s="120" t="s">
        <v>3346</v>
      </c>
      <c r="I1" s="120" t="s">
        <v>3347</v>
      </c>
      <c r="J1" s="120" t="s">
        <v>3348</v>
      </c>
      <c r="K1" s="120" t="s">
        <v>3349</v>
      </c>
      <c r="L1" s="120" t="s">
        <v>3350</v>
      </c>
      <c r="M1" s="120" t="s">
        <v>3351</v>
      </c>
      <c r="N1" s="122" t="s">
        <v>3352</v>
      </c>
      <c r="O1" s="122" t="s">
        <v>3353</v>
      </c>
      <c r="P1" s="122" t="s">
        <v>3354</v>
      </c>
      <c r="Q1" s="122" t="s">
        <v>3355</v>
      </c>
      <c r="R1" s="122" t="s">
        <v>3356</v>
      </c>
      <c r="S1" s="122" t="s">
        <v>3357</v>
      </c>
      <c r="T1" s="123" t="s">
        <v>3358</v>
      </c>
      <c r="U1" s="122" t="s">
        <v>3359</v>
      </c>
      <c r="V1" s="122" t="s">
        <v>3360</v>
      </c>
      <c r="W1" s="122" t="s">
        <v>3361</v>
      </c>
      <c r="X1" s="122" t="s">
        <v>3362</v>
      </c>
      <c r="Y1" s="122" t="s">
        <v>3363</v>
      </c>
      <c r="Z1" s="122" t="s">
        <v>3364</v>
      </c>
      <c r="AA1" s="124" t="s">
        <v>3365</v>
      </c>
      <c r="AB1" s="125"/>
      <c r="AC1" s="125"/>
      <c r="AD1" s="125"/>
      <c r="AE1" s="125"/>
      <c r="AF1" s="125"/>
    </row>
    <row r="2" ht="22.5" customHeight="1">
      <c r="A2" s="224">
        <v>46212.553204791664</v>
      </c>
      <c r="B2" s="225" t="s">
        <v>3871</v>
      </c>
      <c r="C2" s="225" t="s">
        <v>3374</v>
      </c>
      <c r="D2" s="226"/>
      <c r="E2" s="227"/>
      <c r="F2" s="228"/>
      <c r="G2" s="228"/>
      <c r="H2" s="228"/>
      <c r="I2" s="225" t="s">
        <v>3333</v>
      </c>
      <c r="J2" s="225" t="s">
        <v>3871</v>
      </c>
      <c r="K2" s="229" t="s">
        <v>3872</v>
      </c>
      <c r="L2" s="230">
        <v>3.0</v>
      </c>
      <c r="M2" s="225" t="s">
        <v>3873</v>
      </c>
      <c r="N2" s="231" t="s">
        <v>3874</v>
      </c>
      <c r="O2" s="226"/>
      <c r="P2" s="226"/>
      <c r="Q2" s="226"/>
      <c r="R2" s="232" t="b">
        <v>0</v>
      </c>
      <c r="S2" s="226"/>
      <c r="T2" s="233"/>
      <c r="U2" s="234"/>
      <c r="V2" s="235"/>
      <c r="W2" s="235"/>
      <c r="X2" s="235"/>
      <c r="Y2" s="235"/>
      <c r="Z2" s="236"/>
      <c r="AA2" s="235"/>
      <c r="AB2" s="125"/>
      <c r="AC2" s="125"/>
      <c r="AD2" s="125"/>
      <c r="AE2" s="125"/>
      <c r="AF2" s="125"/>
    </row>
    <row r="3" ht="22.5" customHeight="1">
      <c r="A3" s="237">
        <v>46215.92287336805</v>
      </c>
      <c r="B3" s="213" t="s">
        <v>3875</v>
      </c>
      <c r="C3" s="213" t="s">
        <v>3374</v>
      </c>
      <c r="D3" s="217"/>
      <c r="E3" s="238"/>
      <c r="F3" s="217"/>
      <c r="G3" s="216"/>
      <c r="H3" s="216"/>
      <c r="I3" s="212" t="s">
        <v>1452</v>
      </c>
      <c r="J3" s="212" t="s">
        <v>3876</v>
      </c>
      <c r="K3" s="239" t="s">
        <v>3877</v>
      </c>
      <c r="L3" s="240">
        <v>8.0</v>
      </c>
      <c r="M3" s="212" t="s">
        <v>3878</v>
      </c>
      <c r="N3" s="241" t="s">
        <v>3879</v>
      </c>
      <c r="O3" s="212" t="s">
        <v>3445</v>
      </c>
      <c r="P3" s="217"/>
      <c r="Q3" s="216"/>
      <c r="R3" s="242" t="b">
        <v>0</v>
      </c>
      <c r="S3" s="216"/>
      <c r="T3" s="243"/>
      <c r="U3" s="221"/>
      <c r="V3" s="244"/>
      <c r="W3" s="244"/>
      <c r="X3" s="244"/>
      <c r="Y3" s="244"/>
      <c r="Z3" s="245"/>
      <c r="AA3" s="244"/>
      <c r="AB3" s="125"/>
      <c r="AC3" s="125"/>
      <c r="AD3" s="125"/>
      <c r="AE3" s="125"/>
      <c r="AF3" s="125"/>
    </row>
    <row r="4" ht="22.5" customHeight="1">
      <c r="A4" s="237">
        <v>46217.425888541664</v>
      </c>
      <c r="B4" s="213" t="s">
        <v>3880</v>
      </c>
      <c r="C4" s="213" t="s">
        <v>3705</v>
      </c>
      <c r="D4" s="212" t="s">
        <v>1138</v>
      </c>
      <c r="E4" s="214">
        <v>2.0225027E7</v>
      </c>
      <c r="F4" s="212" t="s">
        <v>3880</v>
      </c>
      <c r="G4" s="215" t="s">
        <v>3881</v>
      </c>
      <c r="H4" s="246" t="s">
        <v>3882</v>
      </c>
      <c r="I4" s="217"/>
      <c r="J4" s="217"/>
      <c r="K4" s="217"/>
      <c r="L4" s="217"/>
      <c r="M4" s="217"/>
      <c r="N4" s="218"/>
      <c r="O4" s="212" t="s">
        <v>3445</v>
      </c>
      <c r="P4" s="217"/>
      <c r="Q4" s="216"/>
      <c r="R4" s="242" t="b">
        <v>0</v>
      </c>
      <c r="S4" s="216"/>
      <c r="T4" s="243"/>
      <c r="U4" s="221"/>
      <c r="V4" s="244"/>
      <c r="W4" s="244"/>
      <c r="X4" s="244"/>
      <c r="Y4" s="244"/>
      <c r="Z4" s="245"/>
      <c r="AA4" s="244"/>
      <c r="AB4" s="125"/>
      <c r="AC4" s="125"/>
      <c r="AD4" s="125"/>
      <c r="AE4" s="125"/>
      <c r="AF4" s="125"/>
    </row>
    <row r="5" ht="22.5" customHeight="1">
      <c r="A5" s="237">
        <v>46217.49283528935</v>
      </c>
      <c r="B5" s="213" t="s">
        <v>3883</v>
      </c>
      <c r="C5" s="213" t="s">
        <v>3705</v>
      </c>
      <c r="D5" s="212" t="s">
        <v>3109</v>
      </c>
      <c r="E5" s="214">
        <v>2.0224941E7</v>
      </c>
      <c r="F5" s="213" t="s">
        <v>3884</v>
      </c>
      <c r="G5" s="215" t="s">
        <v>3885</v>
      </c>
      <c r="H5" s="246" t="s">
        <v>3886</v>
      </c>
      <c r="I5" s="217"/>
      <c r="J5" s="217"/>
      <c r="K5" s="217"/>
      <c r="L5" s="217"/>
      <c r="M5" s="217"/>
      <c r="N5" s="218"/>
      <c r="O5" s="212" t="s">
        <v>3445</v>
      </c>
      <c r="P5" s="217"/>
      <c r="Q5" s="213" t="s">
        <v>3887</v>
      </c>
      <c r="R5" s="242" t="b">
        <v>0</v>
      </c>
      <c r="S5" s="216"/>
      <c r="T5" s="243"/>
      <c r="U5" s="221"/>
      <c r="V5" s="244"/>
      <c r="W5" s="244"/>
      <c r="X5" s="244"/>
      <c r="Y5" s="244"/>
      <c r="Z5" s="245"/>
      <c r="AA5" s="244"/>
      <c r="AB5" s="125"/>
      <c r="AC5" s="125"/>
      <c r="AD5" s="125"/>
      <c r="AE5" s="125"/>
      <c r="AF5" s="125"/>
    </row>
    <row r="6" ht="22.5" customHeight="1">
      <c r="A6" s="237">
        <v>46217.7126784838</v>
      </c>
      <c r="B6" s="213" t="s">
        <v>3888</v>
      </c>
      <c r="C6" s="213" t="s">
        <v>3705</v>
      </c>
      <c r="D6" s="212" t="s">
        <v>2940</v>
      </c>
      <c r="E6" s="214">
        <v>2.0225453E7</v>
      </c>
      <c r="F6" s="213" t="s">
        <v>3889</v>
      </c>
      <c r="G6" s="215" t="s">
        <v>3890</v>
      </c>
      <c r="H6" s="246" t="s">
        <v>3891</v>
      </c>
      <c r="I6" s="217"/>
      <c r="J6" s="217"/>
      <c r="K6" s="217"/>
      <c r="L6" s="217"/>
      <c r="M6" s="217"/>
      <c r="N6" s="218"/>
      <c r="O6" s="217"/>
      <c r="P6" s="217"/>
      <c r="Q6" s="216"/>
      <c r="R6" s="242" t="b">
        <v>0</v>
      </c>
      <c r="S6" s="216"/>
      <c r="T6" s="243"/>
      <c r="U6" s="221"/>
      <c r="V6" s="244"/>
      <c r="W6" s="244"/>
      <c r="X6" s="244"/>
      <c r="Y6" s="244"/>
      <c r="Z6" s="245"/>
      <c r="AA6" s="244"/>
      <c r="AB6" s="125"/>
      <c r="AC6" s="125"/>
      <c r="AD6" s="125"/>
      <c r="AE6" s="125"/>
      <c r="AF6" s="125"/>
    </row>
    <row r="7" ht="22.5" customHeight="1">
      <c r="A7" s="237">
        <v>46217.73025945602</v>
      </c>
      <c r="B7" s="213" t="s">
        <v>3892</v>
      </c>
      <c r="C7" s="213" t="s">
        <v>3705</v>
      </c>
      <c r="D7" s="212" t="s">
        <v>2236</v>
      </c>
      <c r="E7" s="214">
        <v>2.0225716E7</v>
      </c>
      <c r="F7" s="213" t="s">
        <v>3892</v>
      </c>
      <c r="G7" s="215" t="s">
        <v>3893</v>
      </c>
      <c r="H7" s="246" t="s">
        <v>3894</v>
      </c>
      <c r="I7" s="217"/>
      <c r="J7" s="217"/>
      <c r="K7" s="217"/>
      <c r="L7" s="217"/>
      <c r="M7" s="217"/>
      <c r="N7" s="218"/>
      <c r="O7" s="212" t="s">
        <v>76</v>
      </c>
      <c r="P7" s="247" t="s">
        <v>3895</v>
      </c>
      <c r="Q7" s="213" t="s">
        <v>3896</v>
      </c>
      <c r="R7" s="242" t="b">
        <v>0</v>
      </c>
      <c r="S7" s="216"/>
      <c r="T7" s="243"/>
      <c r="U7" s="221"/>
      <c r="V7" s="244"/>
      <c r="W7" s="244"/>
      <c r="X7" s="244"/>
      <c r="Y7" s="244"/>
      <c r="Z7" s="245"/>
      <c r="AA7" s="244"/>
      <c r="AB7" s="125"/>
      <c r="AC7" s="125"/>
      <c r="AD7" s="125"/>
      <c r="AE7" s="125"/>
      <c r="AF7" s="125"/>
    </row>
    <row r="8" ht="22.5" customHeight="1">
      <c r="A8" s="237">
        <v>46217.79596696759</v>
      </c>
      <c r="B8" s="213" t="s">
        <v>3897</v>
      </c>
      <c r="C8" s="213" t="s">
        <v>3705</v>
      </c>
      <c r="D8" s="212" t="s">
        <v>1938</v>
      </c>
      <c r="E8" s="214">
        <v>2.0224896E7</v>
      </c>
      <c r="F8" s="213" t="s">
        <v>1939</v>
      </c>
      <c r="G8" s="215" t="s">
        <v>3898</v>
      </c>
      <c r="H8" s="246" t="s">
        <v>3899</v>
      </c>
      <c r="I8" s="217"/>
      <c r="J8" s="217"/>
      <c r="K8" s="217"/>
      <c r="L8" s="217"/>
      <c r="M8" s="217"/>
      <c r="N8" s="218"/>
      <c r="O8" s="212" t="s">
        <v>3679</v>
      </c>
      <c r="P8" s="217"/>
      <c r="Q8" s="217"/>
      <c r="R8" s="248" t="b">
        <v>0</v>
      </c>
      <c r="S8" s="217"/>
      <c r="T8" s="243"/>
      <c r="U8" s="221"/>
      <c r="V8" s="244"/>
      <c r="W8" s="244"/>
      <c r="X8" s="244"/>
      <c r="Y8" s="244"/>
      <c r="Z8" s="245"/>
      <c r="AA8" s="244"/>
      <c r="AB8" s="125"/>
      <c r="AC8" s="125"/>
      <c r="AD8" s="125"/>
      <c r="AE8" s="125"/>
      <c r="AF8" s="125"/>
    </row>
    <row r="9" ht="22.5" customHeight="1">
      <c r="A9" s="237">
        <v>46217.92381325232</v>
      </c>
      <c r="B9" s="213" t="s">
        <v>3900</v>
      </c>
      <c r="C9" s="213" t="s">
        <v>3705</v>
      </c>
      <c r="D9" s="212" t="s">
        <v>694</v>
      </c>
      <c r="E9" s="214">
        <v>2.022486E7</v>
      </c>
      <c r="F9" s="213" t="s">
        <v>3900</v>
      </c>
      <c r="G9" s="215" t="s">
        <v>3901</v>
      </c>
      <c r="H9" s="246" t="s">
        <v>3902</v>
      </c>
      <c r="I9" s="217"/>
      <c r="J9" s="217"/>
      <c r="K9" s="217"/>
      <c r="L9" s="217"/>
      <c r="M9" s="217"/>
      <c r="N9" s="218"/>
      <c r="O9" s="212" t="s">
        <v>3679</v>
      </c>
      <c r="P9" s="217"/>
      <c r="Q9" s="216"/>
      <c r="R9" s="248" t="b">
        <v>0</v>
      </c>
      <c r="S9" s="212" t="s">
        <v>3903</v>
      </c>
      <c r="T9" s="248" t="s">
        <v>3904</v>
      </c>
      <c r="U9" s="249" t="s">
        <v>3905</v>
      </c>
      <c r="V9" s="244"/>
      <c r="W9" s="244"/>
      <c r="X9" s="244"/>
      <c r="Y9" s="244"/>
      <c r="Z9" s="245"/>
      <c r="AA9" s="244"/>
      <c r="AB9" s="125"/>
      <c r="AC9" s="125"/>
      <c r="AD9" s="125"/>
      <c r="AE9" s="125"/>
      <c r="AF9" s="125"/>
    </row>
    <row r="10" ht="22.5" customHeight="1">
      <c r="A10" s="237">
        <v>46217.97598283565</v>
      </c>
      <c r="B10" s="213" t="s">
        <v>3906</v>
      </c>
      <c r="C10" s="213" t="s">
        <v>3374</v>
      </c>
      <c r="D10" s="217"/>
      <c r="E10" s="238"/>
      <c r="F10" s="216"/>
      <c r="G10" s="216"/>
      <c r="H10" s="216"/>
      <c r="I10" s="212" t="s">
        <v>3186</v>
      </c>
      <c r="J10" s="212" t="s">
        <v>3187</v>
      </c>
      <c r="K10" s="239" t="s">
        <v>3907</v>
      </c>
      <c r="L10" s="240">
        <v>1.0</v>
      </c>
      <c r="M10" s="212" t="s">
        <v>3908</v>
      </c>
      <c r="N10" s="241" t="s">
        <v>3909</v>
      </c>
      <c r="O10" s="212" t="s">
        <v>3445</v>
      </c>
      <c r="P10" s="217"/>
      <c r="Q10" s="216"/>
      <c r="R10" s="242" t="b">
        <v>0</v>
      </c>
      <c r="S10" s="217"/>
      <c r="T10" s="243"/>
      <c r="U10" s="250"/>
      <c r="V10" s="251"/>
      <c r="W10" s="251"/>
      <c r="X10" s="244"/>
      <c r="Y10" s="244"/>
      <c r="Z10" s="245"/>
      <c r="AA10" s="244"/>
      <c r="AB10" s="125"/>
      <c r="AC10" s="125"/>
      <c r="AD10" s="125"/>
      <c r="AE10" s="125"/>
      <c r="AF10" s="125"/>
    </row>
    <row r="11" ht="22.5" customHeight="1">
      <c r="A11" s="237">
        <v>46217.984429351854</v>
      </c>
      <c r="B11" s="213" t="s">
        <v>3910</v>
      </c>
      <c r="C11" s="213" t="s">
        <v>3374</v>
      </c>
      <c r="D11" s="217"/>
      <c r="E11" s="238"/>
      <c r="F11" s="216"/>
      <c r="G11" s="216"/>
      <c r="H11" s="216"/>
      <c r="I11" s="212" t="s">
        <v>3911</v>
      </c>
      <c r="J11" s="212" t="s">
        <v>3910</v>
      </c>
      <c r="K11" s="239" t="s">
        <v>3912</v>
      </c>
      <c r="L11" s="240">
        <v>2.0</v>
      </c>
      <c r="M11" s="212" t="s">
        <v>3913</v>
      </c>
      <c r="N11" s="241" t="s">
        <v>3914</v>
      </c>
      <c r="O11" s="212" t="s">
        <v>3438</v>
      </c>
      <c r="P11" s="247" t="s">
        <v>3915</v>
      </c>
      <c r="Q11" s="213" t="s">
        <v>3916</v>
      </c>
      <c r="R11" s="242" t="b">
        <v>0</v>
      </c>
      <c r="S11" s="217"/>
      <c r="T11" s="243"/>
      <c r="U11" s="221"/>
      <c r="V11" s="244"/>
      <c r="W11" s="244"/>
      <c r="X11" s="244"/>
      <c r="Y11" s="244"/>
      <c r="Z11" s="245"/>
      <c r="AA11" s="244"/>
      <c r="AB11" s="125"/>
      <c r="AC11" s="125"/>
      <c r="AD11" s="125"/>
      <c r="AE11" s="125"/>
      <c r="AF11" s="125"/>
    </row>
    <row r="12" ht="22.5" customHeight="1">
      <c r="A12" s="237">
        <v>46218.34509314815</v>
      </c>
      <c r="B12" s="213" t="s">
        <v>3917</v>
      </c>
      <c r="C12" s="213" t="s">
        <v>3705</v>
      </c>
      <c r="D12" s="212" t="s">
        <v>858</v>
      </c>
      <c r="E12" s="214">
        <v>2.022534E7</v>
      </c>
      <c r="F12" s="213" t="s">
        <v>3917</v>
      </c>
      <c r="G12" s="215" t="s">
        <v>3918</v>
      </c>
      <c r="H12" s="246" t="s">
        <v>3919</v>
      </c>
      <c r="I12" s="217"/>
      <c r="J12" s="217"/>
      <c r="K12" s="217"/>
      <c r="L12" s="217"/>
      <c r="M12" s="217"/>
      <c r="N12" s="218"/>
      <c r="O12" s="212" t="s">
        <v>3438</v>
      </c>
      <c r="P12" s="217"/>
      <c r="Q12" s="217"/>
      <c r="R12" s="248" t="b">
        <v>0</v>
      </c>
      <c r="S12" s="217"/>
      <c r="T12" s="243"/>
      <c r="U12" s="221"/>
      <c r="V12" s="244"/>
      <c r="W12" s="244"/>
      <c r="X12" s="244"/>
      <c r="Y12" s="244"/>
      <c r="Z12" s="245"/>
      <c r="AA12" s="244"/>
      <c r="AB12" s="125"/>
      <c r="AC12" s="125"/>
      <c r="AD12" s="125"/>
      <c r="AE12" s="125"/>
      <c r="AF12" s="125"/>
    </row>
    <row r="13" ht="22.5" customHeight="1">
      <c r="A13" s="237">
        <v>46218.40947086806</v>
      </c>
      <c r="B13" s="213" t="s">
        <v>3920</v>
      </c>
      <c r="C13" s="213" t="s">
        <v>3705</v>
      </c>
      <c r="D13" s="212" t="s">
        <v>1513</v>
      </c>
      <c r="E13" s="214">
        <v>2.022525E7</v>
      </c>
      <c r="F13" s="213" t="s">
        <v>1514</v>
      </c>
      <c r="G13" s="215" t="s">
        <v>3921</v>
      </c>
      <c r="H13" s="246" t="s">
        <v>3922</v>
      </c>
      <c r="I13" s="217"/>
      <c r="J13" s="217"/>
      <c r="K13" s="217"/>
      <c r="L13" s="217"/>
      <c r="M13" s="217"/>
      <c r="N13" s="218"/>
      <c r="O13" s="212" t="s">
        <v>3438</v>
      </c>
      <c r="P13" s="217"/>
      <c r="Q13" s="216"/>
      <c r="R13" s="242" t="b">
        <v>0</v>
      </c>
      <c r="S13" s="217"/>
      <c r="T13" s="243"/>
      <c r="U13" s="221"/>
      <c r="V13" s="244"/>
      <c r="W13" s="244"/>
      <c r="X13" s="244"/>
      <c r="Y13" s="244"/>
      <c r="Z13" s="245"/>
      <c r="AA13" s="244"/>
      <c r="AB13" s="125"/>
      <c r="AC13" s="125"/>
      <c r="AD13" s="125"/>
      <c r="AE13" s="125"/>
      <c r="AF13" s="125"/>
    </row>
    <row r="14" ht="22.5" customHeight="1">
      <c r="A14" s="237">
        <v>46218.48701162037</v>
      </c>
      <c r="B14" s="213" t="s">
        <v>3923</v>
      </c>
      <c r="C14" s="213" t="s">
        <v>3705</v>
      </c>
      <c r="D14" s="212" t="s">
        <v>862</v>
      </c>
      <c r="E14" s="214">
        <v>2.0224972E7</v>
      </c>
      <c r="F14" s="213" t="s">
        <v>3924</v>
      </c>
      <c r="G14" s="215" t="s">
        <v>3925</v>
      </c>
      <c r="H14" s="246" t="s">
        <v>3926</v>
      </c>
      <c r="I14" s="217"/>
      <c r="J14" s="217"/>
      <c r="K14" s="217"/>
      <c r="L14" s="217"/>
      <c r="M14" s="217"/>
      <c r="N14" s="218"/>
      <c r="O14" s="212" t="s">
        <v>3445</v>
      </c>
      <c r="P14" s="217"/>
      <c r="Q14" s="217"/>
      <c r="R14" s="242" t="b">
        <v>0</v>
      </c>
      <c r="S14" s="217"/>
      <c r="T14" s="243"/>
      <c r="U14" s="221"/>
      <c r="V14" s="244"/>
      <c r="W14" s="244"/>
      <c r="X14" s="244"/>
      <c r="Y14" s="244"/>
      <c r="Z14" s="245"/>
      <c r="AA14" s="244"/>
      <c r="AB14" s="125"/>
      <c r="AC14" s="125"/>
      <c r="AD14" s="125"/>
      <c r="AE14" s="125"/>
      <c r="AF14" s="125"/>
    </row>
    <row r="15" ht="22.5" customHeight="1">
      <c r="A15" s="237">
        <v>46218.59432163194</v>
      </c>
      <c r="B15" s="213" t="s">
        <v>3927</v>
      </c>
      <c r="C15" s="213" t="s">
        <v>3705</v>
      </c>
      <c r="D15" s="212" t="s">
        <v>1521</v>
      </c>
      <c r="E15" s="214">
        <v>2.0224873E7</v>
      </c>
      <c r="F15" s="213" t="s">
        <v>1522</v>
      </c>
      <c r="G15" s="215" t="s">
        <v>3928</v>
      </c>
      <c r="H15" s="246" t="s">
        <v>3929</v>
      </c>
      <c r="I15" s="217"/>
      <c r="J15" s="217"/>
      <c r="K15" s="217"/>
      <c r="L15" s="217"/>
      <c r="M15" s="217"/>
      <c r="N15" s="218"/>
      <c r="O15" s="212" t="s">
        <v>3679</v>
      </c>
      <c r="P15" s="247" t="s">
        <v>3930</v>
      </c>
      <c r="Q15" s="213" t="s">
        <v>3931</v>
      </c>
      <c r="R15" s="242" t="b">
        <v>0</v>
      </c>
      <c r="S15" s="217"/>
      <c r="T15" s="243"/>
      <c r="U15" s="221"/>
      <c r="V15" s="244"/>
      <c r="W15" s="244"/>
      <c r="X15" s="244"/>
      <c r="Y15" s="244"/>
      <c r="Z15" s="245"/>
      <c r="AA15" s="244"/>
      <c r="AB15" s="125"/>
      <c r="AC15" s="125"/>
      <c r="AD15" s="125"/>
      <c r="AE15" s="125"/>
      <c r="AF15" s="125"/>
    </row>
    <row r="16" ht="22.5" customHeight="1">
      <c r="A16" s="237">
        <v>46218.657988101855</v>
      </c>
      <c r="B16" s="213" t="s">
        <v>3932</v>
      </c>
      <c r="C16" s="213" t="s">
        <v>3374</v>
      </c>
      <c r="D16" s="217"/>
      <c r="E16" s="238"/>
      <c r="F16" s="216"/>
      <c r="G16" s="216"/>
      <c r="H16" s="216"/>
      <c r="I16" s="212" t="s">
        <v>2731</v>
      </c>
      <c r="J16" s="212" t="s">
        <v>3932</v>
      </c>
      <c r="K16" s="239" t="s">
        <v>3933</v>
      </c>
      <c r="L16" s="240">
        <v>6.0</v>
      </c>
      <c r="M16" s="212" t="s">
        <v>3934</v>
      </c>
      <c r="N16" s="241" t="s">
        <v>3935</v>
      </c>
      <c r="O16" s="212" t="s">
        <v>3408</v>
      </c>
      <c r="P16" s="247" t="s">
        <v>3936</v>
      </c>
      <c r="Q16" s="212" t="s">
        <v>3937</v>
      </c>
      <c r="R16" s="248" t="b">
        <v>0</v>
      </c>
      <c r="S16" s="212" t="s">
        <v>3938</v>
      </c>
      <c r="T16" s="248" t="s">
        <v>3939</v>
      </c>
      <c r="U16" s="252" t="s">
        <v>3940</v>
      </c>
      <c r="V16" s="244"/>
      <c r="W16" s="244"/>
      <c r="X16" s="244"/>
      <c r="Y16" s="244"/>
      <c r="Z16" s="245"/>
      <c r="AA16" s="244"/>
      <c r="AB16" s="125"/>
      <c r="AC16" s="125"/>
      <c r="AD16" s="125"/>
      <c r="AE16" s="125"/>
      <c r="AF16" s="125"/>
    </row>
    <row r="17" ht="22.5" customHeight="1">
      <c r="A17" s="237">
        <v>46218.66842962963</v>
      </c>
      <c r="B17" s="213" t="s">
        <v>3941</v>
      </c>
      <c r="C17" s="213" t="s">
        <v>3705</v>
      </c>
      <c r="D17" s="212" t="s">
        <v>2968</v>
      </c>
      <c r="E17" s="214">
        <v>2.0215387E7</v>
      </c>
      <c r="F17" s="213" t="s">
        <v>3942</v>
      </c>
      <c r="G17" s="215" t="s">
        <v>3943</v>
      </c>
      <c r="H17" s="246" t="s">
        <v>3944</v>
      </c>
      <c r="I17" s="217"/>
      <c r="J17" s="217"/>
      <c r="K17" s="217"/>
      <c r="L17" s="217"/>
      <c r="M17" s="217"/>
      <c r="N17" s="218"/>
      <c r="O17" s="212" t="s">
        <v>3759</v>
      </c>
      <c r="P17" s="217"/>
      <c r="Q17" s="216"/>
      <c r="R17" s="242" t="b">
        <v>0</v>
      </c>
      <c r="S17" s="217"/>
      <c r="T17" s="243"/>
      <c r="U17" s="221"/>
      <c r="V17" s="244"/>
      <c r="W17" s="244"/>
      <c r="X17" s="244"/>
      <c r="Y17" s="244"/>
      <c r="Z17" s="245"/>
      <c r="AA17" s="244"/>
      <c r="AB17" s="125"/>
      <c r="AC17" s="125"/>
      <c r="AD17" s="125"/>
      <c r="AE17" s="125"/>
      <c r="AF17" s="125"/>
    </row>
    <row r="18" ht="22.5" customHeight="1">
      <c r="A18" s="253">
        <v>46218.67790704861</v>
      </c>
      <c r="B18" s="254" t="s">
        <v>3945</v>
      </c>
      <c r="C18" s="254" t="s">
        <v>3374</v>
      </c>
      <c r="D18" s="255"/>
      <c r="E18" s="256"/>
      <c r="F18" s="257"/>
      <c r="G18" s="257"/>
      <c r="H18" s="257"/>
      <c r="I18" s="258" t="s">
        <v>3003</v>
      </c>
      <c r="J18" s="258" t="s">
        <v>3945</v>
      </c>
      <c r="K18" s="259" t="s">
        <v>3946</v>
      </c>
      <c r="L18" s="260">
        <v>2.0</v>
      </c>
      <c r="M18" s="261" t="s">
        <v>3947</v>
      </c>
      <c r="N18" s="262" t="s">
        <v>3948</v>
      </c>
      <c r="O18" s="255"/>
      <c r="P18" s="255"/>
      <c r="Q18" s="257"/>
      <c r="R18" s="263" t="b">
        <v>0</v>
      </c>
      <c r="S18" s="255"/>
      <c r="T18" s="264"/>
      <c r="U18" s="265"/>
      <c r="V18" s="266"/>
      <c r="W18" s="266"/>
      <c r="X18" s="266"/>
      <c r="Y18" s="266"/>
      <c r="Z18" s="267"/>
      <c r="AA18" s="268"/>
      <c r="AB18" s="125"/>
      <c r="AC18" s="125"/>
      <c r="AD18" s="125"/>
      <c r="AE18" s="125"/>
      <c r="AF18" s="125"/>
    </row>
    <row r="19" ht="22.5" customHeight="1">
      <c r="A19" s="269">
        <v>46218.71351461805</v>
      </c>
      <c r="B19" s="270" t="s">
        <v>3949</v>
      </c>
      <c r="C19" s="270" t="s">
        <v>3374</v>
      </c>
      <c r="D19" s="271"/>
      <c r="E19" s="272"/>
      <c r="F19" s="273"/>
      <c r="G19" s="273"/>
      <c r="H19" s="273"/>
      <c r="I19" s="274" t="s">
        <v>2707</v>
      </c>
      <c r="J19" s="274" t="s">
        <v>3949</v>
      </c>
      <c r="K19" s="275" t="s">
        <v>3950</v>
      </c>
      <c r="L19" s="276">
        <v>2.0</v>
      </c>
      <c r="M19" s="274" t="s">
        <v>3951</v>
      </c>
      <c r="N19" s="277" t="s">
        <v>3952</v>
      </c>
      <c r="O19" s="274" t="s">
        <v>3445</v>
      </c>
      <c r="P19" s="271"/>
      <c r="Q19" s="273"/>
      <c r="R19" s="278" t="b">
        <v>0</v>
      </c>
      <c r="S19" s="273"/>
      <c r="T19" s="279"/>
      <c r="U19" s="280"/>
      <c r="V19" s="266"/>
      <c r="W19" s="266"/>
      <c r="X19" s="266"/>
      <c r="Y19" s="266"/>
      <c r="Z19" s="267"/>
      <c r="AA19" s="266"/>
      <c r="AB19" s="125"/>
      <c r="AC19" s="125"/>
      <c r="AD19" s="125"/>
      <c r="AE19" s="125"/>
      <c r="AF19" s="125"/>
    </row>
    <row r="20" ht="22.5" customHeight="1">
      <c r="A20" s="253">
        <v>46218.72884787037</v>
      </c>
      <c r="B20" s="254" t="s">
        <v>3953</v>
      </c>
      <c r="C20" s="254" t="s">
        <v>3705</v>
      </c>
      <c r="D20" s="258" t="s">
        <v>1161</v>
      </c>
      <c r="E20" s="281">
        <v>2.0226027E7</v>
      </c>
      <c r="F20" s="254" t="s">
        <v>3953</v>
      </c>
      <c r="G20" s="282" t="s">
        <v>3954</v>
      </c>
      <c r="H20" s="283" t="s">
        <v>3955</v>
      </c>
      <c r="I20" s="255"/>
      <c r="J20" s="255"/>
      <c r="K20" s="255"/>
      <c r="L20" s="255"/>
      <c r="M20" s="255"/>
      <c r="N20" s="284"/>
      <c r="O20" s="258" t="s">
        <v>3408</v>
      </c>
      <c r="P20" s="255"/>
      <c r="Q20" s="257"/>
      <c r="R20" s="263" t="b">
        <v>0</v>
      </c>
      <c r="S20" s="255"/>
      <c r="T20" s="264"/>
      <c r="U20" s="265"/>
      <c r="V20" s="266"/>
      <c r="W20" s="266"/>
      <c r="X20" s="266"/>
      <c r="Y20" s="266"/>
      <c r="Z20" s="267"/>
      <c r="AA20" s="266"/>
      <c r="AB20" s="125"/>
      <c r="AC20" s="125"/>
      <c r="AD20" s="125"/>
      <c r="AE20" s="125"/>
      <c r="AF20" s="125"/>
    </row>
    <row r="21" ht="22.5" customHeight="1">
      <c r="A21" s="269">
        <v>46218.73558474537</v>
      </c>
      <c r="B21" s="270" t="s">
        <v>3956</v>
      </c>
      <c r="C21" s="270" t="s">
        <v>3705</v>
      </c>
      <c r="D21" s="274" t="s">
        <v>3016</v>
      </c>
      <c r="E21" s="285">
        <v>2.0194246E7</v>
      </c>
      <c r="F21" s="270" t="s">
        <v>3017</v>
      </c>
      <c r="G21" s="286" t="s">
        <v>3957</v>
      </c>
      <c r="H21" s="287" t="s">
        <v>3958</v>
      </c>
      <c r="I21" s="271"/>
      <c r="J21" s="271"/>
      <c r="K21" s="271"/>
      <c r="L21" s="271"/>
      <c r="M21" s="271"/>
      <c r="N21" s="288"/>
      <c r="O21" s="271"/>
      <c r="P21" s="271"/>
      <c r="Q21" s="273"/>
      <c r="R21" s="278" t="b">
        <v>0</v>
      </c>
      <c r="S21" s="271"/>
      <c r="T21" s="279"/>
      <c r="U21" s="280"/>
      <c r="V21" s="266"/>
      <c r="W21" s="266"/>
      <c r="X21" s="266"/>
      <c r="Y21" s="266"/>
      <c r="Z21" s="267"/>
      <c r="AA21" s="266"/>
      <c r="AB21" s="125"/>
      <c r="AC21" s="125"/>
      <c r="AD21" s="125"/>
      <c r="AE21" s="125"/>
      <c r="AF21" s="125"/>
    </row>
    <row r="22" ht="22.5" customHeight="1">
      <c r="A22" s="253">
        <v>46218.76591606482</v>
      </c>
      <c r="B22" s="254" t="s">
        <v>3959</v>
      </c>
      <c r="C22" s="254" t="s">
        <v>3374</v>
      </c>
      <c r="D22" s="255"/>
      <c r="E22" s="256"/>
      <c r="F22" s="257"/>
      <c r="G22" s="257"/>
      <c r="H22" s="257"/>
      <c r="I22" s="258" t="s">
        <v>3960</v>
      </c>
      <c r="J22" s="258" t="s">
        <v>3959</v>
      </c>
      <c r="K22" s="259" t="s">
        <v>3961</v>
      </c>
      <c r="L22" s="260">
        <v>2.0</v>
      </c>
      <c r="M22" s="258" t="s">
        <v>3962</v>
      </c>
      <c r="N22" s="262" t="s">
        <v>3963</v>
      </c>
      <c r="O22" s="255"/>
      <c r="P22" s="255"/>
      <c r="Q22" s="257"/>
      <c r="R22" s="263" t="b">
        <v>0</v>
      </c>
      <c r="S22" s="255"/>
      <c r="T22" s="264"/>
      <c r="U22" s="265"/>
      <c r="V22" s="266"/>
      <c r="W22" s="266"/>
      <c r="X22" s="266"/>
      <c r="Y22" s="266"/>
      <c r="Z22" s="267"/>
      <c r="AA22" s="266"/>
      <c r="AB22" s="125"/>
      <c r="AC22" s="125"/>
      <c r="AD22" s="125"/>
      <c r="AE22" s="125"/>
      <c r="AF22" s="125"/>
    </row>
    <row r="23" ht="22.5" customHeight="1">
      <c r="A23" s="269">
        <v>46218.84287474537</v>
      </c>
      <c r="B23" s="270" t="s">
        <v>3964</v>
      </c>
      <c r="C23" s="270" t="s">
        <v>3374</v>
      </c>
      <c r="D23" s="271"/>
      <c r="E23" s="272"/>
      <c r="F23" s="273"/>
      <c r="G23" s="273"/>
      <c r="H23" s="273"/>
      <c r="I23" s="274" t="s">
        <v>1613</v>
      </c>
      <c r="J23" s="274" t="s">
        <v>3965</v>
      </c>
      <c r="K23" s="275" t="s">
        <v>3966</v>
      </c>
      <c r="L23" s="289">
        <v>2.0</v>
      </c>
      <c r="M23" s="290" t="s">
        <v>3967</v>
      </c>
      <c r="N23" s="277" t="s">
        <v>3968</v>
      </c>
      <c r="O23" s="274" t="s">
        <v>3438</v>
      </c>
      <c r="P23" s="271"/>
      <c r="Q23" s="273"/>
      <c r="R23" s="278" t="b">
        <v>0</v>
      </c>
      <c r="S23" s="271"/>
      <c r="T23" s="279"/>
      <c r="U23" s="280"/>
      <c r="V23" s="266"/>
      <c r="W23" s="266"/>
      <c r="X23" s="266"/>
      <c r="Y23" s="266"/>
      <c r="Z23" s="267"/>
      <c r="AA23" s="268"/>
      <c r="AB23" s="125"/>
      <c r="AC23" s="125"/>
      <c r="AD23" s="125"/>
      <c r="AE23" s="125"/>
      <c r="AF23" s="125"/>
    </row>
    <row r="24" ht="22.5" customHeight="1">
      <c r="A24" s="253">
        <v>46218.86585028935</v>
      </c>
      <c r="B24" s="254" t="s">
        <v>3969</v>
      </c>
      <c r="C24" s="254" t="s">
        <v>3705</v>
      </c>
      <c r="D24" s="258" t="s">
        <v>2139</v>
      </c>
      <c r="E24" s="281">
        <v>2.0220047E7</v>
      </c>
      <c r="F24" s="254" t="s">
        <v>3969</v>
      </c>
      <c r="G24" s="282" t="s">
        <v>3970</v>
      </c>
      <c r="H24" s="283" t="s">
        <v>3971</v>
      </c>
      <c r="I24" s="255"/>
      <c r="J24" s="255"/>
      <c r="K24" s="255"/>
      <c r="L24" s="255"/>
      <c r="M24" s="255"/>
      <c r="N24" s="284"/>
      <c r="O24" s="258" t="s">
        <v>3445</v>
      </c>
      <c r="P24" s="255"/>
      <c r="Q24" s="255"/>
      <c r="R24" s="291" t="b">
        <v>0</v>
      </c>
      <c r="S24" s="255"/>
      <c r="T24" s="264"/>
      <c r="U24" s="265"/>
      <c r="V24" s="266"/>
      <c r="W24" s="266"/>
      <c r="X24" s="266"/>
      <c r="Y24" s="266"/>
      <c r="Z24" s="267"/>
      <c r="AA24" s="266"/>
      <c r="AB24" s="125"/>
      <c r="AC24" s="125"/>
      <c r="AD24" s="125"/>
      <c r="AE24" s="125"/>
      <c r="AF24" s="125"/>
    </row>
    <row r="25" ht="22.5" customHeight="1">
      <c r="A25" s="269">
        <v>46218.86934506944</v>
      </c>
      <c r="B25" s="270" t="s">
        <v>3972</v>
      </c>
      <c r="C25" s="270" t="s">
        <v>3705</v>
      </c>
      <c r="D25" s="274" t="s">
        <v>2365</v>
      </c>
      <c r="E25" s="285">
        <v>2.0225656E7</v>
      </c>
      <c r="F25" s="270" t="s">
        <v>3973</v>
      </c>
      <c r="G25" s="286" t="s">
        <v>3974</v>
      </c>
      <c r="H25" s="287" t="s">
        <v>3975</v>
      </c>
      <c r="I25" s="271"/>
      <c r="J25" s="271"/>
      <c r="K25" s="271"/>
      <c r="L25" s="271"/>
      <c r="M25" s="271"/>
      <c r="N25" s="288"/>
      <c r="O25" s="271"/>
      <c r="P25" s="271"/>
      <c r="Q25" s="273"/>
      <c r="R25" s="278" t="b">
        <v>0</v>
      </c>
      <c r="S25" s="271"/>
      <c r="T25" s="279"/>
      <c r="U25" s="280"/>
      <c r="V25" s="266"/>
      <c r="W25" s="266"/>
      <c r="X25" s="266"/>
      <c r="Y25" s="266"/>
      <c r="Z25" s="267"/>
      <c r="AA25" s="266"/>
      <c r="AB25" s="125"/>
      <c r="AC25" s="125"/>
      <c r="AD25" s="125"/>
      <c r="AE25" s="125"/>
      <c r="AF25" s="125"/>
    </row>
    <row r="26" ht="22.5" customHeight="1">
      <c r="A26" s="253">
        <v>46218.875138449075</v>
      </c>
      <c r="B26" s="254" t="s">
        <v>3976</v>
      </c>
      <c r="C26" s="254" t="s">
        <v>3705</v>
      </c>
      <c r="D26" s="258" t="s">
        <v>2900</v>
      </c>
      <c r="E26" s="281">
        <v>2.0225412E7</v>
      </c>
      <c r="F26" s="254" t="s">
        <v>3977</v>
      </c>
      <c r="G26" s="282" t="s">
        <v>3978</v>
      </c>
      <c r="H26" s="283" t="s">
        <v>3979</v>
      </c>
      <c r="I26" s="255"/>
      <c r="J26" s="255"/>
      <c r="K26" s="255"/>
      <c r="L26" s="255"/>
      <c r="M26" s="255"/>
      <c r="N26" s="284"/>
      <c r="O26" s="258" t="s">
        <v>3438</v>
      </c>
      <c r="P26" s="255"/>
      <c r="Q26" s="255"/>
      <c r="R26" s="263" t="b">
        <v>0</v>
      </c>
      <c r="S26" s="255"/>
      <c r="T26" s="264"/>
      <c r="U26" s="265"/>
      <c r="V26" s="266"/>
      <c r="W26" s="266"/>
      <c r="X26" s="266"/>
      <c r="Y26" s="266"/>
      <c r="Z26" s="267"/>
      <c r="AA26" s="266"/>
      <c r="AB26" s="125"/>
      <c r="AC26" s="125"/>
      <c r="AD26" s="125"/>
      <c r="AE26" s="125"/>
      <c r="AF26" s="125"/>
    </row>
    <row r="27" ht="22.5" customHeight="1">
      <c r="A27" s="269">
        <v>46218.876044606484</v>
      </c>
      <c r="B27" s="270" t="s">
        <v>3980</v>
      </c>
      <c r="C27" s="270" t="s">
        <v>3705</v>
      </c>
      <c r="D27" s="274" t="s">
        <v>3338</v>
      </c>
      <c r="E27" s="285">
        <v>2.0224962E7</v>
      </c>
      <c r="F27" s="270" t="s">
        <v>3981</v>
      </c>
      <c r="G27" s="286" t="s">
        <v>3982</v>
      </c>
      <c r="H27" s="287" t="s">
        <v>3983</v>
      </c>
      <c r="I27" s="271"/>
      <c r="J27" s="271"/>
      <c r="K27" s="271"/>
      <c r="L27" s="271"/>
      <c r="M27" s="271"/>
      <c r="N27" s="288"/>
      <c r="O27" s="274" t="s">
        <v>3445</v>
      </c>
      <c r="P27" s="271"/>
      <c r="Q27" s="273"/>
      <c r="R27" s="278" t="b">
        <v>0</v>
      </c>
      <c r="S27" s="271"/>
      <c r="T27" s="279"/>
      <c r="U27" s="280"/>
      <c r="V27" s="266"/>
      <c r="W27" s="266"/>
      <c r="X27" s="266"/>
      <c r="Y27" s="266"/>
      <c r="Z27" s="267"/>
      <c r="AA27" s="266"/>
      <c r="AB27" s="125"/>
      <c r="AC27" s="125"/>
      <c r="AD27" s="125"/>
      <c r="AE27" s="125"/>
      <c r="AF27" s="125"/>
    </row>
    <row r="28" ht="22.5" customHeight="1">
      <c r="A28" s="253">
        <v>46218.89805877315</v>
      </c>
      <c r="B28" s="254" t="s">
        <v>3984</v>
      </c>
      <c r="C28" s="254" t="s">
        <v>3705</v>
      </c>
      <c r="D28" s="258" t="s">
        <v>2317</v>
      </c>
      <c r="E28" s="281">
        <v>2.0225223E7</v>
      </c>
      <c r="F28" s="254" t="s">
        <v>3984</v>
      </c>
      <c r="G28" s="282" t="s">
        <v>3985</v>
      </c>
      <c r="H28" s="283" t="s">
        <v>3986</v>
      </c>
      <c r="I28" s="255"/>
      <c r="J28" s="255"/>
      <c r="K28" s="255"/>
      <c r="L28" s="255"/>
      <c r="M28" s="255"/>
      <c r="N28" s="284"/>
      <c r="O28" s="258" t="s">
        <v>3438</v>
      </c>
      <c r="P28" s="255"/>
      <c r="Q28" s="255"/>
      <c r="R28" s="291" t="b">
        <v>0</v>
      </c>
      <c r="S28" s="255"/>
      <c r="T28" s="264"/>
      <c r="U28" s="265"/>
      <c r="V28" s="266"/>
      <c r="W28" s="266"/>
      <c r="X28" s="266"/>
      <c r="Y28" s="266"/>
      <c r="Z28" s="267"/>
      <c r="AA28" s="266"/>
      <c r="AB28" s="125"/>
      <c r="AC28" s="125"/>
      <c r="AD28" s="125"/>
      <c r="AE28" s="125"/>
      <c r="AF28" s="125"/>
    </row>
    <row r="29" ht="22.5" customHeight="1">
      <c r="A29" s="269">
        <v>46218.9058658912</v>
      </c>
      <c r="B29" s="270" t="s">
        <v>3897</v>
      </c>
      <c r="C29" s="270" t="s">
        <v>3705</v>
      </c>
      <c r="D29" s="274" t="s">
        <v>3987</v>
      </c>
      <c r="E29" s="292" t="s">
        <v>3988</v>
      </c>
      <c r="F29" s="270" t="s">
        <v>3989</v>
      </c>
      <c r="G29" s="270" t="s">
        <v>3988</v>
      </c>
      <c r="H29" s="287" t="s">
        <v>3990</v>
      </c>
      <c r="I29" s="271"/>
      <c r="J29" s="271"/>
      <c r="K29" s="271"/>
      <c r="L29" s="271"/>
      <c r="M29" s="271"/>
      <c r="N29" s="288"/>
      <c r="O29" s="271"/>
      <c r="P29" s="271"/>
      <c r="Q29" s="273"/>
      <c r="R29" s="278" t="b">
        <v>0</v>
      </c>
      <c r="S29" s="271"/>
      <c r="T29" s="279"/>
      <c r="U29" s="280"/>
      <c r="V29" s="266"/>
      <c r="W29" s="266"/>
      <c r="X29" s="266"/>
      <c r="Y29" s="266"/>
      <c r="Z29" s="267"/>
      <c r="AA29" s="266"/>
      <c r="AB29" s="125"/>
      <c r="AC29" s="125"/>
      <c r="AD29" s="125"/>
      <c r="AE29" s="125"/>
      <c r="AF29" s="125"/>
    </row>
    <row r="30" ht="22.5" customHeight="1">
      <c r="A30" s="293">
        <v>46218.95883101852</v>
      </c>
      <c r="B30" s="294" t="s">
        <v>3991</v>
      </c>
      <c r="C30" s="294" t="s">
        <v>3705</v>
      </c>
      <c r="D30" s="294" t="s">
        <v>2569</v>
      </c>
      <c r="E30" s="295" t="s">
        <v>574</v>
      </c>
      <c r="F30" s="294" t="s">
        <v>3991</v>
      </c>
      <c r="G30" s="294">
        <v>3.27247685E8</v>
      </c>
      <c r="H30" s="296" t="s">
        <v>3992</v>
      </c>
      <c r="I30" s="297"/>
      <c r="J30" s="297"/>
      <c r="K30" s="297"/>
      <c r="L30" s="297"/>
      <c r="M30" s="297"/>
      <c r="N30" s="298"/>
      <c r="O30" s="294" t="s">
        <v>3445</v>
      </c>
      <c r="P30" s="297"/>
      <c r="Q30" s="299"/>
      <c r="R30" s="300" t="b">
        <v>0</v>
      </c>
      <c r="S30" s="297"/>
      <c r="T30" s="301"/>
      <c r="U30" s="302"/>
      <c r="V30" s="266"/>
      <c r="W30" s="266"/>
      <c r="X30" s="266"/>
      <c r="Y30" s="266"/>
      <c r="Z30" s="267"/>
      <c r="AA30" s="266"/>
      <c r="AB30" s="125"/>
      <c r="AC30" s="125"/>
      <c r="AD30" s="125"/>
      <c r="AE30" s="125"/>
      <c r="AF30" s="125"/>
    </row>
    <row r="31" ht="22.5" customHeight="1">
      <c r="A31" s="303">
        <v>46219.58224537037</v>
      </c>
      <c r="B31" s="304" t="s">
        <v>3993</v>
      </c>
      <c r="C31" s="304" t="s">
        <v>3705</v>
      </c>
      <c r="D31" s="304" t="s">
        <v>2418</v>
      </c>
      <c r="E31" s="305" t="s">
        <v>579</v>
      </c>
      <c r="F31" s="304" t="s">
        <v>3993</v>
      </c>
      <c r="G31" s="304">
        <v>3.73869042E8</v>
      </c>
      <c r="H31" s="306" t="s">
        <v>3994</v>
      </c>
      <c r="I31" s="304"/>
      <c r="J31" s="304"/>
      <c r="K31" s="304"/>
      <c r="L31" s="304"/>
      <c r="M31" s="304"/>
      <c r="N31" s="307"/>
      <c r="O31" s="304" t="s">
        <v>76</v>
      </c>
      <c r="P31" s="306" t="s">
        <v>3995</v>
      </c>
      <c r="Q31" s="304" t="s">
        <v>3996</v>
      </c>
      <c r="R31" s="304" t="b">
        <v>0</v>
      </c>
      <c r="S31" s="304"/>
      <c r="T31" s="308"/>
      <c r="U31" s="309"/>
      <c r="V31" s="309"/>
      <c r="W31" s="309"/>
      <c r="X31" s="309"/>
      <c r="Y31" s="309"/>
      <c r="Z31" s="310"/>
      <c r="AA31" s="309"/>
      <c r="AB31" s="125"/>
      <c r="AC31" s="125"/>
      <c r="AD31" s="125"/>
      <c r="AE31" s="125"/>
      <c r="AF31" s="125"/>
    </row>
    <row r="32" ht="22.5" customHeight="1">
      <c r="A32" s="303">
        <v>46219.66322916667</v>
      </c>
      <c r="B32" s="304" t="s">
        <v>3997</v>
      </c>
      <c r="C32" s="304" t="s">
        <v>3705</v>
      </c>
      <c r="D32" s="304" t="s">
        <v>905</v>
      </c>
      <c r="E32" s="305" t="s">
        <v>464</v>
      </c>
      <c r="F32" s="304" t="s">
        <v>3997</v>
      </c>
      <c r="G32" s="304">
        <v>9.04299961E8</v>
      </c>
      <c r="H32" s="306" t="s">
        <v>3998</v>
      </c>
      <c r="I32" s="304"/>
      <c r="J32" s="304"/>
      <c r="K32" s="304"/>
      <c r="L32" s="304"/>
      <c r="M32" s="304"/>
      <c r="N32" s="307"/>
      <c r="O32" s="304"/>
      <c r="P32" s="304"/>
      <c r="Q32" s="309"/>
      <c r="R32" s="304" t="b">
        <v>0</v>
      </c>
      <c r="S32" s="304"/>
      <c r="T32" s="308"/>
      <c r="U32" s="309"/>
      <c r="V32" s="309"/>
      <c r="W32" s="309"/>
      <c r="X32" s="309"/>
      <c r="Y32" s="309"/>
      <c r="Z32" s="310"/>
      <c r="AA32" s="309"/>
      <c r="AB32" s="125"/>
      <c r="AC32" s="125"/>
      <c r="AD32" s="125"/>
      <c r="AE32" s="125"/>
      <c r="AF32" s="125"/>
    </row>
    <row r="33" ht="22.5" customHeight="1">
      <c r="A33" s="311">
        <v>46219.68423611111</v>
      </c>
      <c r="B33" s="312" t="s">
        <v>3999</v>
      </c>
      <c r="C33" s="312" t="s">
        <v>3705</v>
      </c>
      <c r="D33" s="312" t="s">
        <v>1539</v>
      </c>
      <c r="E33" s="313" t="s">
        <v>465</v>
      </c>
      <c r="F33" s="312" t="s">
        <v>3999</v>
      </c>
      <c r="G33" s="312">
        <v>9.04410262E8</v>
      </c>
      <c r="H33" s="314" t="s">
        <v>4000</v>
      </c>
      <c r="I33" s="312"/>
      <c r="J33" s="312"/>
      <c r="K33" s="312"/>
      <c r="L33" s="312"/>
      <c r="M33" s="312"/>
      <c r="N33" s="315"/>
      <c r="O33" s="312"/>
      <c r="P33" s="312"/>
      <c r="R33" s="312" t="b">
        <v>0</v>
      </c>
      <c r="S33" s="312"/>
      <c r="T33" s="316"/>
      <c r="Z33" s="317"/>
    </row>
    <row r="34" ht="22.5" customHeight="1">
      <c r="A34" s="311">
        <v>46219.75366898148</v>
      </c>
      <c r="B34" s="312" t="s">
        <v>4001</v>
      </c>
      <c r="C34" s="312" t="s">
        <v>3705</v>
      </c>
      <c r="D34" s="312" t="s">
        <v>1175</v>
      </c>
      <c r="E34" s="313" t="s">
        <v>72</v>
      </c>
      <c r="F34" s="312" t="s">
        <v>4001</v>
      </c>
      <c r="G34" s="312">
        <v>3.72521619E8</v>
      </c>
      <c r="H34" s="314" t="s">
        <v>4002</v>
      </c>
      <c r="I34" s="312"/>
      <c r="J34" s="312"/>
      <c r="K34" s="312"/>
      <c r="L34" s="312"/>
      <c r="M34" s="312"/>
      <c r="N34" s="315"/>
      <c r="O34" s="312" t="s">
        <v>76</v>
      </c>
      <c r="P34" s="314" t="s">
        <v>4003</v>
      </c>
      <c r="Q34" s="312" t="s">
        <v>4004</v>
      </c>
      <c r="R34" s="312" t="b">
        <v>0</v>
      </c>
      <c r="S34" s="312"/>
      <c r="T34" s="316"/>
      <c r="Z34" s="317"/>
    </row>
    <row r="35" ht="22.5" customHeight="1">
      <c r="A35" s="311">
        <v>46219.771516203706</v>
      </c>
      <c r="B35" s="312" t="s">
        <v>4005</v>
      </c>
      <c r="C35" s="312" t="s">
        <v>3705</v>
      </c>
      <c r="D35" s="312" t="s">
        <v>2571</v>
      </c>
      <c r="E35" s="313" t="s">
        <v>577</v>
      </c>
      <c r="F35" s="312" t="s">
        <v>4005</v>
      </c>
      <c r="G35" s="312">
        <v>3.66532881E8</v>
      </c>
      <c r="H35" s="314" t="s">
        <v>4006</v>
      </c>
      <c r="I35" s="312"/>
      <c r="J35" s="312"/>
      <c r="K35" s="312"/>
      <c r="L35" s="312"/>
      <c r="M35" s="312"/>
      <c r="N35" s="315"/>
      <c r="O35" s="312" t="s">
        <v>3373</v>
      </c>
      <c r="P35" s="312"/>
      <c r="R35" s="312" t="b">
        <v>0</v>
      </c>
      <c r="S35" s="312"/>
      <c r="T35" s="316"/>
      <c r="Z35" s="317"/>
    </row>
    <row r="36" ht="22.5" customHeight="1">
      <c r="A36" s="311">
        <v>46219.78739583334</v>
      </c>
      <c r="B36" s="312" t="s">
        <v>4007</v>
      </c>
      <c r="C36" s="312" t="s">
        <v>3705</v>
      </c>
      <c r="D36" s="312" t="s">
        <v>3217</v>
      </c>
      <c r="E36" s="313" t="s">
        <v>578</v>
      </c>
      <c r="F36" s="312" t="s">
        <v>4008</v>
      </c>
      <c r="G36" s="312">
        <v>3.52210059E8</v>
      </c>
      <c r="H36" s="314" t="s">
        <v>4009</v>
      </c>
      <c r="I36" s="312"/>
      <c r="J36" s="312"/>
      <c r="K36" s="312"/>
      <c r="L36" s="312"/>
      <c r="M36" s="312"/>
      <c r="N36" s="315"/>
      <c r="O36" s="312" t="s">
        <v>3870</v>
      </c>
      <c r="P36" s="312"/>
      <c r="R36" s="312" t="b">
        <v>0</v>
      </c>
      <c r="S36" s="312"/>
      <c r="T36" s="316"/>
      <c r="Z36" s="317"/>
    </row>
    <row r="37" ht="22.5" customHeight="1">
      <c r="A37" s="311">
        <v>46219.85741898148</v>
      </c>
      <c r="B37" s="312" t="s">
        <v>4010</v>
      </c>
      <c r="C37" s="312" t="s">
        <v>3374</v>
      </c>
      <c r="D37" s="312"/>
      <c r="E37" s="318"/>
      <c r="I37" s="312" t="s">
        <v>1029</v>
      </c>
      <c r="J37" s="312" t="s">
        <v>1030</v>
      </c>
      <c r="K37" s="312">
        <v>9.83039718E8</v>
      </c>
      <c r="L37" s="312">
        <v>2.0</v>
      </c>
      <c r="M37" s="312" t="s">
        <v>4011</v>
      </c>
      <c r="N37" s="319" t="s">
        <v>4012</v>
      </c>
      <c r="O37" s="312" t="s">
        <v>3408</v>
      </c>
      <c r="P37" s="312"/>
      <c r="R37" s="312" t="b">
        <v>0</v>
      </c>
      <c r="S37" s="312"/>
      <c r="T37" s="316"/>
      <c r="Z37" s="317"/>
    </row>
    <row r="38" ht="22.5" customHeight="1">
      <c r="A38" s="311">
        <v>46219.96525462963</v>
      </c>
      <c r="B38" s="312" t="s">
        <v>75</v>
      </c>
      <c r="C38" s="312" t="s">
        <v>3705</v>
      </c>
      <c r="D38" s="312" t="s">
        <v>74</v>
      </c>
      <c r="E38" s="313" t="s">
        <v>2292</v>
      </c>
      <c r="F38" s="312" t="s">
        <v>75</v>
      </c>
      <c r="G38" s="312">
        <v>9.7665064E8</v>
      </c>
      <c r="H38" s="314" t="s">
        <v>4013</v>
      </c>
      <c r="I38" s="312"/>
      <c r="J38" s="312"/>
      <c r="K38" s="312"/>
      <c r="L38" s="312"/>
      <c r="M38" s="312"/>
      <c r="N38" s="315"/>
      <c r="O38" s="312" t="s">
        <v>76</v>
      </c>
      <c r="P38" s="312"/>
      <c r="Q38" s="312"/>
      <c r="R38" s="312"/>
      <c r="S38" s="312"/>
      <c r="T38" s="316"/>
      <c r="U38" s="312"/>
      <c r="V38" s="312"/>
      <c r="Z38" s="317"/>
    </row>
    <row r="39" ht="22.5" customHeight="1">
      <c r="A39" s="311"/>
      <c r="D39" s="312"/>
      <c r="E39" s="318"/>
      <c r="I39" s="312"/>
      <c r="J39" s="312"/>
      <c r="K39" s="312"/>
      <c r="L39" s="312"/>
      <c r="M39" s="312"/>
      <c r="N39" s="315"/>
      <c r="O39" s="312"/>
      <c r="P39" s="312"/>
      <c r="T39" s="316"/>
      <c r="Z39" s="317"/>
    </row>
    <row r="40" ht="22.5" customHeight="1">
      <c r="A40" s="311"/>
      <c r="D40" s="312"/>
      <c r="E40" s="318"/>
      <c r="I40" s="312"/>
      <c r="J40" s="312"/>
      <c r="K40" s="312"/>
      <c r="L40" s="312"/>
      <c r="M40" s="312"/>
      <c r="N40" s="315"/>
      <c r="O40" s="312"/>
      <c r="P40" s="312"/>
      <c r="Q40" s="312"/>
      <c r="R40" s="312"/>
      <c r="S40" s="312"/>
      <c r="T40" s="316"/>
      <c r="U40" s="312"/>
      <c r="V40" s="312"/>
      <c r="W40" s="320"/>
      <c r="Z40" s="317"/>
    </row>
    <row r="41" ht="22.5" customHeight="1">
      <c r="A41" s="311"/>
      <c r="D41" s="312"/>
      <c r="E41" s="318"/>
      <c r="I41" s="312"/>
      <c r="J41" s="312"/>
      <c r="K41" s="312"/>
      <c r="L41" s="312"/>
      <c r="M41" s="312"/>
      <c r="N41" s="315"/>
      <c r="O41" s="312"/>
      <c r="P41" s="312"/>
      <c r="Q41" s="321"/>
      <c r="R41" s="312"/>
      <c r="S41" s="312"/>
      <c r="T41" s="316"/>
      <c r="Z41" s="317"/>
    </row>
    <row r="42" ht="22.5" customHeight="1">
      <c r="A42" s="311"/>
      <c r="D42" s="312"/>
      <c r="E42" s="318"/>
      <c r="I42" s="312"/>
      <c r="J42" s="312"/>
      <c r="K42" s="312"/>
      <c r="L42" s="312"/>
      <c r="M42" s="312"/>
      <c r="N42" s="315"/>
      <c r="O42" s="312"/>
      <c r="P42" s="312"/>
      <c r="S42" s="312"/>
      <c r="T42" s="316"/>
      <c r="Z42" s="317"/>
    </row>
    <row r="43" ht="22.5" customHeight="1">
      <c r="A43" s="311"/>
      <c r="D43" s="312"/>
      <c r="E43" s="318"/>
      <c r="I43" s="312"/>
      <c r="J43" s="312"/>
      <c r="K43" s="312"/>
      <c r="L43" s="312"/>
      <c r="M43" s="312"/>
      <c r="N43" s="315"/>
      <c r="O43" s="312"/>
      <c r="P43" s="312"/>
      <c r="S43" s="312"/>
      <c r="T43" s="316"/>
      <c r="Z43" s="317"/>
    </row>
    <row r="44" ht="22.5" customHeight="1">
      <c r="A44" s="311"/>
      <c r="D44" s="312"/>
      <c r="E44" s="318"/>
      <c r="I44" s="312"/>
      <c r="J44" s="312"/>
      <c r="K44" s="312"/>
      <c r="L44" s="312"/>
      <c r="M44" s="312"/>
      <c r="N44" s="315"/>
      <c r="O44" s="312"/>
      <c r="P44" s="312"/>
      <c r="S44" s="312"/>
      <c r="T44" s="316"/>
      <c r="Z44" s="317"/>
    </row>
    <row r="45" ht="22.5" customHeight="1">
      <c r="A45" s="311"/>
      <c r="D45" s="312"/>
      <c r="E45" s="318"/>
      <c r="I45" s="312"/>
      <c r="J45" s="312"/>
      <c r="K45" s="312"/>
      <c r="L45" s="312"/>
      <c r="M45" s="312"/>
      <c r="N45" s="315"/>
      <c r="O45" s="312"/>
      <c r="P45" s="312"/>
      <c r="S45" s="312"/>
      <c r="T45" s="316"/>
      <c r="Z45" s="317"/>
    </row>
    <row r="46" ht="22.5" customHeight="1">
      <c r="A46" s="311"/>
      <c r="D46" s="312"/>
      <c r="E46" s="318"/>
      <c r="I46" s="312"/>
      <c r="J46" s="312"/>
      <c r="K46" s="312"/>
      <c r="L46" s="312"/>
      <c r="M46" s="312"/>
      <c r="N46" s="315"/>
      <c r="O46" s="312"/>
      <c r="P46" s="312"/>
      <c r="Q46" s="312"/>
      <c r="R46" s="312"/>
      <c r="S46" s="312"/>
      <c r="T46" s="316"/>
      <c r="Z46" s="317"/>
    </row>
    <row r="47" ht="22.5" customHeight="1">
      <c r="A47" s="311"/>
      <c r="D47" s="312"/>
      <c r="E47" s="318"/>
      <c r="I47" s="312"/>
      <c r="J47" s="312"/>
      <c r="K47" s="312"/>
      <c r="L47" s="312"/>
      <c r="M47" s="312"/>
      <c r="N47" s="315"/>
      <c r="O47" s="312"/>
      <c r="P47" s="312"/>
      <c r="Q47" s="320"/>
      <c r="R47" s="312"/>
      <c r="S47" s="312"/>
      <c r="T47" s="316"/>
      <c r="Z47" s="317"/>
    </row>
    <row r="48" ht="22.5" customHeight="1">
      <c r="A48" s="311"/>
      <c r="D48" s="312"/>
      <c r="E48" s="318"/>
      <c r="I48" s="312"/>
      <c r="J48" s="312"/>
      <c r="K48" s="312"/>
      <c r="L48" s="312"/>
      <c r="M48" s="312"/>
      <c r="N48" s="315"/>
      <c r="O48" s="312"/>
      <c r="P48" s="312"/>
      <c r="T48" s="322"/>
      <c r="Z48" s="317"/>
    </row>
    <row r="49" ht="22.5" customHeight="1">
      <c r="A49" s="311"/>
      <c r="D49" s="312"/>
      <c r="E49" s="318"/>
      <c r="I49" s="312"/>
      <c r="J49" s="312"/>
      <c r="K49" s="312"/>
      <c r="L49" s="312"/>
      <c r="M49" s="312"/>
      <c r="N49" s="315"/>
      <c r="O49" s="312"/>
      <c r="P49" s="312"/>
      <c r="S49" s="312"/>
      <c r="T49" s="322"/>
      <c r="Z49" s="317"/>
    </row>
    <row r="50" ht="22.5" customHeight="1">
      <c r="A50" s="311"/>
      <c r="D50" s="312"/>
      <c r="E50" s="318"/>
      <c r="I50" s="312"/>
      <c r="J50" s="312"/>
      <c r="K50" s="312"/>
      <c r="L50" s="312"/>
      <c r="M50" s="312"/>
      <c r="N50" s="315"/>
      <c r="O50" s="312"/>
      <c r="P50" s="312"/>
      <c r="S50" s="312"/>
      <c r="T50" s="322"/>
      <c r="Z50" s="317"/>
    </row>
    <row r="51" ht="22.5" customHeight="1">
      <c r="A51" s="311"/>
      <c r="D51" s="312"/>
      <c r="E51" s="318"/>
      <c r="I51" s="312"/>
      <c r="J51" s="312"/>
      <c r="K51" s="312"/>
      <c r="L51" s="312"/>
      <c r="M51" s="312"/>
      <c r="N51" s="315"/>
      <c r="O51" s="312"/>
      <c r="P51" s="312"/>
      <c r="Q51" s="320"/>
      <c r="R51" s="312"/>
      <c r="S51" s="312"/>
      <c r="T51" s="316"/>
      <c r="Z51" s="317"/>
    </row>
    <row r="52" ht="22.5" customHeight="1">
      <c r="A52" s="311"/>
      <c r="D52" s="312"/>
      <c r="E52" s="318"/>
      <c r="I52" s="312"/>
      <c r="J52" s="312"/>
      <c r="K52" s="312"/>
      <c r="L52" s="312"/>
      <c r="M52" s="312"/>
      <c r="N52" s="315"/>
      <c r="O52" s="312"/>
      <c r="P52" s="312"/>
      <c r="Q52" s="312"/>
      <c r="R52" s="312"/>
      <c r="S52" s="312"/>
      <c r="T52" s="316"/>
      <c r="Z52" s="317"/>
    </row>
    <row r="53" ht="22.5" customHeight="1">
      <c r="A53" s="311"/>
      <c r="D53" s="312"/>
      <c r="E53" s="318"/>
      <c r="I53" s="312"/>
      <c r="J53" s="312"/>
      <c r="K53" s="312"/>
      <c r="L53" s="312"/>
      <c r="M53" s="312"/>
      <c r="N53" s="315"/>
      <c r="O53" s="312"/>
      <c r="P53" s="312"/>
      <c r="Q53" s="320"/>
      <c r="R53" s="312"/>
      <c r="S53" s="312"/>
      <c r="T53" s="316"/>
      <c r="Z53" s="317"/>
    </row>
    <row r="54" ht="22.5" customHeight="1">
      <c r="A54" s="311"/>
      <c r="D54" s="312"/>
      <c r="E54" s="318"/>
      <c r="I54" s="312"/>
      <c r="J54" s="312"/>
      <c r="K54" s="312"/>
      <c r="L54" s="312"/>
      <c r="M54" s="312"/>
      <c r="N54" s="315"/>
      <c r="O54" s="312"/>
      <c r="P54" s="312"/>
      <c r="S54" s="312"/>
      <c r="T54" s="322"/>
      <c r="Z54" s="317"/>
    </row>
    <row r="55" ht="22.5" customHeight="1">
      <c r="A55" s="311"/>
      <c r="D55" s="312"/>
      <c r="E55" s="318"/>
      <c r="I55" s="312"/>
      <c r="J55" s="312"/>
      <c r="K55" s="312"/>
      <c r="L55" s="312"/>
      <c r="M55" s="312"/>
      <c r="N55" s="315"/>
      <c r="O55" s="312"/>
      <c r="P55" s="312"/>
      <c r="S55" s="312"/>
      <c r="T55" s="322"/>
      <c r="Z55" s="317"/>
    </row>
    <row r="56" ht="22.5" customHeight="1">
      <c r="A56" s="311"/>
      <c r="D56" s="312"/>
      <c r="E56" s="318"/>
      <c r="I56" s="312"/>
      <c r="J56" s="312"/>
      <c r="K56" s="312"/>
      <c r="L56" s="312"/>
      <c r="M56" s="312"/>
      <c r="N56" s="315"/>
      <c r="O56" s="312"/>
      <c r="P56" s="312"/>
      <c r="T56" s="322"/>
      <c r="Z56" s="317"/>
    </row>
    <row r="57" ht="22.5" customHeight="1">
      <c r="A57" s="311"/>
      <c r="D57" s="312"/>
      <c r="E57" s="318"/>
      <c r="I57" s="312"/>
      <c r="J57" s="312"/>
      <c r="K57" s="312"/>
      <c r="L57" s="312"/>
      <c r="M57" s="312"/>
      <c r="N57" s="315"/>
      <c r="O57" s="312"/>
      <c r="P57" s="312"/>
      <c r="S57" s="312"/>
      <c r="T57" s="322"/>
      <c r="Z57" s="317"/>
    </row>
    <row r="58" ht="22.5" customHeight="1">
      <c r="A58" s="311"/>
      <c r="D58" s="312"/>
      <c r="E58" s="318"/>
      <c r="I58" s="312"/>
      <c r="J58" s="312"/>
      <c r="K58" s="312"/>
      <c r="L58" s="312"/>
      <c r="M58" s="312"/>
      <c r="N58" s="315"/>
      <c r="O58" s="312"/>
      <c r="P58" s="312"/>
      <c r="Q58" s="312"/>
      <c r="R58" s="312"/>
      <c r="S58" s="312"/>
      <c r="T58" s="316"/>
      <c r="Z58" s="317"/>
    </row>
    <row r="59" ht="22.5" customHeight="1">
      <c r="A59" s="311"/>
      <c r="D59" s="312"/>
      <c r="E59" s="318"/>
      <c r="I59" s="312"/>
      <c r="J59" s="312"/>
      <c r="K59" s="312"/>
      <c r="L59" s="312"/>
      <c r="M59" s="312"/>
      <c r="N59" s="315"/>
      <c r="O59" s="312"/>
      <c r="P59" s="312"/>
      <c r="S59" s="312"/>
      <c r="T59" s="322"/>
      <c r="Z59" s="317"/>
    </row>
    <row r="60" ht="22.5" customHeight="1">
      <c r="A60" s="311"/>
      <c r="D60" s="312"/>
      <c r="E60" s="318"/>
      <c r="I60" s="312"/>
      <c r="J60" s="312"/>
      <c r="K60" s="312"/>
      <c r="L60" s="312"/>
      <c r="M60" s="312"/>
      <c r="N60" s="315"/>
      <c r="O60" s="312"/>
      <c r="P60" s="312"/>
      <c r="Q60" s="320"/>
      <c r="R60" s="312"/>
      <c r="S60" s="312"/>
      <c r="T60" s="316"/>
      <c r="Z60" s="317"/>
    </row>
    <row r="61" ht="99.0" customHeight="1">
      <c r="A61" s="311"/>
      <c r="D61" s="312"/>
      <c r="E61" s="318"/>
      <c r="I61" s="312"/>
      <c r="J61" s="312"/>
      <c r="K61" s="312"/>
      <c r="L61" s="312"/>
      <c r="M61" s="312"/>
      <c r="N61" s="315"/>
      <c r="O61" s="312"/>
      <c r="P61" s="312"/>
      <c r="Q61" s="320"/>
      <c r="S61" s="312"/>
      <c r="T61" s="316"/>
      <c r="Z61" s="317"/>
    </row>
    <row r="62" ht="22.5" customHeight="1">
      <c r="A62" s="311"/>
      <c r="D62" s="312"/>
      <c r="E62" s="318"/>
      <c r="I62" s="312"/>
      <c r="J62" s="312"/>
      <c r="K62" s="312"/>
      <c r="L62" s="312"/>
      <c r="M62" s="312"/>
      <c r="N62" s="315"/>
      <c r="O62" s="312"/>
      <c r="P62" s="312"/>
      <c r="S62" s="312"/>
      <c r="T62" s="322"/>
      <c r="U62" s="312"/>
      <c r="V62" s="312"/>
      <c r="W62" s="312"/>
      <c r="Z62" s="317"/>
    </row>
    <row r="63" ht="22.5" customHeight="1">
      <c r="A63" s="311"/>
      <c r="D63" s="312"/>
      <c r="E63" s="318"/>
      <c r="I63" s="312"/>
      <c r="J63" s="312"/>
      <c r="K63" s="312"/>
      <c r="L63" s="312"/>
      <c r="M63" s="312"/>
      <c r="N63" s="315"/>
      <c r="O63" s="312"/>
      <c r="P63" s="312"/>
      <c r="R63" s="312"/>
      <c r="S63" s="312"/>
      <c r="T63" s="322"/>
      <c r="Z63" s="317"/>
    </row>
    <row r="64" ht="22.5" customHeight="1">
      <c r="A64" s="311"/>
      <c r="D64" s="312"/>
      <c r="E64" s="318"/>
      <c r="I64" s="312"/>
      <c r="J64" s="312"/>
      <c r="K64" s="312"/>
      <c r="L64" s="312"/>
      <c r="M64" s="312"/>
      <c r="N64" s="315"/>
      <c r="O64" s="312"/>
      <c r="P64" s="312"/>
      <c r="S64" s="312"/>
      <c r="T64" s="322"/>
      <c r="Z64" s="317"/>
    </row>
    <row r="65" ht="22.5" customHeight="1">
      <c r="A65" s="311"/>
      <c r="D65" s="312"/>
      <c r="E65" s="318"/>
      <c r="I65" s="312"/>
      <c r="J65" s="312"/>
      <c r="K65" s="312"/>
      <c r="L65" s="312"/>
      <c r="M65" s="312"/>
      <c r="N65" s="315"/>
      <c r="O65" s="312"/>
      <c r="P65" s="312"/>
      <c r="S65" s="312"/>
      <c r="T65" s="322"/>
      <c r="Z65" s="317"/>
    </row>
    <row r="66" ht="22.5" customHeight="1">
      <c r="A66" s="311"/>
      <c r="D66" s="312"/>
      <c r="E66" s="318"/>
      <c r="I66" s="312"/>
      <c r="J66" s="312"/>
      <c r="K66" s="312"/>
      <c r="L66" s="312"/>
      <c r="M66" s="312"/>
      <c r="N66" s="315"/>
      <c r="O66" s="312"/>
      <c r="P66" s="312"/>
      <c r="R66" s="312"/>
      <c r="S66" s="312"/>
      <c r="T66" s="322"/>
      <c r="Z66" s="317"/>
    </row>
    <row r="67" ht="22.5" customHeight="1">
      <c r="A67" s="311"/>
      <c r="D67" s="312"/>
      <c r="E67" s="318"/>
      <c r="I67" s="312"/>
      <c r="J67" s="312"/>
      <c r="K67" s="312"/>
      <c r="L67" s="312"/>
      <c r="M67" s="312"/>
      <c r="N67" s="315"/>
      <c r="O67" s="312"/>
      <c r="P67" s="312"/>
      <c r="S67" s="312"/>
      <c r="T67" s="322"/>
      <c r="Z67" s="317"/>
    </row>
    <row r="68" ht="22.5" customHeight="1">
      <c r="A68" s="311"/>
      <c r="B68" s="312"/>
      <c r="C68" s="312"/>
      <c r="D68" s="312"/>
      <c r="E68" s="313"/>
      <c r="F68" s="312"/>
      <c r="G68" s="312"/>
      <c r="H68" s="312"/>
      <c r="N68" s="315"/>
      <c r="O68" s="312"/>
      <c r="S68" s="312"/>
      <c r="T68" s="316"/>
      <c r="Z68" s="317"/>
      <c r="AA68" s="323"/>
    </row>
    <row r="69" ht="22.5" customHeight="1">
      <c r="A69" s="311"/>
      <c r="B69" s="312"/>
      <c r="C69" s="312"/>
      <c r="D69" s="312"/>
      <c r="E69" s="313"/>
      <c r="F69" s="312"/>
      <c r="G69" s="312"/>
      <c r="H69" s="312"/>
      <c r="N69" s="315"/>
      <c r="O69" s="312"/>
      <c r="Q69" s="321"/>
      <c r="R69" s="312"/>
      <c r="S69" s="312"/>
      <c r="T69" s="316"/>
      <c r="Z69" s="317"/>
    </row>
    <row r="70" ht="22.5" customHeight="1">
      <c r="A70" s="311"/>
      <c r="B70" s="312"/>
      <c r="C70" s="312"/>
      <c r="D70" s="312"/>
      <c r="E70" s="313"/>
      <c r="F70" s="312"/>
      <c r="G70" s="312"/>
      <c r="H70" s="312"/>
      <c r="N70" s="315"/>
      <c r="O70" s="312"/>
      <c r="Q70" s="312"/>
      <c r="R70" s="312"/>
      <c r="S70" s="312"/>
      <c r="T70" s="316"/>
      <c r="Z70" s="317"/>
    </row>
    <row r="71" ht="22.5" customHeight="1">
      <c r="A71" s="311"/>
      <c r="B71" s="312"/>
      <c r="C71" s="312"/>
      <c r="D71" s="312"/>
      <c r="E71" s="313"/>
      <c r="F71" s="312"/>
      <c r="G71" s="312"/>
      <c r="H71" s="312"/>
      <c r="N71" s="315"/>
      <c r="O71" s="312"/>
      <c r="S71" s="312"/>
      <c r="T71" s="316"/>
      <c r="Z71" s="317"/>
    </row>
    <row r="72" ht="22.5" customHeight="1">
      <c r="A72" s="311"/>
      <c r="B72" s="312"/>
      <c r="C72" s="312"/>
      <c r="D72" s="312"/>
      <c r="E72" s="313"/>
      <c r="F72" s="312"/>
      <c r="G72" s="312"/>
      <c r="H72" s="312"/>
      <c r="N72" s="315"/>
      <c r="O72" s="312"/>
      <c r="S72" s="312"/>
      <c r="T72" s="322"/>
      <c r="Z72" s="317"/>
    </row>
    <row r="73" ht="22.5" customHeight="1">
      <c r="A73" s="311"/>
      <c r="B73" s="312"/>
      <c r="C73" s="312"/>
      <c r="D73" s="312"/>
      <c r="E73" s="313"/>
      <c r="F73" s="312"/>
      <c r="G73" s="312"/>
      <c r="H73" s="312"/>
      <c r="N73" s="315"/>
      <c r="O73" s="312"/>
      <c r="Q73" s="312"/>
      <c r="R73" s="312"/>
      <c r="S73" s="312"/>
      <c r="T73" s="316"/>
      <c r="U73" s="324"/>
      <c r="V73" s="324"/>
      <c r="W73" s="324"/>
      <c r="X73" s="324"/>
      <c r="Y73" s="324"/>
      <c r="Z73" s="317"/>
      <c r="AA73" s="323"/>
    </row>
    <row r="74" ht="22.5" customHeight="1">
      <c r="A74" s="311"/>
      <c r="B74" s="312"/>
      <c r="C74" s="312"/>
      <c r="D74" s="312"/>
      <c r="E74" s="313"/>
      <c r="F74" s="312"/>
      <c r="G74" s="312"/>
      <c r="H74" s="312"/>
      <c r="N74" s="315"/>
      <c r="O74" s="312"/>
      <c r="S74" s="312"/>
      <c r="T74" s="316"/>
      <c r="Z74" s="317"/>
    </row>
    <row r="75" ht="22.5" customHeight="1">
      <c r="A75" s="311"/>
      <c r="B75" s="312"/>
      <c r="C75" s="312"/>
      <c r="D75" s="312"/>
      <c r="E75" s="313"/>
      <c r="F75" s="312"/>
      <c r="G75" s="312"/>
      <c r="H75" s="312"/>
      <c r="N75" s="315"/>
      <c r="O75" s="312"/>
      <c r="Q75" s="312"/>
      <c r="R75" s="312"/>
      <c r="S75" s="312"/>
      <c r="T75" s="316"/>
      <c r="U75" s="312"/>
      <c r="V75" s="312"/>
      <c r="W75" s="312"/>
      <c r="Z75" s="317"/>
      <c r="AA75" s="323"/>
    </row>
    <row r="76" ht="22.5" customHeight="1">
      <c r="A76" s="311"/>
      <c r="B76" s="312"/>
      <c r="C76" s="312"/>
      <c r="D76" s="312"/>
      <c r="E76" s="313"/>
      <c r="F76" s="312"/>
      <c r="G76" s="312"/>
      <c r="H76" s="312"/>
      <c r="N76" s="315"/>
      <c r="O76" s="312"/>
      <c r="Q76" s="312"/>
      <c r="R76" s="312"/>
      <c r="S76" s="312"/>
      <c r="T76" s="316"/>
      <c r="Z76" s="317"/>
    </row>
    <row r="77" ht="22.5" customHeight="1">
      <c r="A77" s="311"/>
      <c r="B77" s="312"/>
      <c r="C77" s="312"/>
      <c r="D77" s="312"/>
      <c r="E77" s="313"/>
      <c r="F77" s="312"/>
      <c r="G77" s="312"/>
      <c r="H77" s="312"/>
      <c r="N77" s="315"/>
      <c r="O77" s="312"/>
      <c r="S77" s="312"/>
      <c r="T77" s="316"/>
      <c r="Z77" s="317"/>
    </row>
    <row r="78" ht="22.5" customHeight="1">
      <c r="A78" s="311"/>
      <c r="B78" s="312"/>
      <c r="C78" s="312"/>
      <c r="D78" s="312"/>
      <c r="E78" s="313"/>
      <c r="F78" s="312"/>
      <c r="G78" s="312"/>
      <c r="H78" s="312"/>
      <c r="N78" s="315"/>
      <c r="O78" s="312"/>
      <c r="S78" s="312"/>
      <c r="T78" s="316"/>
      <c r="Z78" s="317"/>
    </row>
    <row r="79" ht="22.5" customHeight="1">
      <c r="A79" s="311"/>
      <c r="B79" s="312"/>
      <c r="C79" s="312"/>
      <c r="D79" s="312"/>
      <c r="E79" s="313"/>
      <c r="F79" s="312"/>
      <c r="G79" s="312"/>
      <c r="H79" s="312"/>
      <c r="N79" s="315"/>
      <c r="O79" s="312"/>
      <c r="S79" s="312"/>
      <c r="T79" s="316"/>
      <c r="Z79" s="317"/>
    </row>
    <row r="80" ht="22.5" customHeight="1">
      <c r="A80" s="311"/>
      <c r="B80" s="312"/>
      <c r="C80" s="312"/>
      <c r="D80" s="312"/>
      <c r="E80" s="313"/>
      <c r="F80" s="312"/>
      <c r="G80" s="312"/>
      <c r="H80" s="312"/>
      <c r="N80" s="315"/>
      <c r="O80" s="312"/>
      <c r="S80" s="312"/>
      <c r="T80" s="316"/>
      <c r="Z80" s="317"/>
      <c r="AA80" s="323"/>
    </row>
    <row r="81" ht="22.5" customHeight="1">
      <c r="A81" s="311"/>
      <c r="B81" s="312"/>
      <c r="C81" s="312"/>
      <c r="D81" s="312"/>
      <c r="E81" s="313"/>
      <c r="F81" s="312"/>
      <c r="G81" s="312"/>
      <c r="H81" s="312"/>
      <c r="N81" s="315"/>
      <c r="O81" s="312"/>
      <c r="Q81" s="312"/>
      <c r="S81" s="312"/>
      <c r="T81" s="316"/>
      <c r="Z81" s="317"/>
      <c r="AA81" s="323"/>
    </row>
    <row r="82" ht="22.5" customHeight="1">
      <c r="A82" s="311"/>
      <c r="B82" s="312"/>
      <c r="C82" s="312"/>
      <c r="D82" s="312"/>
      <c r="E82" s="313"/>
      <c r="F82" s="312"/>
      <c r="G82" s="312"/>
      <c r="H82" s="312"/>
      <c r="N82" s="315"/>
      <c r="O82" s="312"/>
      <c r="S82" s="312"/>
      <c r="T82" s="316"/>
      <c r="Z82" s="317"/>
      <c r="AA82" s="323"/>
    </row>
    <row r="83" ht="22.5" customHeight="1">
      <c r="A83" s="311"/>
      <c r="B83" s="312"/>
      <c r="C83" s="312"/>
      <c r="D83" s="312"/>
      <c r="E83" s="313"/>
      <c r="F83" s="312"/>
      <c r="G83" s="312"/>
      <c r="H83" s="312"/>
      <c r="N83" s="315"/>
      <c r="O83" s="312"/>
      <c r="S83" s="312"/>
      <c r="T83" s="316"/>
      <c r="Z83" s="317"/>
      <c r="AA83" s="323"/>
    </row>
    <row r="84" ht="22.5" customHeight="1">
      <c r="A84" s="311"/>
      <c r="B84" s="312"/>
      <c r="C84" s="312"/>
      <c r="D84" s="312"/>
      <c r="E84" s="313"/>
      <c r="F84" s="312"/>
      <c r="G84" s="312"/>
      <c r="H84" s="312"/>
      <c r="N84" s="315"/>
      <c r="O84" s="312"/>
      <c r="Q84" s="312"/>
      <c r="R84" s="312"/>
      <c r="S84" s="312"/>
      <c r="T84" s="316"/>
      <c r="Z84" s="317"/>
      <c r="AA84" s="323"/>
    </row>
    <row r="85" ht="22.5" customHeight="1">
      <c r="A85" s="311"/>
      <c r="B85" s="312"/>
      <c r="C85" s="312"/>
      <c r="D85" s="312"/>
      <c r="E85" s="313"/>
      <c r="F85" s="312"/>
      <c r="G85" s="312"/>
      <c r="H85" s="312"/>
      <c r="N85" s="315"/>
      <c r="O85" s="312"/>
      <c r="S85" s="312"/>
      <c r="T85" s="316"/>
      <c r="Z85" s="317"/>
    </row>
    <row r="86" ht="22.5" customHeight="1">
      <c r="A86" s="311"/>
      <c r="B86" s="312"/>
      <c r="C86" s="312"/>
      <c r="D86" s="312"/>
      <c r="E86" s="313"/>
      <c r="F86" s="312"/>
      <c r="G86" s="312"/>
      <c r="H86" s="312"/>
      <c r="N86" s="315"/>
      <c r="O86" s="312"/>
      <c r="Q86" s="312"/>
      <c r="R86" s="312"/>
      <c r="S86" s="312"/>
      <c r="T86" s="316"/>
      <c r="Z86" s="317"/>
    </row>
    <row r="87" ht="22.5" customHeight="1">
      <c r="A87" s="311"/>
      <c r="B87" s="312"/>
      <c r="C87" s="312"/>
      <c r="D87" s="312"/>
      <c r="E87" s="313"/>
      <c r="F87" s="312"/>
      <c r="G87" s="312"/>
      <c r="H87" s="312"/>
      <c r="N87" s="315"/>
      <c r="O87" s="312"/>
      <c r="S87" s="312"/>
      <c r="T87" s="322"/>
      <c r="Z87" s="317"/>
    </row>
    <row r="88" ht="22.5" customHeight="1">
      <c r="A88" s="311"/>
      <c r="B88" s="312"/>
      <c r="C88" s="312"/>
      <c r="D88" s="312"/>
      <c r="E88" s="313"/>
      <c r="F88" s="312"/>
      <c r="G88" s="312"/>
      <c r="H88" s="312"/>
      <c r="N88" s="315"/>
      <c r="O88" s="312"/>
      <c r="S88" s="312"/>
      <c r="T88" s="322"/>
      <c r="Z88" s="317"/>
    </row>
    <row r="89" ht="22.5" customHeight="1">
      <c r="A89" s="311"/>
      <c r="B89" s="312"/>
      <c r="C89" s="312"/>
      <c r="D89" s="312"/>
      <c r="E89" s="313"/>
      <c r="F89" s="312"/>
      <c r="G89" s="312"/>
      <c r="H89" s="312"/>
      <c r="N89" s="315"/>
      <c r="O89" s="312"/>
      <c r="Q89" s="312"/>
      <c r="S89" s="312"/>
      <c r="T89" s="316"/>
      <c r="Z89" s="317"/>
    </row>
    <row r="90" ht="22.5" customHeight="1">
      <c r="A90" s="311"/>
      <c r="B90" s="312"/>
      <c r="C90" s="312"/>
      <c r="D90" s="312"/>
      <c r="E90" s="313"/>
      <c r="F90" s="312"/>
      <c r="G90" s="312"/>
      <c r="H90" s="312"/>
      <c r="N90" s="315"/>
      <c r="O90" s="312"/>
      <c r="S90" s="312"/>
      <c r="T90" s="322"/>
      <c r="Z90" s="317"/>
    </row>
    <row r="91" ht="22.5" customHeight="1">
      <c r="A91" s="311"/>
      <c r="B91" s="312"/>
      <c r="C91" s="312"/>
      <c r="D91" s="312"/>
      <c r="E91" s="313"/>
      <c r="F91" s="312"/>
      <c r="G91" s="312"/>
      <c r="H91" s="312"/>
      <c r="N91" s="315"/>
      <c r="O91" s="312"/>
      <c r="S91" s="312"/>
      <c r="T91" s="322"/>
      <c r="Z91" s="317"/>
    </row>
    <row r="92" ht="22.5" customHeight="1">
      <c r="A92" s="311"/>
      <c r="B92" s="312"/>
      <c r="C92" s="312"/>
      <c r="D92" s="312"/>
      <c r="E92" s="313"/>
      <c r="F92" s="312"/>
      <c r="G92" s="312"/>
      <c r="H92" s="312"/>
      <c r="N92" s="315"/>
      <c r="O92" s="312"/>
      <c r="Q92" s="312"/>
      <c r="R92" s="312"/>
      <c r="S92" s="312"/>
      <c r="T92" s="316"/>
      <c r="U92" s="324"/>
      <c r="V92" s="324"/>
      <c r="W92" s="324"/>
      <c r="X92" s="324"/>
      <c r="Y92" s="324"/>
      <c r="Z92" s="317"/>
      <c r="AA92" s="323"/>
    </row>
    <row r="93" ht="22.5" customHeight="1">
      <c r="A93" s="311"/>
      <c r="B93" s="312"/>
      <c r="C93" s="312"/>
      <c r="D93" s="312"/>
      <c r="E93" s="313"/>
      <c r="F93" s="312"/>
      <c r="G93" s="312"/>
      <c r="H93" s="312"/>
      <c r="N93" s="315"/>
      <c r="O93" s="312"/>
      <c r="S93" s="312"/>
      <c r="T93" s="316"/>
      <c r="Z93" s="317"/>
    </row>
    <row r="94" ht="22.5" customHeight="1">
      <c r="A94" s="311"/>
      <c r="B94" s="312"/>
      <c r="C94" s="312"/>
      <c r="D94" s="312"/>
      <c r="E94" s="313"/>
      <c r="F94" s="312"/>
      <c r="G94" s="312"/>
      <c r="H94" s="312"/>
      <c r="N94" s="315"/>
      <c r="O94" s="312"/>
      <c r="S94" s="312"/>
      <c r="T94" s="316"/>
      <c r="Z94" s="317"/>
    </row>
    <row r="95" ht="22.5" customHeight="1">
      <c r="A95" s="311"/>
      <c r="B95" s="312"/>
      <c r="C95" s="312"/>
      <c r="D95" s="312"/>
      <c r="E95" s="313"/>
      <c r="F95" s="312"/>
      <c r="G95" s="312"/>
      <c r="H95" s="312"/>
      <c r="N95" s="315"/>
      <c r="O95" s="312"/>
      <c r="Q95" s="312"/>
      <c r="R95" s="312"/>
      <c r="S95" s="312"/>
      <c r="T95" s="316"/>
      <c r="Z95" s="317"/>
    </row>
    <row r="96" ht="22.5" customHeight="1">
      <c r="A96" s="311"/>
      <c r="B96" s="312"/>
      <c r="C96" s="312"/>
      <c r="D96" s="312"/>
      <c r="E96" s="313"/>
      <c r="F96" s="312"/>
      <c r="G96" s="312"/>
      <c r="H96" s="312"/>
      <c r="N96" s="315"/>
      <c r="O96" s="312"/>
      <c r="Q96" s="312"/>
      <c r="R96" s="312"/>
      <c r="S96" s="312"/>
      <c r="T96" s="316"/>
      <c r="Z96" s="317"/>
    </row>
    <row r="97" ht="22.5" customHeight="1">
      <c r="A97" s="311"/>
      <c r="B97" s="312"/>
      <c r="C97" s="312"/>
      <c r="D97" s="312"/>
      <c r="E97" s="313"/>
      <c r="F97" s="312"/>
      <c r="G97" s="312"/>
      <c r="H97" s="312"/>
      <c r="N97" s="315"/>
      <c r="O97" s="312"/>
      <c r="Q97" s="321"/>
      <c r="R97" s="312"/>
      <c r="S97" s="312"/>
      <c r="T97" s="316"/>
      <c r="Z97" s="317"/>
      <c r="AA97" s="312"/>
    </row>
    <row r="98" ht="22.5" customHeight="1">
      <c r="A98" s="311"/>
      <c r="B98" s="312"/>
      <c r="C98" s="312"/>
      <c r="D98" s="312"/>
      <c r="E98" s="313"/>
      <c r="F98" s="312"/>
      <c r="G98" s="312"/>
      <c r="H98" s="312"/>
      <c r="N98" s="315"/>
      <c r="O98" s="312"/>
      <c r="Q98" s="312"/>
      <c r="R98" s="312"/>
      <c r="S98" s="312"/>
      <c r="T98" s="316"/>
      <c r="Z98" s="317"/>
    </row>
    <row r="99" ht="22.5" customHeight="1">
      <c r="A99" s="311"/>
      <c r="B99" s="312"/>
      <c r="C99" s="312"/>
      <c r="D99" s="312"/>
      <c r="E99" s="313"/>
      <c r="F99" s="312"/>
      <c r="G99" s="312"/>
      <c r="H99" s="312"/>
      <c r="N99" s="315"/>
      <c r="O99" s="312"/>
      <c r="S99" s="312"/>
      <c r="T99" s="316"/>
      <c r="Z99" s="317"/>
    </row>
    <row r="100" ht="22.5" customHeight="1">
      <c r="A100" s="311"/>
      <c r="B100" s="312"/>
      <c r="C100" s="312"/>
      <c r="D100" s="312"/>
      <c r="E100" s="313"/>
      <c r="F100" s="312"/>
      <c r="G100" s="312"/>
      <c r="H100" s="312"/>
      <c r="N100" s="315"/>
      <c r="O100" s="312"/>
      <c r="S100" s="312"/>
      <c r="T100" s="322"/>
      <c r="Z100" s="317"/>
    </row>
    <row r="101" ht="22.5" customHeight="1">
      <c r="A101" s="311"/>
      <c r="B101" s="312"/>
      <c r="C101" s="312"/>
      <c r="D101" s="312"/>
      <c r="E101" s="313"/>
      <c r="F101" s="312"/>
      <c r="G101" s="312"/>
      <c r="H101" s="312"/>
      <c r="N101" s="315"/>
      <c r="O101" s="312"/>
      <c r="P101" s="324"/>
      <c r="Q101" s="324"/>
      <c r="R101" s="324"/>
      <c r="S101" s="324"/>
      <c r="T101" s="316"/>
      <c r="U101" s="324"/>
      <c r="V101" s="324"/>
      <c r="W101" s="324"/>
      <c r="X101" s="324"/>
      <c r="Y101" s="324"/>
      <c r="Z101" s="325"/>
      <c r="AA101" s="326"/>
    </row>
    <row r="102" ht="22.5" customHeight="1">
      <c r="A102" s="311"/>
      <c r="B102" s="312"/>
      <c r="C102" s="312"/>
      <c r="D102" s="312"/>
      <c r="E102" s="313"/>
      <c r="F102" s="312"/>
      <c r="G102" s="312"/>
      <c r="H102" s="312"/>
      <c r="N102" s="315"/>
      <c r="O102" s="312"/>
      <c r="T102" s="316"/>
      <c r="Z102" s="317"/>
      <c r="AA102" s="323"/>
    </row>
    <row r="103" ht="22.5" customHeight="1">
      <c r="A103" s="311"/>
      <c r="B103" s="312"/>
      <c r="C103" s="312"/>
      <c r="D103" s="312"/>
      <c r="E103" s="313"/>
      <c r="F103" s="312"/>
      <c r="G103" s="312"/>
      <c r="H103" s="312"/>
      <c r="N103" s="315"/>
      <c r="O103" s="312"/>
      <c r="T103" s="316"/>
      <c r="Z103" s="317"/>
      <c r="AA103" s="312"/>
    </row>
    <row r="104" ht="22.5" customHeight="1">
      <c r="A104" s="311"/>
      <c r="B104" s="312"/>
      <c r="C104" s="312"/>
      <c r="D104" s="312"/>
      <c r="E104" s="313"/>
      <c r="F104" s="312"/>
      <c r="G104" s="312"/>
      <c r="H104" s="312"/>
      <c r="N104" s="315"/>
      <c r="O104" s="312"/>
      <c r="T104" s="316"/>
      <c r="Z104" s="317"/>
      <c r="AA104" s="312"/>
    </row>
    <row r="105" ht="22.5" customHeight="1">
      <c r="A105" s="311"/>
      <c r="B105" s="312"/>
      <c r="C105" s="312"/>
      <c r="D105" s="312"/>
      <c r="E105" s="313"/>
      <c r="F105" s="312"/>
      <c r="G105" s="312"/>
      <c r="H105" s="312"/>
      <c r="N105" s="315"/>
      <c r="O105" s="312"/>
      <c r="T105" s="316"/>
      <c r="Z105" s="317"/>
      <c r="AA105" s="323"/>
    </row>
    <row r="106" ht="22.5" customHeight="1">
      <c r="A106" s="311"/>
      <c r="B106" s="312"/>
      <c r="C106" s="312"/>
      <c r="D106" s="312"/>
      <c r="E106" s="313"/>
      <c r="F106" s="312"/>
      <c r="G106" s="312"/>
      <c r="H106" s="312"/>
      <c r="N106" s="315"/>
      <c r="O106" s="312"/>
      <c r="T106" s="322"/>
      <c r="Z106" s="317"/>
    </row>
    <row r="107" ht="22.5" customHeight="1">
      <c r="A107" s="327"/>
      <c r="B107" s="328"/>
      <c r="C107" s="329"/>
      <c r="D107" s="330"/>
      <c r="E107" s="331"/>
      <c r="F107" s="329"/>
      <c r="G107" s="329"/>
      <c r="H107" s="332"/>
      <c r="I107" s="333"/>
      <c r="J107" s="333"/>
      <c r="K107" s="333"/>
      <c r="L107" s="333"/>
      <c r="M107" s="333"/>
      <c r="N107" s="334"/>
      <c r="O107" s="333"/>
      <c r="P107" s="333"/>
      <c r="Q107" s="332"/>
      <c r="R107" s="329"/>
      <c r="S107" s="330"/>
      <c r="T107" s="335"/>
      <c r="U107" s="332"/>
      <c r="V107" s="332"/>
      <c r="W107" s="332"/>
      <c r="X107" s="332"/>
      <c r="Y107" s="332"/>
      <c r="Z107" s="336"/>
      <c r="AA107" s="337"/>
      <c r="AB107" s="338"/>
      <c r="AC107" s="338"/>
      <c r="AD107" s="338"/>
      <c r="AE107" s="338"/>
      <c r="AF107" s="338"/>
    </row>
    <row r="108">
      <c r="A108" s="125"/>
      <c r="B108" s="125"/>
      <c r="C108" s="125"/>
      <c r="D108" s="125"/>
      <c r="E108" s="223"/>
      <c r="F108" s="125"/>
      <c r="G108" s="125"/>
      <c r="H108" s="125"/>
      <c r="I108" s="125"/>
      <c r="J108" s="125"/>
      <c r="K108" s="125"/>
      <c r="L108" s="125"/>
      <c r="M108" s="125"/>
      <c r="N108" s="125"/>
      <c r="O108" s="125"/>
      <c r="P108" s="125"/>
      <c r="Q108" s="125"/>
      <c r="R108" s="125"/>
      <c r="S108" s="125"/>
      <c r="T108" s="125"/>
      <c r="U108" s="125"/>
      <c r="V108" s="125"/>
      <c r="W108" s="125"/>
      <c r="X108" s="125"/>
      <c r="Y108" s="125"/>
      <c r="Z108" s="125"/>
      <c r="AA108" s="125"/>
      <c r="AB108" s="125"/>
      <c r="AC108" s="125"/>
      <c r="AD108" s="125"/>
      <c r="AE108" s="125"/>
      <c r="AF108" s="125"/>
    </row>
    <row r="109">
      <c r="A109" s="125"/>
      <c r="B109" s="125"/>
      <c r="C109" s="125"/>
      <c r="D109" s="125"/>
      <c r="E109" s="223"/>
      <c r="F109" s="125"/>
      <c r="G109" s="125"/>
      <c r="H109" s="125"/>
      <c r="I109" s="125"/>
      <c r="J109" s="125"/>
      <c r="K109" s="125"/>
      <c r="L109" s="125"/>
      <c r="M109" s="125"/>
      <c r="N109" s="125"/>
      <c r="O109" s="125"/>
      <c r="P109" s="125"/>
      <c r="Q109" s="125"/>
      <c r="R109" s="125"/>
      <c r="S109" s="125"/>
      <c r="T109" s="125"/>
      <c r="U109" s="125"/>
      <c r="V109" s="125"/>
      <c r="W109" s="125"/>
      <c r="X109" s="125"/>
      <c r="Y109" s="125"/>
      <c r="Z109" s="125"/>
      <c r="AA109" s="125"/>
      <c r="AB109" s="125"/>
      <c r="AC109" s="125"/>
      <c r="AD109" s="125"/>
      <c r="AE109" s="125"/>
      <c r="AF109" s="125"/>
    </row>
    <row r="110">
      <c r="A110" s="125"/>
      <c r="B110" s="125"/>
      <c r="C110" s="125"/>
      <c r="D110" s="125"/>
      <c r="E110" s="223"/>
      <c r="F110" s="125"/>
      <c r="G110" s="125"/>
      <c r="H110" s="125"/>
      <c r="I110" s="125"/>
      <c r="J110" s="125"/>
      <c r="K110" s="125"/>
      <c r="L110" s="125"/>
      <c r="M110" s="125"/>
      <c r="N110" s="125"/>
      <c r="O110" s="125"/>
      <c r="P110" s="125"/>
      <c r="Q110" s="125"/>
      <c r="R110" s="125"/>
      <c r="S110" s="125"/>
      <c r="T110" s="125"/>
      <c r="U110" s="125"/>
      <c r="V110" s="125"/>
      <c r="W110" s="125"/>
      <c r="X110" s="125"/>
      <c r="Y110" s="125"/>
      <c r="Z110" s="125"/>
      <c r="AA110" s="125"/>
      <c r="AB110" s="125"/>
      <c r="AC110" s="125"/>
      <c r="AD110" s="125"/>
      <c r="AE110" s="125"/>
      <c r="AF110" s="125"/>
    </row>
    <row r="111">
      <c r="A111" s="125"/>
      <c r="B111" s="125"/>
      <c r="C111" s="125"/>
      <c r="D111" s="125"/>
      <c r="E111" s="223"/>
      <c r="F111" s="125"/>
      <c r="G111" s="125"/>
      <c r="H111" s="125"/>
      <c r="I111" s="125"/>
      <c r="J111" s="125"/>
      <c r="K111" s="125"/>
      <c r="L111" s="125"/>
      <c r="M111" s="125"/>
      <c r="N111" s="125"/>
      <c r="O111" s="125"/>
      <c r="P111" s="125"/>
      <c r="Q111" s="125"/>
      <c r="R111" s="125"/>
      <c r="S111" s="125"/>
      <c r="T111" s="125"/>
      <c r="U111" s="125"/>
      <c r="V111" s="125"/>
      <c r="W111" s="125"/>
      <c r="X111" s="125"/>
      <c r="Y111" s="125"/>
      <c r="Z111" s="125"/>
      <c r="AA111" s="125"/>
      <c r="AB111" s="125"/>
      <c r="AC111" s="125"/>
      <c r="AD111" s="125"/>
      <c r="AE111" s="125"/>
      <c r="AF111" s="125"/>
    </row>
    <row r="112">
      <c r="A112" s="125"/>
      <c r="B112" s="125"/>
      <c r="C112" s="125"/>
      <c r="D112" s="125"/>
      <c r="E112" s="223"/>
      <c r="F112" s="125"/>
      <c r="G112" s="125"/>
      <c r="H112" s="125"/>
      <c r="I112" s="125"/>
      <c r="J112" s="125"/>
      <c r="K112" s="125"/>
      <c r="L112" s="125"/>
      <c r="M112" s="125"/>
      <c r="N112" s="125"/>
      <c r="O112" s="125"/>
      <c r="P112" s="125"/>
      <c r="Q112" s="125"/>
      <c r="R112" s="125"/>
      <c r="S112" s="125"/>
      <c r="T112" s="125"/>
      <c r="U112" s="125"/>
      <c r="V112" s="125"/>
      <c r="W112" s="125"/>
      <c r="X112" s="125"/>
      <c r="Y112" s="125"/>
      <c r="Z112" s="125"/>
      <c r="AA112" s="125"/>
      <c r="AB112" s="125"/>
      <c r="AC112" s="125"/>
      <c r="AD112" s="125"/>
      <c r="AE112" s="125"/>
      <c r="AF112" s="125"/>
    </row>
    <row r="113">
      <c r="A113" s="125"/>
      <c r="B113" s="125"/>
      <c r="C113" s="125"/>
      <c r="D113" s="125"/>
      <c r="E113" s="223"/>
      <c r="F113" s="125"/>
      <c r="G113" s="125"/>
      <c r="H113" s="125"/>
      <c r="I113" s="125"/>
      <c r="J113" s="125"/>
      <c r="K113" s="125"/>
      <c r="L113" s="125"/>
      <c r="M113" s="125"/>
      <c r="N113" s="125"/>
      <c r="O113" s="125"/>
      <c r="P113" s="125"/>
      <c r="Q113" s="125"/>
      <c r="R113" s="125"/>
      <c r="S113" s="125"/>
      <c r="T113" s="125"/>
      <c r="U113" s="125"/>
      <c r="V113" s="125"/>
      <c r="W113" s="125"/>
      <c r="X113" s="125"/>
      <c r="Y113" s="125"/>
      <c r="Z113" s="125"/>
      <c r="AA113" s="125"/>
      <c r="AB113" s="125"/>
      <c r="AC113" s="125"/>
      <c r="AD113" s="125"/>
      <c r="AE113" s="125"/>
      <c r="AF113" s="125"/>
    </row>
    <row r="114">
      <c r="A114" s="125"/>
      <c r="B114" s="125"/>
      <c r="C114" s="125"/>
      <c r="D114" s="125"/>
      <c r="E114" s="223"/>
      <c r="F114" s="125"/>
      <c r="G114" s="125"/>
      <c r="H114" s="125"/>
      <c r="I114" s="125"/>
      <c r="J114" s="125"/>
      <c r="K114" s="125"/>
      <c r="L114" s="125"/>
      <c r="M114" s="125"/>
      <c r="N114" s="125"/>
      <c r="O114" s="125"/>
      <c r="P114" s="125"/>
      <c r="Q114" s="125"/>
      <c r="R114" s="125"/>
      <c r="S114" s="125"/>
      <c r="T114" s="125"/>
      <c r="U114" s="125"/>
      <c r="V114" s="125"/>
      <c r="W114" s="125"/>
      <c r="X114" s="125"/>
      <c r="Y114" s="125"/>
      <c r="Z114" s="125"/>
      <c r="AA114" s="125"/>
      <c r="AB114" s="125"/>
      <c r="AC114" s="125"/>
      <c r="AD114" s="125"/>
      <c r="AE114" s="125"/>
      <c r="AF114" s="125"/>
    </row>
    <row r="115">
      <c r="A115" s="125"/>
      <c r="B115" s="125"/>
      <c r="C115" s="125"/>
      <c r="D115" s="125"/>
      <c r="E115" s="223"/>
      <c r="F115" s="125"/>
      <c r="G115" s="125"/>
      <c r="H115" s="125"/>
      <c r="I115" s="125"/>
      <c r="J115" s="125"/>
      <c r="K115" s="125"/>
      <c r="L115" s="125"/>
      <c r="M115" s="125"/>
      <c r="N115" s="125"/>
      <c r="O115" s="125"/>
      <c r="P115" s="125"/>
      <c r="Q115" s="125"/>
      <c r="R115" s="125"/>
      <c r="S115" s="125"/>
      <c r="T115" s="125"/>
      <c r="U115" s="125"/>
      <c r="V115" s="125"/>
      <c r="W115" s="125"/>
      <c r="X115" s="125"/>
      <c r="Y115" s="125"/>
      <c r="Z115" s="125"/>
      <c r="AA115" s="125"/>
      <c r="AB115" s="125"/>
      <c r="AC115" s="125"/>
      <c r="AD115" s="125"/>
      <c r="AE115" s="125"/>
      <c r="AF115" s="125"/>
    </row>
    <row r="116">
      <c r="A116" s="125"/>
      <c r="B116" s="125"/>
      <c r="C116" s="125"/>
      <c r="D116" s="125"/>
      <c r="E116" s="223"/>
      <c r="F116" s="125"/>
      <c r="G116" s="125"/>
      <c r="H116" s="125"/>
      <c r="I116" s="125"/>
      <c r="J116" s="125"/>
      <c r="K116" s="125"/>
      <c r="L116" s="125"/>
      <c r="M116" s="125"/>
      <c r="N116" s="125"/>
      <c r="O116" s="125"/>
      <c r="P116" s="125"/>
      <c r="Q116" s="125"/>
      <c r="R116" s="125"/>
      <c r="S116" s="125"/>
      <c r="T116" s="125"/>
      <c r="U116" s="125"/>
      <c r="V116" s="125"/>
      <c r="W116" s="125"/>
      <c r="X116" s="125"/>
      <c r="Y116" s="125"/>
      <c r="Z116" s="125"/>
      <c r="AA116" s="125"/>
      <c r="AB116" s="125"/>
      <c r="AC116" s="125"/>
      <c r="AD116" s="125"/>
      <c r="AE116" s="125"/>
      <c r="AF116" s="125"/>
    </row>
    <row r="117">
      <c r="A117" s="125"/>
      <c r="B117" s="125"/>
      <c r="C117" s="125"/>
      <c r="D117" s="125"/>
      <c r="E117" s="223"/>
      <c r="F117" s="125"/>
      <c r="G117" s="125"/>
      <c r="H117" s="125"/>
      <c r="I117" s="125"/>
      <c r="J117" s="125"/>
      <c r="K117" s="125"/>
      <c r="L117" s="125"/>
      <c r="M117" s="125"/>
      <c r="N117" s="125"/>
      <c r="O117" s="125"/>
      <c r="P117" s="125"/>
      <c r="Q117" s="125"/>
      <c r="R117" s="125"/>
      <c r="S117" s="125"/>
      <c r="T117" s="125"/>
      <c r="U117" s="125"/>
      <c r="V117" s="125"/>
      <c r="W117" s="125"/>
      <c r="X117" s="125"/>
      <c r="Y117" s="125"/>
      <c r="Z117" s="125"/>
      <c r="AA117" s="125"/>
      <c r="AB117" s="125"/>
      <c r="AC117" s="125"/>
      <c r="AD117" s="125"/>
      <c r="AE117" s="125"/>
      <c r="AF117" s="125"/>
    </row>
    <row r="118">
      <c r="A118" s="125"/>
      <c r="B118" s="125"/>
      <c r="C118" s="125"/>
      <c r="D118" s="125"/>
      <c r="E118" s="223"/>
      <c r="F118" s="125"/>
      <c r="G118" s="125"/>
      <c r="H118" s="125"/>
      <c r="I118" s="125"/>
      <c r="J118" s="125"/>
      <c r="K118" s="125"/>
      <c r="L118" s="125"/>
      <c r="M118" s="125"/>
      <c r="N118" s="125"/>
      <c r="O118" s="125"/>
      <c r="P118" s="125"/>
      <c r="Q118" s="125"/>
      <c r="R118" s="125"/>
      <c r="S118" s="125"/>
      <c r="T118" s="125"/>
      <c r="U118" s="125"/>
      <c r="V118" s="125"/>
      <c r="W118" s="125"/>
      <c r="X118" s="125"/>
      <c r="Y118" s="125"/>
      <c r="Z118" s="125"/>
      <c r="AA118" s="125"/>
      <c r="AB118" s="125"/>
      <c r="AC118" s="125"/>
      <c r="AD118" s="125"/>
      <c r="AE118" s="125"/>
      <c r="AF118" s="125"/>
    </row>
    <row r="119">
      <c r="A119" s="125"/>
      <c r="B119" s="125"/>
      <c r="C119" s="125"/>
      <c r="D119" s="125"/>
      <c r="E119" s="223"/>
      <c r="F119" s="125"/>
      <c r="G119" s="125"/>
      <c r="H119" s="125"/>
      <c r="I119" s="125"/>
      <c r="J119" s="125"/>
      <c r="K119" s="125"/>
      <c r="L119" s="125"/>
      <c r="M119" s="125"/>
      <c r="N119" s="125"/>
      <c r="O119" s="125"/>
      <c r="P119" s="125"/>
      <c r="Q119" s="125"/>
      <c r="R119" s="125"/>
      <c r="S119" s="125"/>
      <c r="T119" s="125"/>
      <c r="U119" s="125"/>
      <c r="V119" s="125"/>
      <c r="W119" s="125"/>
      <c r="X119" s="125"/>
      <c r="Y119" s="125"/>
      <c r="Z119" s="125"/>
      <c r="AA119" s="125"/>
      <c r="AB119" s="125"/>
      <c r="AC119" s="125"/>
      <c r="AD119" s="125"/>
      <c r="AE119" s="125"/>
      <c r="AF119" s="125"/>
    </row>
    <row r="120">
      <c r="A120" s="125"/>
      <c r="B120" s="125"/>
      <c r="C120" s="125"/>
      <c r="D120" s="125"/>
      <c r="E120" s="223"/>
      <c r="F120" s="125"/>
      <c r="G120" s="125"/>
      <c r="H120" s="125"/>
      <c r="I120" s="125"/>
      <c r="J120" s="125"/>
      <c r="K120" s="125"/>
      <c r="L120" s="125"/>
      <c r="M120" s="125"/>
      <c r="N120" s="125"/>
      <c r="O120" s="125"/>
      <c r="P120" s="125"/>
      <c r="Q120" s="125"/>
      <c r="R120" s="125"/>
      <c r="S120" s="125"/>
      <c r="T120" s="125"/>
      <c r="U120" s="125"/>
      <c r="V120" s="125"/>
      <c r="W120" s="125"/>
      <c r="X120" s="125"/>
      <c r="Y120" s="125"/>
      <c r="Z120" s="125"/>
      <c r="AA120" s="125"/>
      <c r="AB120" s="125"/>
      <c r="AC120" s="125"/>
      <c r="AD120" s="125"/>
      <c r="AE120" s="125"/>
      <c r="AF120" s="125"/>
    </row>
    <row r="121">
      <c r="A121" s="125"/>
      <c r="B121" s="125"/>
      <c r="C121" s="125"/>
      <c r="D121" s="125"/>
      <c r="E121" s="223"/>
      <c r="F121" s="125"/>
      <c r="G121" s="125"/>
      <c r="H121" s="125"/>
      <c r="I121" s="125"/>
      <c r="J121" s="125"/>
      <c r="K121" s="125"/>
      <c r="L121" s="125"/>
      <c r="M121" s="125"/>
      <c r="N121" s="125"/>
      <c r="O121" s="125"/>
      <c r="P121" s="125"/>
      <c r="Q121" s="125"/>
      <c r="R121" s="125"/>
      <c r="S121" s="125"/>
      <c r="T121" s="125"/>
      <c r="U121" s="125"/>
      <c r="V121" s="125"/>
      <c r="W121" s="125"/>
      <c r="X121" s="125"/>
      <c r="Y121" s="125"/>
      <c r="Z121" s="125"/>
      <c r="AA121" s="125"/>
      <c r="AB121" s="125"/>
      <c r="AC121" s="125"/>
      <c r="AD121" s="125"/>
      <c r="AE121" s="125"/>
      <c r="AF121" s="125"/>
    </row>
    <row r="122">
      <c r="A122" s="125"/>
      <c r="B122" s="125"/>
      <c r="C122" s="125"/>
      <c r="D122" s="125"/>
      <c r="E122" s="223"/>
      <c r="F122" s="125"/>
      <c r="G122" s="125"/>
      <c r="H122" s="125"/>
      <c r="I122" s="125"/>
      <c r="J122" s="125"/>
      <c r="K122" s="125"/>
      <c r="L122" s="125"/>
      <c r="M122" s="125"/>
      <c r="N122" s="125"/>
      <c r="O122" s="125"/>
      <c r="P122" s="125"/>
      <c r="Q122" s="125"/>
      <c r="R122" s="125"/>
      <c r="S122" s="125"/>
      <c r="T122" s="125"/>
      <c r="U122" s="125"/>
      <c r="V122" s="125"/>
      <c r="W122" s="125"/>
      <c r="X122" s="125"/>
      <c r="Y122" s="125"/>
      <c r="Z122" s="125"/>
      <c r="AA122" s="125"/>
      <c r="AB122" s="125"/>
      <c r="AC122" s="125"/>
      <c r="AD122" s="125"/>
      <c r="AE122" s="125"/>
      <c r="AF122" s="125"/>
    </row>
    <row r="123">
      <c r="A123" s="125"/>
      <c r="B123" s="125"/>
      <c r="C123" s="125"/>
      <c r="D123" s="125"/>
      <c r="E123" s="223"/>
      <c r="F123" s="125"/>
      <c r="G123" s="125"/>
      <c r="H123" s="125"/>
      <c r="I123" s="125"/>
      <c r="J123" s="125"/>
      <c r="K123" s="125"/>
      <c r="L123" s="125"/>
      <c r="M123" s="125"/>
      <c r="N123" s="125"/>
      <c r="O123" s="125"/>
      <c r="P123" s="125"/>
      <c r="Q123" s="125"/>
      <c r="R123" s="125"/>
      <c r="S123" s="125"/>
      <c r="T123" s="125"/>
      <c r="U123" s="125"/>
      <c r="V123" s="125"/>
      <c r="W123" s="125"/>
      <c r="X123" s="125"/>
      <c r="Y123" s="125"/>
      <c r="Z123" s="125"/>
      <c r="AA123" s="125"/>
      <c r="AB123" s="125"/>
      <c r="AC123" s="125"/>
      <c r="AD123" s="125"/>
      <c r="AE123" s="125"/>
      <c r="AF123" s="125"/>
    </row>
    <row r="124">
      <c r="A124" s="125"/>
      <c r="B124" s="125"/>
      <c r="C124" s="125"/>
      <c r="D124" s="125"/>
      <c r="E124" s="223"/>
      <c r="F124" s="125"/>
      <c r="G124" s="125"/>
      <c r="H124" s="125"/>
      <c r="I124" s="125"/>
      <c r="J124" s="125"/>
      <c r="K124" s="125"/>
      <c r="L124" s="125"/>
      <c r="M124" s="125"/>
      <c r="N124" s="125"/>
      <c r="O124" s="125"/>
      <c r="P124" s="125"/>
      <c r="Q124" s="125"/>
      <c r="R124" s="125"/>
      <c r="S124" s="125"/>
      <c r="T124" s="125"/>
      <c r="U124" s="125"/>
      <c r="V124" s="125"/>
      <c r="W124" s="125"/>
      <c r="X124" s="125"/>
      <c r="Y124" s="125"/>
      <c r="Z124" s="125"/>
      <c r="AA124" s="125"/>
      <c r="AB124" s="125"/>
      <c r="AC124" s="125"/>
      <c r="AD124" s="125"/>
      <c r="AE124" s="125"/>
      <c r="AF124" s="125"/>
    </row>
    <row r="125">
      <c r="A125" s="125"/>
      <c r="B125" s="125"/>
      <c r="C125" s="125"/>
      <c r="D125" s="125"/>
      <c r="E125" s="223"/>
      <c r="F125" s="125"/>
      <c r="G125" s="125"/>
      <c r="H125" s="125"/>
      <c r="I125" s="125"/>
      <c r="J125" s="125"/>
      <c r="K125" s="125"/>
      <c r="L125" s="125"/>
      <c r="M125" s="125"/>
      <c r="N125" s="125"/>
      <c r="O125" s="125"/>
      <c r="P125" s="125"/>
      <c r="Q125" s="125"/>
      <c r="R125" s="125"/>
      <c r="S125" s="125"/>
      <c r="T125" s="125"/>
      <c r="U125" s="125"/>
      <c r="V125" s="125"/>
      <c r="W125" s="125"/>
      <c r="X125" s="125"/>
      <c r="Y125" s="125"/>
      <c r="Z125" s="125"/>
      <c r="AA125" s="125"/>
      <c r="AB125" s="125"/>
      <c r="AC125" s="125"/>
      <c r="AD125" s="125"/>
      <c r="AE125" s="125"/>
      <c r="AF125" s="125"/>
    </row>
    <row r="126">
      <c r="A126" s="125"/>
      <c r="B126" s="125"/>
      <c r="C126" s="125"/>
      <c r="D126" s="125"/>
      <c r="E126" s="223"/>
      <c r="F126" s="125"/>
      <c r="G126" s="125"/>
      <c r="H126" s="125"/>
      <c r="I126" s="125"/>
      <c r="J126" s="125"/>
      <c r="K126" s="125"/>
      <c r="L126" s="125"/>
      <c r="M126" s="125"/>
      <c r="N126" s="125"/>
      <c r="O126" s="125"/>
      <c r="P126" s="125"/>
      <c r="Q126" s="125"/>
      <c r="R126" s="125"/>
      <c r="S126" s="125"/>
      <c r="T126" s="125"/>
      <c r="U126" s="125"/>
      <c r="V126" s="125"/>
      <c r="W126" s="125"/>
      <c r="X126" s="125"/>
      <c r="Y126" s="125"/>
      <c r="Z126" s="125"/>
      <c r="AA126" s="125"/>
      <c r="AB126" s="125"/>
      <c r="AC126" s="125"/>
      <c r="AD126" s="125"/>
      <c r="AE126" s="125"/>
      <c r="AF126" s="125"/>
    </row>
    <row r="127">
      <c r="A127" s="125"/>
      <c r="B127" s="125"/>
      <c r="C127" s="125"/>
      <c r="D127" s="125"/>
      <c r="E127" s="223"/>
      <c r="F127" s="125"/>
      <c r="G127" s="125"/>
      <c r="H127" s="125"/>
      <c r="I127" s="125"/>
      <c r="J127" s="125"/>
      <c r="K127" s="125"/>
      <c r="L127" s="125"/>
      <c r="M127" s="125"/>
      <c r="N127" s="125"/>
      <c r="O127" s="125"/>
      <c r="P127" s="125"/>
      <c r="Q127" s="125"/>
      <c r="R127" s="125"/>
      <c r="S127" s="125"/>
      <c r="T127" s="125"/>
      <c r="U127" s="125"/>
      <c r="V127" s="125"/>
      <c r="W127" s="125"/>
      <c r="X127" s="125"/>
      <c r="Y127" s="125"/>
      <c r="Z127" s="125"/>
      <c r="AA127" s="125"/>
      <c r="AB127" s="125"/>
      <c r="AC127" s="125"/>
      <c r="AD127" s="125"/>
      <c r="AE127" s="125"/>
      <c r="AF127" s="125"/>
    </row>
    <row r="128">
      <c r="A128" s="125"/>
      <c r="B128" s="125"/>
      <c r="C128" s="125"/>
      <c r="D128" s="125"/>
      <c r="E128" s="223"/>
      <c r="F128" s="125"/>
      <c r="G128" s="125"/>
      <c r="H128" s="125"/>
      <c r="I128" s="125"/>
      <c r="J128" s="125"/>
      <c r="K128" s="125"/>
      <c r="L128" s="125"/>
      <c r="M128" s="125"/>
      <c r="N128" s="125"/>
      <c r="O128" s="125"/>
      <c r="P128" s="125"/>
      <c r="Q128" s="125"/>
      <c r="R128" s="125"/>
      <c r="S128" s="125"/>
      <c r="T128" s="125"/>
      <c r="U128" s="125"/>
      <c r="V128" s="125"/>
      <c r="W128" s="125"/>
      <c r="X128" s="125"/>
      <c r="Y128" s="125"/>
      <c r="Z128" s="125"/>
      <c r="AA128" s="125"/>
      <c r="AB128" s="125"/>
      <c r="AC128" s="125"/>
      <c r="AD128" s="125"/>
      <c r="AE128" s="125"/>
      <c r="AF128" s="125"/>
    </row>
    <row r="129">
      <c r="A129" s="125"/>
      <c r="B129" s="125"/>
      <c r="C129" s="125"/>
      <c r="D129" s="125"/>
      <c r="E129" s="223"/>
      <c r="F129" s="125"/>
      <c r="G129" s="125"/>
      <c r="H129" s="125"/>
      <c r="I129" s="125"/>
      <c r="J129" s="125"/>
      <c r="K129" s="125"/>
      <c r="L129" s="125"/>
      <c r="M129" s="125"/>
      <c r="N129" s="125"/>
      <c r="O129" s="125"/>
      <c r="P129" s="125"/>
      <c r="Q129" s="125"/>
      <c r="R129" s="125"/>
      <c r="S129" s="125"/>
      <c r="T129" s="125"/>
      <c r="U129" s="125"/>
      <c r="V129" s="125"/>
      <c r="W129" s="125"/>
      <c r="X129" s="125"/>
      <c r="Y129" s="125"/>
      <c r="Z129" s="125"/>
      <c r="AA129" s="125"/>
      <c r="AB129" s="125"/>
      <c r="AC129" s="125"/>
      <c r="AD129" s="125"/>
      <c r="AE129" s="125"/>
      <c r="AF129" s="125"/>
    </row>
    <row r="130">
      <c r="A130" s="125"/>
      <c r="B130" s="125"/>
      <c r="C130" s="125"/>
      <c r="D130" s="125"/>
      <c r="E130" s="223"/>
      <c r="F130" s="125"/>
      <c r="G130" s="125"/>
      <c r="H130" s="125"/>
      <c r="I130" s="125"/>
      <c r="J130" s="125"/>
      <c r="K130" s="125"/>
      <c r="L130" s="125"/>
      <c r="M130" s="125"/>
      <c r="N130" s="125"/>
      <c r="O130" s="125"/>
      <c r="P130" s="125"/>
      <c r="Q130" s="125"/>
      <c r="R130" s="125"/>
      <c r="S130" s="125"/>
      <c r="T130" s="125"/>
      <c r="U130" s="125"/>
      <c r="V130" s="125"/>
      <c r="W130" s="125"/>
      <c r="X130" s="125"/>
      <c r="Y130" s="125"/>
      <c r="Z130" s="125"/>
      <c r="AA130" s="125"/>
      <c r="AB130" s="125"/>
      <c r="AC130" s="125"/>
      <c r="AD130" s="125"/>
      <c r="AE130" s="125"/>
      <c r="AF130" s="125"/>
    </row>
    <row r="131">
      <c r="A131" s="125"/>
      <c r="B131" s="125"/>
      <c r="C131" s="125"/>
      <c r="D131" s="125"/>
      <c r="E131" s="223"/>
      <c r="F131" s="125"/>
      <c r="G131" s="125"/>
      <c r="H131" s="125"/>
      <c r="I131" s="125"/>
      <c r="J131" s="125"/>
      <c r="K131" s="125"/>
      <c r="L131" s="125"/>
      <c r="M131" s="125"/>
      <c r="N131" s="125"/>
      <c r="O131" s="125"/>
      <c r="P131" s="125"/>
      <c r="Q131" s="125"/>
      <c r="R131" s="125"/>
      <c r="S131" s="125"/>
      <c r="T131" s="125"/>
      <c r="U131" s="125"/>
      <c r="V131" s="125"/>
      <c r="W131" s="125"/>
      <c r="X131" s="125"/>
      <c r="Y131" s="125"/>
      <c r="Z131" s="125"/>
      <c r="AA131" s="125"/>
      <c r="AB131" s="125"/>
      <c r="AC131" s="125"/>
      <c r="AD131" s="125"/>
      <c r="AE131" s="125"/>
      <c r="AF131" s="125"/>
    </row>
    <row r="132">
      <c r="A132" s="125"/>
      <c r="B132" s="125"/>
      <c r="C132" s="125"/>
      <c r="D132" s="125"/>
      <c r="E132" s="223"/>
      <c r="F132" s="125"/>
      <c r="G132" s="125"/>
      <c r="H132" s="125"/>
      <c r="I132" s="125"/>
      <c r="J132" s="125"/>
      <c r="K132" s="125"/>
      <c r="L132" s="125"/>
      <c r="M132" s="125"/>
      <c r="N132" s="125"/>
      <c r="O132" s="125"/>
      <c r="P132" s="125"/>
      <c r="Q132" s="125"/>
      <c r="R132" s="125"/>
      <c r="S132" s="125"/>
      <c r="T132" s="125"/>
      <c r="U132" s="125"/>
      <c r="V132" s="125"/>
      <c r="W132" s="125"/>
      <c r="X132" s="125"/>
      <c r="Y132" s="125"/>
      <c r="Z132" s="125"/>
      <c r="AA132" s="125"/>
      <c r="AB132" s="125"/>
      <c r="AC132" s="125"/>
      <c r="AD132" s="125"/>
      <c r="AE132" s="125"/>
      <c r="AF132" s="125"/>
    </row>
    <row r="133">
      <c r="A133" s="125"/>
      <c r="B133" s="125"/>
      <c r="C133" s="125"/>
      <c r="D133" s="125"/>
      <c r="E133" s="223"/>
      <c r="F133" s="125"/>
      <c r="G133" s="125"/>
      <c r="H133" s="125"/>
      <c r="I133" s="125"/>
      <c r="J133" s="125"/>
      <c r="K133" s="125"/>
      <c r="L133" s="125"/>
      <c r="M133" s="125"/>
      <c r="N133" s="125"/>
      <c r="O133" s="125"/>
      <c r="P133" s="125"/>
      <c r="Q133" s="125"/>
      <c r="R133" s="125"/>
      <c r="S133" s="125"/>
      <c r="T133" s="125"/>
      <c r="U133" s="125"/>
      <c r="V133" s="125"/>
      <c r="W133" s="125"/>
      <c r="X133" s="125"/>
      <c r="Y133" s="125"/>
      <c r="Z133" s="125"/>
      <c r="AA133" s="125"/>
      <c r="AB133" s="125"/>
      <c r="AC133" s="125"/>
      <c r="AD133" s="125"/>
      <c r="AE133" s="125"/>
      <c r="AF133" s="125"/>
    </row>
    <row r="134">
      <c r="A134" s="125"/>
      <c r="B134" s="125"/>
      <c r="C134" s="125"/>
      <c r="D134" s="125"/>
      <c r="E134" s="223"/>
      <c r="F134" s="125"/>
      <c r="G134" s="125"/>
      <c r="H134" s="125"/>
      <c r="I134" s="125"/>
      <c r="J134" s="125"/>
      <c r="K134" s="125"/>
      <c r="L134" s="125"/>
      <c r="M134" s="125"/>
      <c r="N134" s="125"/>
      <c r="O134" s="125"/>
      <c r="P134" s="125"/>
      <c r="Q134" s="125"/>
      <c r="R134" s="125"/>
      <c r="S134" s="125"/>
      <c r="T134" s="125"/>
      <c r="U134" s="125"/>
      <c r="V134" s="125"/>
      <c r="W134" s="125"/>
      <c r="X134" s="125"/>
      <c r="Y134" s="125"/>
      <c r="Z134" s="125"/>
      <c r="AA134" s="125"/>
      <c r="AB134" s="125"/>
      <c r="AC134" s="125"/>
      <c r="AD134" s="125"/>
      <c r="AE134" s="125"/>
      <c r="AF134" s="125"/>
    </row>
    <row r="135">
      <c r="A135" s="125"/>
      <c r="B135" s="125"/>
      <c r="C135" s="125"/>
      <c r="D135" s="125"/>
      <c r="E135" s="223"/>
      <c r="F135" s="125"/>
      <c r="G135" s="125"/>
      <c r="H135" s="125"/>
      <c r="I135" s="125"/>
      <c r="J135" s="125"/>
      <c r="K135" s="125"/>
      <c r="L135" s="125"/>
      <c r="M135" s="125"/>
      <c r="N135" s="125"/>
      <c r="O135" s="125"/>
      <c r="P135" s="125"/>
      <c r="Q135" s="125"/>
      <c r="R135" s="125"/>
      <c r="S135" s="125"/>
      <c r="T135" s="125"/>
      <c r="U135" s="125"/>
      <c r="V135" s="125"/>
      <c r="W135" s="125"/>
      <c r="X135" s="125"/>
      <c r="Y135" s="125"/>
      <c r="Z135" s="125"/>
      <c r="AA135" s="125"/>
      <c r="AB135" s="125"/>
      <c r="AC135" s="125"/>
      <c r="AD135" s="125"/>
      <c r="AE135" s="125"/>
      <c r="AF135" s="125"/>
    </row>
    <row r="136">
      <c r="A136" s="125"/>
      <c r="B136" s="125"/>
      <c r="C136" s="125"/>
      <c r="D136" s="125"/>
      <c r="E136" s="223"/>
      <c r="F136" s="125"/>
      <c r="G136" s="125"/>
      <c r="H136" s="125"/>
      <c r="I136" s="125"/>
      <c r="J136" s="125"/>
      <c r="K136" s="125"/>
      <c r="L136" s="125"/>
      <c r="M136" s="125"/>
      <c r="N136" s="125"/>
      <c r="O136" s="125"/>
      <c r="P136" s="125"/>
      <c r="Q136" s="125"/>
      <c r="R136" s="125"/>
      <c r="S136" s="125"/>
      <c r="T136" s="125"/>
      <c r="U136" s="125"/>
      <c r="V136" s="125"/>
      <c r="W136" s="125"/>
      <c r="X136" s="125"/>
      <c r="Y136" s="125"/>
      <c r="Z136" s="125"/>
      <c r="AA136" s="125"/>
      <c r="AB136" s="125"/>
      <c r="AC136" s="125"/>
      <c r="AD136" s="125"/>
      <c r="AE136" s="125"/>
      <c r="AF136" s="125"/>
    </row>
    <row r="137">
      <c r="A137" s="125"/>
      <c r="B137" s="125"/>
      <c r="C137" s="125"/>
      <c r="D137" s="125"/>
      <c r="E137" s="223"/>
      <c r="F137" s="125"/>
      <c r="G137" s="125"/>
      <c r="H137" s="125"/>
      <c r="I137" s="125"/>
      <c r="J137" s="125"/>
      <c r="K137" s="125"/>
      <c r="L137" s="125"/>
      <c r="M137" s="125"/>
      <c r="N137" s="125"/>
      <c r="O137" s="125"/>
      <c r="P137" s="125"/>
      <c r="Q137" s="125"/>
      <c r="R137" s="125"/>
      <c r="S137" s="125"/>
      <c r="T137" s="125"/>
      <c r="U137" s="125"/>
      <c r="V137" s="125"/>
      <c r="W137" s="125"/>
      <c r="X137" s="125"/>
      <c r="Y137" s="125"/>
      <c r="Z137" s="125"/>
      <c r="AA137" s="125"/>
      <c r="AB137" s="125"/>
      <c r="AC137" s="125"/>
      <c r="AD137" s="125"/>
      <c r="AE137" s="125"/>
      <c r="AF137" s="125"/>
    </row>
    <row r="138">
      <c r="A138" s="125"/>
      <c r="B138" s="125"/>
      <c r="C138" s="125"/>
      <c r="D138" s="125"/>
      <c r="E138" s="223"/>
      <c r="F138" s="125"/>
      <c r="G138" s="125"/>
      <c r="H138" s="125"/>
      <c r="I138" s="125"/>
      <c r="J138" s="125"/>
      <c r="K138" s="125"/>
      <c r="L138" s="125"/>
      <c r="M138" s="125"/>
      <c r="N138" s="125"/>
      <c r="O138" s="125"/>
      <c r="P138" s="125"/>
      <c r="Q138" s="125"/>
      <c r="R138" s="125"/>
      <c r="S138" s="125"/>
      <c r="T138" s="125"/>
      <c r="U138" s="125"/>
      <c r="V138" s="125"/>
      <c r="W138" s="125"/>
      <c r="X138" s="125"/>
      <c r="Y138" s="125"/>
      <c r="Z138" s="125"/>
      <c r="AA138" s="125"/>
      <c r="AB138" s="125"/>
      <c r="AC138" s="125"/>
      <c r="AD138" s="125"/>
      <c r="AE138" s="125"/>
      <c r="AF138" s="125"/>
    </row>
    <row r="139">
      <c r="A139" s="125"/>
      <c r="B139" s="125"/>
      <c r="C139" s="125"/>
      <c r="D139" s="125"/>
      <c r="E139" s="223"/>
      <c r="F139" s="125"/>
      <c r="G139" s="125"/>
      <c r="H139" s="125"/>
      <c r="I139" s="125"/>
      <c r="J139" s="125"/>
      <c r="K139" s="125"/>
      <c r="L139" s="125"/>
      <c r="M139" s="125"/>
      <c r="N139" s="125"/>
      <c r="O139" s="125"/>
      <c r="P139" s="125"/>
      <c r="Q139" s="125"/>
      <c r="R139" s="125"/>
      <c r="S139" s="125"/>
      <c r="T139" s="125"/>
      <c r="U139" s="125"/>
      <c r="V139" s="125"/>
      <c r="W139" s="125"/>
      <c r="X139" s="125"/>
      <c r="Y139" s="125"/>
      <c r="Z139" s="125"/>
      <c r="AA139" s="125"/>
      <c r="AB139" s="125"/>
      <c r="AC139" s="125"/>
      <c r="AD139" s="125"/>
      <c r="AE139" s="125"/>
      <c r="AF139" s="125"/>
    </row>
    <row r="140">
      <c r="A140" s="125"/>
      <c r="B140" s="125"/>
      <c r="C140" s="125"/>
      <c r="D140" s="125"/>
      <c r="E140" s="223"/>
      <c r="F140" s="125"/>
      <c r="G140" s="125"/>
      <c r="H140" s="125"/>
      <c r="I140" s="125"/>
      <c r="J140" s="125"/>
      <c r="K140" s="125"/>
      <c r="L140" s="125"/>
      <c r="M140" s="125"/>
      <c r="N140" s="125"/>
      <c r="O140" s="125"/>
      <c r="P140" s="125"/>
      <c r="Q140" s="125"/>
      <c r="R140" s="125"/>
      <c r="S140" s="125"/>
      <c r="T140" s="125"/>
      <c r="U140" s="125"/>
      <c r="V140" s="125"/>
      <c r="W140" s="125"/>
      <c r="X140" s="125"/>
      <c r="Y140" s="125"/>
      <c r="Z140" s="125"/>
      <c r="AA140" s="125"/>
      <c r="AB140" s="125"/>
      <c r="AC140" s="125"/>
      <c r="AD140" s="125"/>
      <c r="AE140" s="125"/>
      <c r="AF140" s="125"/>
    </row>
    <row r="141">
      <c r="A141" s="125"/>
      <c r="B141" s="125"/>
      <c r="C141" s="125"/>
      <c r="D141" s="125"/>
      <c r="E141" s="223"/>
      <c r="F141" s="125"/>
      <c r="G141" s="125"/>
      <c r="H141" s="125"/>
      <c r="I141" s="125"/>
      <c r="J141" s="125"/>
      <c r="K141" s="125"/>
      <c r="L141" s="125"/>
      <c r="M141" s="125"/>
      <c r="N141" s="125"/>
      <c r="O141" s="125"/>
      <c r="P141" s="125"/>
      <c r="Q141" s="125"/>
      <c r="R141" s="125"/>
      <c r="S141" s="125"/>
      <c r="T141" s="125"/>
      <c r="U141" s="125"/>
      <c r="V141" s="125"/>
      <c r="W141" s="125"/>
      <c r="X141" s="125"/>
      <c r="Y141" s="125"/>
      <c r="Z141" s="125"/>
      <c r="AA141" s="125"/>
      <c r="AB141" s="125"/>
      <c r="AC141" s="125"/>
      <c r="AD141" s="125"/>
      <c r="AE141" s="125"/>
      <c r="AF141" s="125"/>
    </row>
    <row r="142">
      <c r="A142" s="125"/>
      <c r="B142" s="125"/>
      <c r="C142" s="125"/>
      <c r="D142" s="125"/>
      <c r="E142" s="223"/>
      <c r="F142" s="125"/>
      <c r="G142" s="125"/>
      <c r="H142" s="125"/>
      <c r="I142" s="125"/>
      <c r="J142" s="125"/>
      <c r="K142" s="125"/>
      <c r="L142" s="125"/>
      <c r="M142" s="125"/>
      <c r="N142" s="125"/>
      <c r="O142" s="125"/>
      <c r="P142" s="125"/>
      <c r="Q142" s="125"/>
      <c r="R142" s="125"/>
      <c r="S142" s="125"/>
      <c r="T142" s="125"/>
      <c r="U142" s="125"/>
      <c r="V142" s="125"/>
      <c r="W142" s="125"/>
      <c r="X142" s="125"/>
      <c r="Y142" s="125"/>
      <c r="Z142" s="125"/>
      <c r="AA142" s="125"/>
      <c r="AB142" s="125"/>
      <c r="AC142" s="125"/>
      <c r="AD142" s="125"/>
      <c r="AE142" s="125"/>
      <c r="AF142" s="125"/>
    </row>
    <row r="143">
      <c r="A143" s="125"/>
      <c r="B143" s="125"/>
      <c r="C143" s="125"/>
      <c r="D143" s="125"/>
      <c r="E143" s="223"/>
      <c r="F143" s="125"/>
      <c r="G143" s="125"/>
      <c r="H143" s="125"/>
      <c r="I143" s="125"/>
      <c r="J143" s="125"/>
      <c r="K143" s="125"/>
      <c r="L143" s="125"/>
      <c r="M143" s="125"/>
      <c r="N143" s="125"/>
      <c r="O143" s="125"/>
      <c r="P143" s="125"/>
      <c r="Q143" s="125"/>
      <c r="R143" s="125"/>
      <c r="S143" s="125"/>
      <c r="T143" s="125"/>
      <c r="U143" s="125"/>
      <c r="V143" s="125"/>
      <c r="W143" s="125"/>
      <c r="X143" s="125"/>
      <c r="Y143" s="125"/>
      <c r="Z143" s="125"/>
      <c r="AA143" s="125"/>
      <c r="AB143" s="125"/>
      <c r="AC143" s="125"/>
      <c r="AD143" s="125"/>
      <c r="AE143" s="125"/>
      <c r="AF143" s="125"/>
    </row>
    <row r="144">
      <c r="A144" s="125"/>
      <c r="B144" s="125"/>
      <c r="C144" s="125"/>
      <c r="D144" s="125"/>
      <c r="E144" s="223"/>
      <c r="F144" s="125"/>
      <c r="G144" s="125"/>
      <c r="H144" s="125"/>
      <c r="I144" s="125"/>
      <c r="J144" s="125"/>
      <c r="K144" s="125"/>
      <c r="L144" s="125"/>
      <c r="M144" s="125"/>
      <c r="N144" s="125"/>
      <c r="O144" s="125"/>
      <c r="P144" s="125"/>
      <c r="Q144" s="125"/>
      <c r="R144" s="125"/>
      <c r="S144" s="125"/>
      <c r="T144" s="125"/>
      <c r="U144" s="125"/>
      <c r="V144" s="125"/>
      <c r="W144" s="125"/>
      <c r="X144" s="125"/>
      <c r="Y144" s="125"/>
      <c r="Z144" s="125"/>
      <c r="AA144" s="125"/>
      <c r="AB144" s="125"/>
      <c r="AC144" s="125"/>
      <c r="AD144" s="125"/>
      <c r="AE144" s="125"/>
      <c r="AF144" s="125"/>
    </row>
    <row r="145">
      <c r="A145" s="125"/>
      <c r="B145" s="125"/>
      <c r="C145" s="125"/>
      <c r="D145" s="125"/>
      <c r="E145" s="223"/>
      <c r="F145" s="125"/>
      <c r="G145" s="125"/>
      <c r="H145" s="125"/>
      <c r="I145" s="125"/>
      <c r="J145" s="125"/>
      <c r="K145" s="125"/>
      <c r="L145" s="125"/>
      <c r="M145" s="125"/>
      <c r="N145" s="125"/>
      <c r="O145" s="125"/>
      <c r="P145" s="125"/>
      <c r="Q145" s="125"/>
      <c r="R145" s="125"/>
      <c r="S145" s="125"/>
      <c r="T145" s="125"/>
      <c r="U145" s="125"/>
      <c r="V145" s="125"/>
      <c r="W145" s="125"/>
      <c r="X145" s="125"/>
      <c r="Y145" s="125"/>
      <c r="Z145" s="125"/>
      <c r="AA145" s="125"/>
      <c r="AB145" s="125"/>
      <c r="AC145" s="125"/>
      <c r="AD145" s="125"/>
      <c r="AE145" s="125"/>
      <c r="AF145" s="125"/>
    </row>
    <row r="146">
      <c r="A146" s="125"/>
      <c r="B146" s="125"/>
      <c r="C146" s="125"/>
      <c r="D146" s="125"/>
      <c r="E146" s="223"/>
      <c r="F146" s="125"/>
      <c r="G146" s="125"/>
      <c r="H146" s="125"/>
      <c r="I146" s="125"/>
      <c r="J146" s="125"/>
      <c r="K146" s="125"/>
      <c r="L146" s="125"/>
      <c r="M146" s="125"/>
      <c r="N146" s="125"/>
      <c r="O146" s="125"/>
      <c r="P146" s="125"/>
      <c r="Q146" s="125"/>
      <c r="R146" s="125"/>
      <c r="S146" s="125"/>
      <c r="T146" s="125"/>
      <c r="U146" s="125"/>
      <c r="V146" s="125"/>
      <c r="W146" s="125"/>
      <c r="X146" s="125"/>
      <c r="Y146" s="125"/>
      <c r="Z146" s="125"/>
      <c r="AA146" s="125"/>
      <c r="AB146" s="125"/>
      <c r="AC146" s="125"/>
      <c r="AD146" s="125"/>
      <c r="AE146" s="125"/>
      <c r="AF146" s="125"/>
    </row>
    <row r="147">
      <c r="A147" s="125"/>
      <c r="B147" s="125"/>
      <c r="C147" s="125"/>
      <c r="D147" s="125"/>
      <c r="E147" s="223"/>
      <c r="F147" s="125"/>
      <c r="G147" s="125"/>
      <c r="H147" s="125"/>
      <c r="I147" s="125"/>
      <c r="J147" s="125"/>
      <c r="K147" s="125"/>
      <c r="L147" s="125"/>
      <c r="M147" s="125"/>
      <c r="N147" s="125"/>
      <c r="O147" s="125"/>
      <c r="P147" s="125"/>
      <c r="Q147" s="125"/>
      <c r="R147" s="125"/>
      <c r="S147" s="125"/>
      <c r="T147" s="125"/>
      <c r="U147" s="125"/>
      <c r="V147" s="125"/>
      <c r="W147" s="125"/>
      <c r="X147" s="125"/>
      <c r="Y147" s="125"/>
      <c r="Z147" s="125"/>
      <c r="AA147" s="125"/>
      <c r="AB147" s="125"/>
      <c r="AC147" s="125"/>
      <c r="AD147" s="125"/>
      <c r="AE147" s="125"/>
      <c r="AF147" s="125"/>
    </row>
    <row r="148">
      <c r="A148" s="125"/>
      <c r="B148" s="125"/>
      <c r="C148" s="125"/>
      <c r="D148" s="125"/>
      <c r="E148" s="223"/>
      <c r="F148" s="125"/>
      <c r="G148" s="125"/>
      <c r="H148" s="125"/>
      <c r="I148" s="125"/>
      <c r="J148" s="125"/>
      <c r="K148" s="125"/>
      <c r="L148" s="125"/>
      <c r="M148" s="125"/>
      <c r="N148" s="125"/>
      <c r="O148" s="125"/>
      <c r="P148" s="125"/>
      <c r="Q148" s="125"/>
      <c r="R148" s="125"/>
      <c r="S148" s="125"/>
      <c r="T148" s="125"/>
      <c r="U148" s="125"/>
      <c r="V148" s="125"/>
      <c r="W148" s="125"/>
      <c r="X148" s="125"/>
      <c r="Y148" s="125"/>
      <c r="Z148" s="125"/>
      <c r="AA148" s="125"/>
      <c r="AB148" s="125"/>
      <c r="AC148" s="125"/>
      <c r="AD148" s="125"/>
      <c r="AE148" s="125"/>
      <c r="AF148" s="125"/>
    </row>
    <row r="149">
      <c r="A149" s="125"/>
      <c r="B149" s="125"/>
      <c r="C149" s="125"/>
      <c r="D149" s="125"/>
      <c r="E149" s="223"/>
      <c r="F149" s="125"/>
      <c r="G149" s="125"/>
      <c r="H149" s="125"/>
      <c r="I149" s="125"/>
      <c r="J149" s="125"/>
      <c r="K149" s="125"/>
      <c r="L149" s="125"/>
      <c r="M149" s="125"/>
      <c r="N149" s="125"/>
      <c r="O149" s="125"/>
      <c r="P149" s="125"/>
      <c r="Q149" s="125"/>
      <c r="R149" s="125"/>
      <c r="S149" s="125"/>
      <c r="T149" s="125"/>
      <c r="U149" s="125"/>
      <c r="V149" s="125"/>
      <c r="W149" s="125"/>
      <c r="X149" s="125"/>
      <c r="Y149" s="125"/>
      <c r="Z149" s="125"/>
      <c r="AA149" s="125"/>
      <c r="AB149" s="125"/>
      <c r="AC149" s="125"/>
      <c r="AD149" s="125"/>
      <c r="AE149" s="125"/>
      <c r="AF149" s="125"/>
    </row>
    <row r="150">
      <c r="A150" s="125"/>
      <c r="B150" s="125"/>
      <c r="C150" s="125"/>
      <c r="D150" s="125"/>
      <c r="E150" s="223"/>
      <c r="F150" s="125"/>
      <c r="G150" s="125"/>
      <c r="H150" s="125"/>
      <c r="I150" s="125"/>
      <c r="J150" s="125"/>
      <c r="K150" s="125"/>
      <c r="L150" s="125"/>
      <c r="M150" s="125"/>
      <c r="N150" s="125"/>
      <c r="O150" s="125"/>
      <c r="P150" s="125"/>
      <c r="Q150" s="125"/>
      <c r="R150" s="125"/>
      <c r="S150" s="125"/>
      <c r="T150" s="125"/>
      <c r="U150" s="125"/>
      <c r="V150" s="125"/>
      <c r="W150" s="125"/>
      <c r="X150" s="125"/>
      <c r="Y150" s="125"/>
      <c r="Z150" s="125"/>
      <c r="AA150" s="125"/>
      <c r="AB150" s="125"/>
      <c r="AC150" s="125"/>
      <c r="AD150" s="125"/>
      <c r="AE150" s="125"/>
      <c r="AF150" s="125"/>
    </row>
    <row r="151">
      <c r="A151" s="125"/>
      <c r="B151" s="125"/>
      <c r="C151" s="125"/>
      <c r="D151" s="125"/>
      <c r="E151" s="223"/>
      <c r="F151" s="125"/>
      <c r="G151" s="125"/>
      <c r="H151" s="125"/>
      <c r="I151" s="125"/>
      <c r="J151" s="125"/>
      <c r="K151" s="125"/>
      <c r="L151" s="125"/>
      <c r="M151" s="125"/>
      <c r="N151" s="125"/>
      <c r="O151" s="125"/>
      <c r="P151" s="125"/>
      <c r="Q151" s="125"/>
      <c r="R151" s="125"/>
      <c r="S151" s="125"/>
      <c r="T151" s="125"/>
      <c r="U151" s="125"/>
      <c r="V151" s="125"/>
      <c r="W151" s="125"/>
      <c r="X151" s="125"/>
      <c r="Y151" s="125"/>
      <c r="Z151" s="125"/>
      <c r="AA151" s="125"/>
      <c r="AB151" s="125"/>
      <c r="AC151" s="125"/>
      <c r="AD151" s="125"/>
      <c r="AE151" s="125"/>
      <c r="AF151" s="125"/>
    </row>
    <row r="152">
      <c r="A152" s="125"/>
      <c r="B152" s="125"/>
      <c r="C152" s="125"/>
      <c r="D152" s="125"/>
      <c r="E152" s="223"/>
      <c r="F152" s="125"/>
      <c r="G152" s="125"/>
      <c r="H152" s="125"/>
      <c r="I152" s="125"/>
      <c r="J152" s="125"/>
      <c r="K152" s="125"/>
      <c r="L152" s="125"/>
      <c r="M152" s="125"/>
      <c r="N152" s="125"/>
      <c r="O152" s="125"/>
      <c r="P152" s="125"/>
      <c r="Q152" s="125"/>
      <c r="R152" s="125"/>
      <c r="S152" s="125"/>
      <c r="T152" s="125"/>
      <c r="U152" s="125"/>
      <c r="V152" s="125"/>
      <c r="W152" s="125"/>
      <c r="X152" s="125"/>
      <c r="Y152" s="125"/>
      <c r="Z152" s="125"/>
      <c r="AA152" s="125"/>
      <c r="AB152" s="125"/>
      <c r="AC152" s="125"/>
      <c r="AD152" s="125"/>
      <c r="AE152" s="125"/>
      <c r="AF152" s="125"/>
    </row>
    <row r="153">
      <c r="A153" s="125"/>
      <c r="B153" s="125"/>
      <c r="C153" s="125"/>
      <c r="D153" s="125"/>
      <c r="E153" s="223"/>
      <c r="F153" s="125"/>
      <c r="G153" s="125"/>
      <c r="H153" s="125"/>
      <c r="I153" s="125"/>
      <c r="J153" s="125"/>
      <c r="K153" s="125"/>
      <c r="L153" s="125"/>
      <c r="M153" s="125"/>
      <c r="N153" s="125"/>
      <c r="O153" s="125"/>
      <c r="P153" s="125"/>
      <c r="Q153" s="125"/>
      <c r="R153" s="125"/>
      <c r="S153" s="125"/>
      <c r="T153" s="125"/>
      <c r="U153" s="125"/>
      <c r="V153" s="125"/>
      <c r="W153" s="125"/>
      <c r="X153" s="125"/>
      <c r="Y153" s="125"/>
      <c r="Z153" s="125"/>
      <c r="AA153" s="125"/>
      <c r="AB153" s="125"/>
      <c r="AC153" s="125"/>
      <c r="AD153" s="125"/>
      <c r="AE153" s="125"/>
      <c r="AF153" s="125"/>
    </row>
    <row r="154">
      <c r="A154" s="125"/>
      <c r="B154" s="125"/>
      <c r="C154" s="125"/>
      <c r="D154" s="125"/>
      <c r="E154" s="223"/>
      <c r="F154" s="125"/>
      <c r="G154" s="125"/>
      <c r="H154" s="125"/>
      <c r="I154" s="125"/>
      <c r="J154" s="125"/>
      <c r="K154" s="125"/>
      <c r="L154" s="125"/>
      <c r="M154" s="125"/>
      <c r="N154" s="125"/>
      <c r="O154" s="125"/>
      <c r="P154" s="125"/>
      <c r="Q154" s="125"/>
      <c r="R154" s="125"/>
      <c r="S154" s="125"/>
      <c r="T154" s="125"/>
      <c r="U154" s="125"/>
      <c r="V154" s="125"/>
      <c r="W154" s="125"/>
      <c r="X154" s="125"/>
      <c r="Y154" s="125"/>
      <c r="Z154" s="125"/>
      <c r="AA154" s="125"/>
      <c r="AB154" s="125"/>
      <c r="AC154" s="125"/>
      <c r="AD154" s="125"/>
      <c r="AE154" s="125"/>
      <c r="AF154" s="125"/>
    </row>
    <row r="155">
      <c r="A155" s="125"/>
      <c r="B155" s="125"/>
      <c r="C155" s="125"/>
      <c r="D155" s="125"/>
      <c r="E155" s="223"/>
      <c r="F155" s="125"/>
      <c r="G155" s="125"/>
      <c r="H155" s="125"/>
      <c r="I155" s="125"/>
      <c r="J155" s="125"/>
      <c r="K155" s="125"/>
      <c r="L155" s="125"/>
      <c r="M155" s="125"/>
      <c r="N155" s="125"/>
      <c r="O155" s="125"/>
      <c r="P155" s="125"/>
      <c r="Q155" s="125"/>
      <c r="R155" s="125"/>
      <c r="S155" s="125"/>
      <c r="T155" s="125"/>
      <c r="U155" s="125"/>
      <c r="V155" s="125"/>
      <c r="W155" s="125"/>
      <c r="X155" s="125"/>
      <c r="Y155" s="125"/>
      <c r="Z155" s="125"/>
      <c r="AA155" s="125"/>
      <c r="AB155" s="125"/>
      <c r="AC155" s="125"/>
      <c r="AD155" s="125"/>
      <c r="AE155" s="125"/>
      <c r="AF155" s="125"/>
    </row>
    <row r="156">
      <c r="A156" s="125"/>
      <c r="B156" s="125"/>
      <c r="C156" s="125"/>
      <c r="D156" s="125"/>
      <c r="E156" s="223"/>
      <c r="F156" s="125"/>
      <c r="G156" s="125"/>
      <c r="H156" s="125"/>
      <c r="I156" s="125"/>
      <c r="J156" s="125"/>
      <c r="K156" s="125"/>
      <c r="L156" s="125"/>
      <c r="M156" s="125"/>
      <c r="N156" s="125"/>
      <c r="O156" s="125"/>
      <c r="P156" s="125"/>
      <c r="Q156" s="125"/>
      <c r="R156" s="125"/>
      <c r="S156" s="125"/>
      <c r="T156" s="125"/>
      <c r="U156" s="125"/>
      <c r="V156" s="125"/>
      <c r="W156" s="125"/>
      <c r="X156" s="125"/>
      <c r="Y156" s="125"/>
      <c r="Z156" s="125"/>
      <c r="AA156" s="125"/>
      <c r="AB156" s="125"/>
      <c r="AC156" s="125"/>
      <c r="AD156" s="125"/>
      <c r="AE156" s="125"/>
      <c r="AF156" s="125"/>
    </row>
    <row r="157">
      <c r="A157" s="125"/>
      <c r="B157" s="125"/>
      <c r="C157" s="125"/>
      <c r="D157" s="125"/>
      <c r="E157" s="223"/>
      <c r="F157" s="125"/>
      <c r="G157" s="125"/>
      <c r="H157" s="125"/>
      <c r="I157" s="125"/>
      <c r="J157" s="125"/>
      <c r="K157" s="125"/>
      <c r="L157" s="125"/>
      <c r="M157" s="125"/>
      <c r="N157" s="125"/>
      <c r="O157" s="125"/>
      <c r="P157" s="125"/>
      <c r="Q157" s="125"/>
      <c r="R157" s="125"/>
      <c r="S157" s="125"/>
      <c r="T157" s="125"/>
      <c r="U157" s="125"/>
      <c r="V157" s="125"/>
      <c r="W157" s="125"/>
      <c r="X157" s="125"/>
      <c r="Y157" s="125"/>
      <c r="Z157" s="125"/>
      <c r="AA157" s="125"/>
      <c r="AB157" s="125"/>
      <c r="AC157" s="125"/>
      <c r="AD157" s="125"/>
      <c r="AE157" s="125"/>
      <c r="AF157" s="125"/>
    </row>
    <row r="158">
      <c r="A158" s="125"/>
      <c r="B158" s="125"/>
      <c r="C158" s="125"/>
      <c r="D158" s="125"/>
      <c r="E158" s="223"/>
      <c r="F158" s="125"/>
      <c r="G158" s="125"/>
      <c r="H158" s="125"/>
      <c r="I158" s="125"/>
      <c r="J158" s="125"/>
      <c r="K158" s="125"/>
      <c r="L158" s="125"/>
      <c r="M158" s="125"/>
      <c r="N158" s="125"/>
      <c r="O158" s="125"/>
      <c r="P158" s="125"/>
      <c r="Q158" s="125"/>
      <c r="R158" s="125"/>
      <c r="S158" s="125"/>
      <c r="T158" s="125"/>
      <c r="U158" s="125"/>
      <c r="V158" s="125"/>
      <c r="W158" s="125"/>
      <c r="X158" s="125"/>
      <c r="Y158" s="125"/>
      <c r="Z158" s="125"/>
      <c r="AA158" s="125"/>
      <c r="AB158" s="125"/>
      <c r="AC158" s="125"/>
      <c r="AD158" s="125"/>
      <c r="AE158" s="125"/>
      <c r="AF158" s="125"/>
    </row>
    <row r="159">
      <c r="A159" s="125"/>
      <c r="B159" s="125"/>
      <c r="C159" s="125"/>
      <c r="D159" s="125"/>
      <c r="E159" s="223"/>
      <c r="F159" s="125"/>
      <c r="G159" s="125"/>
      <c r="H159" s="125"/>
      <c r="I159" s="125"/>
      <c r="J159" s="125"/>
      <c r="K159" s="125"/>
      <c r="L159" s="125"/>
      <c r="M159" s="125"/>
      <c r="N159" s="125"/>
      <c r="O159" s="125"/>
      <c r="P159" s="125"/>
      <c r="Q159" s="125"/>
      <c r="R159" s="125"/>
      <c r="S159" s="125"/>
      <c r="T159" s="125"/>
      <c r="U159" s="125"/>
      <c r="V159" s="125"/>
      <c r="W159" s="125"/>
      <c r="X159" s="125"/>
      <c r="Y159" s="125"/>
      <c r="Z159" s="125"/>
      <c r="AA159" s="125"/>
      <c r="AB159" s="125"/>
      <c r="AC159" s="125"/>
      <c r="AD159" s="125"/>
      <c r="AE159" s="125"/>
      <c r="AF159" s="125"/>
    </row>
    <row r="160">
      <c r="A160" s="125"/>
      <c r="B160" s="125"/>
      <c r="C160" s="125"/>
      <c r="D160" s="125"/>
      <c r="E160" s="223"/>
      <c r="F160" s="125"/>
      <c r="G160" s="125"/>
      <c r="H160" s="125"/>
      <c r="I160" s="125"/>
      <c r="J160" s="125"/>
      <c r="K160" s="125"/>
      <c r="L160" s="125"/>
      <c r="M160" s="125"/>
      <c r="N160" s="125"/>
      <c r="O160" s="125"/>
      <c r="P160" s="125"/>
      <c r="Q160" s="125"/>
      <c r="R160" s="125"/>
      <c r="S160" s="125"/>
      <c r="T160" s="125"/>
      <c r="U160" s="125"/>
      <c r="V160" s="125"/>
      <c r="W160" s="125"/>
      <c r="X160" s="125"/>
      <c r="Y160" s="125"/>
      <c r="Z160" s="125"/>
      <c r="AA160" s="125"/>
      <c r="AB160" s="125"/>
      <c r="AC160" s="125"/>
      <c r="AD160" s="125"/>
      <c r="AE160" s="125"/>
      <c r="AF160" s="125"/>
    </row>
    <row r="161">
      <c r="A161" s="125"/>
      <c r="B161" s="125"/>
      <c r="C161" s="125"/>
      <c r="D161" s="125"/>
      <c r="E161" s="223"/>
      <c r="F161" s="125"/>
      <c r="G161" s="125"/>
      <c r="H161" s="125"/>
      <c r="I161" s="125"/>
      <c r="J161" s="125"/>
      <c r="K161" s="125"/>
      <c r="L161" s="125"/>
      <c r="M161" s="125"/>
      <c r="N161" s="125"/>
      <c r="O161" s="125"/>
      <c r="P161" s="125"/>
      <c r="Q161" s="125"/>
      <c r="R161" s="125"/>
      <c r="S161" s="125"/>
      <c r="T161" s="125"/>
      <c r="U161" s="125"/>
      <c r="V161" s="125"/>
      <c r="W161" s="125"/>
      <c r="X161" s="125"/>
      <c r="Y161" s="125"/>
      <c r="Z161" s="125"/>
      <c r="AA161" s="125"/>
      <c r="AB161" s="125"/>
      <c r="AC161" s="125"/>
      <c r="AD161" s="125"/>
      <c r="AE161" s="125"/>
      <c r="AF161" s="125"/>
    </row>
    <row r="162">
      <c r="A162" s="125"/>
      <c r="B162" s="125"/>
      <c r="C162" s="125"/>
      <c r="D162" s="125"/>
      <c r="E162" s="223"/>
      <c r="F162" s="125"/>
      <c r="G162" s="125"/>
      <c r="H162" s="125"/>
      <c r="I162" s="125"/>
      <c r="J162" s="125"/>
      <c r="K162" s="125"/>
      <c r="L162" s="125"/>
      <c r="M162" s="125"/>
      <c r="N162" s="125"/>
      <c r="O162" s="125"/>
      <c r="P162" s="125"/>
      <c r="Q162" s="125"/>
      <c r="R162" s="125"/>
      <c r="S162" s="125"/>
      <c r="T162" s="125"/>
      <c r="U162" s="125"/>
      <c r="V162" s="125"/>
      <c r="W162" s="125"/>
      <c r="X162" s="125"/>
      <c r="Y162" s="125"/>
      <c r="Z162" s="125"/>
      <c r="AA162" s="125"/>
      <c r="AB162" s="125"/>
      <c r="AC162" s="125"/>
      <c r="AD162" s="125"/>
      <c r="AE162" s="125"/>
      <c r="AF162" s="125"/>
    </row>
    <row r="163">
      <c r="A163" s="125"/>
      <c r="B163" s="125"/>
      <c r="C163" s="125"/>
      <c r="D163" s="125"/>
      <c r="E163" s="223"/>
      <c r="F163" s="125"/>
      <c r="G163" s="125"/>
      <c r="H163" s="125"/>
      <c r="I163" s="125"/>
      <c r="J163" s="125"/>
      <c r="K163" s="125"/>
      <c r="L163" s="125"/>
      <c r="M163" s="125"/>
      <c r="N163" s="125"/>
      <c r="O163" s="125"/>
      <c r="P163" s="125"/>
      <c r="Q163" s="125"/>
      <c r="R163" s="125"/>
      <c r="S163" s="125"/>
      <c r="T163" s="125"/>
      <c r="U163" s="125"/>
      <c r="V163" s="125"/>
      <c r="W163" s="125"/>
      <c r="X163" s="125"/>
      <c r="Y163" s="125"/>
      <c r="Z163" s="125"/>
      <c r="AA163" s="125"/>
      <c r="AB163" s="125"/>
      <c r="AC163" s="125"/>
      <c r="AD163" s="125"/>
      <c r="AE163" s="125"/>
      <c r="AF163" s="125"/>
    </row>
    <row r="164">
      <c r="A164" s="125"/>
      <c r="B164" s="125"/>
      <c r="C164" s="125"/>
      <c r="D164" s="125"/>
      <c r="E164" s="223"/>
      <c r="F164" s="125"/>
      <c r="G164" s="125"/>
      <c r="H164" s="125"/>
      <c r="I164" s="125"/>
      <c r="J164" s="125"/>
      <c r="K164" s="125"/>
      <c r="L164" s="125"/>
      <c r="M164" s="125"/>
      <c r="N164" s="125"/>
      <c r="O164" s="125"/>
      <c r="P164" s="125"/>
      <c r="Q164" s="125"/>
      <c r="R164" s="125"/>
      <c r="S164" s="125"/>
      <c r="T164" s="125"/>
      <c r="U164" s="125"/>
      <c r="V164" s="125"/>
      <c r="W164" s="125"/>
      <c r="X164" s="125"/>
      <c r="Y164" s="125"/>
      <c r="Z164" s="125"/>
      <c r="AA164" s="125"/>
      <c r="AB164" s="125"/>
      <c r="AC164" s="125"/>
      <c r="AD164" s="125"/>
      <c r="AE164" s="125"/>
      <c r="AF164" s="125"/>
    </row>
    <row r="165">
      <c r="A165" s="125"/>
      <c r="B165" s="125"/>
      <c r="C165" s="125"/>
      <c r="D165" s="125"/>
      <c r="E165" s="223"/>
      <c r="F165" s="125"/>
      <c r="G165" s="125"/>
      <c r="H165" s="125"/>
      <c r="I165" s="125"/>
      <c r="J165" s="125"/>
      <c r="K165" s="125"/>
      <c r="L165" s="125"/>
      <c r="M165" s="125"/>
      <c r="N165" s="125"/>
      <c r="O165" s="125"/>
      <c r="P165" s="125"/>
      <c r="Q165" s="125"/>
      <c r="R165" s="125"/>
      <c r="S165" s="125"/>
      <c r="T165" s="125"/>
      <c r="U165" s="125"/>
      <c r="V165" s="125"/>
      <c r="W165" s="125"/>
      <c r="X165" s="125"/>
      <c r="Y165" s="125"/>
      <c r="Z165" s="125"/>
      <c r="AA165" s="125"/>
      <c r="AB165" s="125"/>
      <c r="AC165" s="125"/>
      <c r="AD165" s="125"/>
      <c r="AE165" s="125"/>
      <c r="AF165" s="125"/>
    </row>
    <row r="166">
      <c r="A166" s="125"/>
      <c r="B166" s="125"/>
      <c r="C166" s="125"/>
      <c r="D166" s="125"/>
      <c r="E166" s="223"/>
      <c r="F166" s="125"/>
      <c r="G166" s="125"/>
      <c r="H166" s="125"/>
      <c r="I166" s="125"/>
      <c r="J166" s="125"/>
      <c r="K166" s="125"/>
      <c r="L166" s="125"/>
      <c r="M166" s="125"/>
      <c r="N166" s="125"/>
      <c r="O166" s="125"/>
      <c r="P166" s="125"/>
      <c r="Q166" s="125"/>
      <c r="R166" s="125"/>
      <c r="S166" s="125"/>
      <c r="T166" s="125"/>
      <c r="U166" s="125"/>
      <c r="V166" s="125"/>
      <c r="W166" s="125"/>
      <c r="X166" s="125"/>
      <c r="Y166" s="125"/>
      <c r="Z166" s="125"/>
      <c r="AA166" s="125"/>
      <c r="AB166" s="125"/>
      <c r="AC166" s="125"/>
      <c r="AD166" s="125"/>
      <c r="AE166" s="125"/>
      <c r="AF166" s="125"/>
    </row>
    <row r="167">
      <c r="A167" s="125"/>
      <c r="B167" s="125"/>
      <c r="C167" s="125"/>
      <c r="D167" s="125"/>
      <c r="E167" s="223"/>
      <c r="F167" s="125"/>
      <c r="G167" s="125"/>
      <c r="H167" s="125"/>
      <c r="I167" s="125"/>
      <c r="J167" s="125"/>
      <c r="K167" s="125"/>
      <c r="L167" s="125"/>
      <c r="M167" s="125"/>
      <c r="N167" s="125"/>
      <c r="O167" s="125"/>
      <c r="P167" s="125"/>
      <c r="Q167" s="125"/>
      <c r="R167" s="125"/>
      <c r="S167" s="125"/>
      <c r="T167" s="125"/>
      <c r="U167" s="125"/>
      <c r="V167" s="125"/>
      <c r="W167" s="125"/>
      <c r="X167" s="125"/>
      <c r="Y167" s="125"/>
      <c r="Z167" s="125"/>
      <c r="AA167" s="125"/>
      <c r="AB167" s="125"/>
      <c r="AC167" s="125"/>
      <c r="AD167" s="125"/>
      <c r="AE167" s="125"/>
      <c r="AF167" s="125"/>
    </row>
    <row r="168">
      <c r="A168" s="125"/>
      <c r="B168" s="125"/>
      <c r="C168" s="125"/>
      <c r="D168" s="125"/>
      <c r="E168" s="223"/>
      <c r="F168" s="125"/>
      <c r="G168" s="125"/>
      <c r="H168" s="125"/>
      <c r="I168" s="125"/>
      <c r="J168" s="125"/>
      <c r="K168" s="125"/>
      <c r="L168" s="125"/>
      <c r="M168" s="125"/>
      <c r="N168" s="125"/>
      <c r="O168" s="125"/>
      <c r="P168" s="125"/>
      <c r="Q168" s="125"/>
      <c r="R168" s="125"/>
      <c r="S168" s="125"/>
      <c r="T168" s="125"/>
      <c r="U168" s="125"/>
      <c r="V168" s="125"/>
      <c r="W168" s="125"/>
      <c r="X168" s="125"/>
      <c r="Y168" s="125"/>
      <c r="Z168" s="125"/>
      <c r="AA168" s="125"/>
      <c r="AB168" s="125"/>
      <c r="AC168" s="125"/>
      <c r="AD168" s="125"/>
      <c r="AE168" s="125"/>
      <c r="AF168" s="125"/>
    </row>
    <row r="169">
      <c r="A169" s="125"/>
      <c r="B169" s="125"/>
      <c r="C169" s="125"/>
      <c r="D169" s="125"/>
      <c r="E169" s="223"/>
      <c r="F169" s="125"/>
      <c r="G169" s="125"/>
      <c r="H169" s="125"/>
      <c r="I169" s="125"/>
      <c r="J169" s="125"/>
      <c r="K169" s="125"/>
      <c r="L169" s="125"/>
      <c r="M169" s="125"/>
      <c r="N169" s="125"/>
      <c r="O169" s="125"/>
      <c r="P169" s="125"/>
      <c r="Q169" s="125"/>
      <c r="R169" s="125"/>
      <c r="S169" s="125"/>
      <c r="T169" s="125"/>
      <c r="U169" s="125"/>
      <c r="V169" s="125"/>
      <c r="W169" s="125"/>
      <c r="X169" s="125"/>
      <c r="Y169" s="125"/>
      <c r="Z169" s="125"/>
      <c r="AA169" s="125"/>
      <c r="AB169" s="125"/>
      <c r="AC169" s="125"/>
      <c r="AD169" s="125"/>
      <c r="AE169" s="125"/>
      <c r="AF169" s="125"/>
    </row>
    <row r="170">
      <c r="A170" s="125"/>
      <c r="B170" s="125"/>
      <c r="C170" s="125"/>
      <c r="D170" s="125"/>
      <c r="E170" s="223"/>
      <c r="F170" s="125"/>
      <c r="G170" s="125"/>
      <c r="H170" s="125"/>
      <c r="I170" s="125"/>
      <c r="J170" s="125"/>
      <c r="K170" s="125"/>
      <c r="L170" s="125"/>
      <c r="M170" s="125"/>
      <c r="N170" s="125"/>
      <c r="O170" s="125"/>
      <c r="P170" s="125"/>
      <c r="Q170" s="125"/>
      <c r="R170" s="125"/>
      <c r="S170" s="125"/>
      <c r="T170" s="125"/>
      <c r="U170" s="125"/>
      <c r="V170" s="125"/>
      <c r="W170" s="125"/>
      <c r="X170" s="125"/>
      <c r="Y170" s="125"/>
      <c r="Z170" s="125"/>
      <c r="AA170" s="125"/>
      <c r="AB170" s="125"/>
      <c r="AC170" s="125"/>
      <c r="AD170" s="125"/>
      <c r="AE170" s="125"/>
      <c r="AF170" s="125"/>
    </row>
    <row r="171">
      <c r="A171" s="125"/>
      <c r="B171" s="125"/>
      <c r="C171" s="125"/>
      <c r="D171" s="125"/>
      <c r="E171" s="223"/>
      <c r="F171" s="125"/>
      <c r="G171" s="125"/>
      <c r="H171" s="125"/>
      <c r="I171" s="125"/>
      <c r="J171" s="125"/>
      <c r="K171" s="125"/>
      <c r="L171" s="125"/>
      <c r="M171" s="125"/>
      <c r="N171" s="125"/>
      <c r="O171" s="125"/>
      <c r="P171" s="125"/>
      <c r="Q171" s="125"/>
      <c r="R171" s="125"/>
      <c r="S171" s="125"/>
      <c r="T171" s="125"/>
      <c r="U171" s="125"/>
      <c r="V171" s="125"/>
      <c r="W171" s="125"/>
      <c r="X171" s="125"/>
      <c r="Y171" s="125"/>
      <c r="Z171" s="125"/>
      <c r="AA171" s="125"/>
      <c r="AB171" s="125"/>
      <c r="AC171" s="125"/>
      <c r="AD171" s="125"/>
      <c r="AE171" s="125"/>
      <c r="AF171" s="125"/>
    </row>
    <row r="172">
      <c r="A172" s="125"/>
      <c r="B172" s="125"/>
      <c r="C172" s="125"/>
      <c r="D172" s="125"/>
      <c r="E172" s="223"/>
      <c r="F172" s="125"/>
      <c r="G172" s="125"/>
      <c r="H172" s="125"/>
      <c r="I172" s="125"/>
      <c r="J172" s="125"/>
      <c r="K172" s="125"/>
      <c r="L172" s="125"/>
      <c r="M172" s="125"/>
      <c r="N172" s="125"/>
      <c r="O172" s="125"/>
      <c r="P172" s="125"/>
      <c r="Q172" s="125"/>
      <c r="R172" s="125"/>
      <c r="S172" s="125"/>
      <c r="T172" s="125"/>
      <c r="U172" s="125"/>
      <c r="V172" s="125"/>
      <c r="W172" s="125"/>
      <c r="X172" s="125"/>
      <c r="Y172" s="125"/>
      <c r="Z172" s="125"/>
      <c r="AA172" s="125"/>
      <c r="AB172" s="125"/>
      <c r="AC172" s="125"/>
      <c r="AD172" s="125"/>
      <c r="AE172" s="125"/>
      <c r="AF172" s="125"/>
    </row>
    <row r="173">
      <c r="A173" s="125"/>
      <c r="B173" s="125"/>
      <c r="C173" s="125"/>
      <c r="D173" s="125"/>
      <c r="E173" s="223"/>
      <c r="F173" s="125"/>
      <c r="G173" s="125"/>
      <c r="H173" s="125"/>
      <c r="I173" s="125"/>
      <c r="J173" s="125"/>
      <c r="K173" s="125"/>
      <c r="L173" s="125"/>
      <c r="M173" s="125"/>
      <c r="N173" s="125"/>
      <c r="O173" s="125"/>
      <c r="P173" s="125"/>
      <c r="Q173" s="125"/>
      <c r="R173" s="125"/>
      <c r="S173" s="125"/>
      <c r="T173" s="125"/>
      <c r="U173" s="125"/>
      <c r="V173" s="125"/>
      <c r="W173" s="125"/>
      <c r="X173" s="125"/>
      <c r="Y173" s="125"/>
      <c r="Z173" s="125"/>
      <c r="AA173" s="125"/>
      <c r="AB173" s="125"/>
      <c r="AC173" s="125"/>
      <c r="AD173" s="125"/>
      <c r="AE173" s="125"/>
      <c r="AF173" s="125"/>
    </row>
    <row r="174">
      <c r="A174" s="125"/>
      <c r="B174" s="125"/>
      <c r="C174" s="125"/>
      <c r="D174" s="125"/>
      <c r="E174" s="223"/>
      <c r="F174" s="125"/>
      <c r="G174" s="125"/>
      <c r="H174" s="125"/>
      <c r="I174" s="125"/>
      <c r="J174" s="125"/>
      <c r="K174" s="125"/>
      <c r="L174" s="125"/>
      <c r="M174" s="125"/>
      <c r="N174" s="125"/>
      <c r="O174" s="125"/>
      <c r="P174" s="125"/>
      <c r="Q174" s="125"/>
      <c r="R174" s="125"/>
      <c r="S174" s="125"/>
      <c r="T174" s="125"/>
      <c r="U174" s="125"/>
      <c r="V174" s="125"/>
      <c r="W174" s="125"/>
      <c r="X174" s="125"/>
      <c r="Y174" s="125"/>
      <c r="Z174" s="125"/>
      <c r="AA174" s="125"/>
      <c r="AB174" s="125"/>
      <c r="AC174" s="125"/>
      <c r="AD174" s="125"/>
      <c r="AE174" s="125"/>
      <c r="AF174" s="125"/>
    </row>
    <row r="175">
      <c r="A175" s="125"/>
      <c r="B175" s="125"/>
      <c r="C175" s="125"/>
      <c r="D175" s="125"/>
      <c r="E175" s="223"/>
      <c r="F175" s="125"/>
      <c r="G175" s="125"/>
      <c r="H175" s="125"/>
      <c r="I175" s="125"/>
      <c r="J175" s="125"/>
      <c r="K175" s="125"/>
      <c r="L175" s="125"/>
      <c r="M175" s="125"/>
      <c r="N175" s="125"/>
      <c r="O175" s="125"/>
      <c r="P175" s="125"/>
      <c r="Q175" s="125"/>
      <c r="R175" s="125"/>
      <c r="S175" s="125"/>
      <c r="T175" s="125"/>
      <c r="U175" s="125"/>
      <c r="V175" s="125"/>
      <c r="W175" s="125"/>
      <c r="X175" s="125"/>
      <c r="Y175" s="125"/>
      <c r="Z175" s="125"/>
      <c r="AA175" s="125"/>
      <c r="AB175" s="125"/>
      <c r="AC175" s="125"/>
      <c r="AD175" s="125"/>
      <c r="AE175" s="125"/>
      <c r="AF175" s="125"/>
    </row>
    <row r="176">
      <c r="A176" s="125"/>
      <c r="B176" s="125"/>
      <c r="C176" s="125"/>
      <c r="D176" s="125"/>
      <c r="E176" s="223"/>
      <c r="F176" s="125"/>
      <c r="G176" s="125"/>
      <c r="H176" s="125"/>
      <c r="I176" s="125"/>
      <c r="J176" s="125"/>
      <c r="K176" s="125"/>
      <c r="L176" s="125"/>
      <c r="M176" s="125"/>
      <c r="N176" s="125"/>
      <c r="O176" s="125"/>
      <c r="P176" s="125"/>
      <c r="Q176" s="125"/>
      <c r="R176" s="125"/>
      <c r="S176" s="125"/>
      <c r="T176" s="125"/>
      <c r="U176" s="125"/>
      <c r="V176" s="125"/>
      <c r="W176" s="125"/>
      <c r="X176" s="125"/>
      <c r="Y176" s="125"/>
      <c r="Z176" s="125"/>
      <c r="AA176" s="125"/>
      <c r="AB176" s="125"/>
      <c r="AC176" s="125"/>
      <c r="AD176" s="125"/>
      <c r="AE176" s="125"/>
      <c r="AF176" s="125"/>
    </row>
    <row r="177">
      <c r="A177" s="125"/>
      <c r="B177" s="125"/>
      <c r="C177" s="125"/>
      <c r="D177" s="125"/>
      <c r="E177" s="223"/>
      <c r="F177" s="125"/>
      <c r="G177" s="125"/>
      <c r="H177" s="125"/>
      <c r="I177" s="125"/>
      <c r="J177" s="125"/>
      <c r="K177" s="125"/>
      <c r="L177" s="125"/>
      <c r="M177" s="125"/>
      <c r="N177" s="125"/>
      <c r="O177" s="125"/>
      <c r="P177" s="125"/>
      <c r="Q177" s="125"/>
      <c r="R177" s="125"/>
      <c r="S177" s="125"/>
      <c r="T177" s="125"/>
      <c r="U177" s="125"/>
      <c r="V177" s="125"/>
      <c r="W177" s="125"/>
      <c r="X177" s="125"/>
      <c r="Y177" s="125"/>
      <c r="Z177" s="125"/>
      <c r="AA177" s="125"/>
      <c r="AB177" s="125"/>
      <c r="AC177" s="125"/>
      <c r="AD177" s="125"/>
      <c r="AE177" s="125"/>
      <c r="AF177" s="125"/>
    </row>
    <row r="178">
      <c r="A178" s="125"/>
      <c r="B178" s="125"/>
      <c r="C178" s="125"/>
      <c r="D178" s="125"/>
      <c r="E178" s="223"/>
      <c r="F178" s="125"/>
      <c r="G178" s="125"/>
      <c r="H178" s="125"/>
      <c r="I178" s="125"/>
      <c r="J178" s="125"/>
      <c r="K178" s="125"/>
      <c r="L178" s="125"/>
      <c r="M178" s="125"/>
      <c r="N178" s="125"/>
      <c r="O178" s="125"/>
      <c r="P178" s="125"/>
      <c r="Q178" s="125"/>
      <c r="R178" s="125"/>
      <c r="S178" s="125"/>
      <c r="T178" s="125"/>
      <c r="U178" s="125"/>
      <c r="V178" s="125"/>
      <c r="W178" s="125"/>
      <c r="X178" s="125"/>
      <c r="Y178" s="125"/>
      <c r="Z178" s="125"/>
      <c r="AA178" s="125"/>
      <c r="AB178" s="125"/>
      <c r="AC178" s="125"/>
      <c r="AD178" s="125"/>
      <c r="AE178" s="125"/>
      <c r="AF178" s="125"/>
    </row>
    <row r="179">
      <c r="A179" s="125"/>
      <c r="B179" s="125"/>
      <c r="C179" s="125"/>
      <c r="D179" s="125"/>
      <c r="E179" s="223"/>
      <c r="F179" s="125"/>
      <c r="G179" s="125"/>
      <c r="H179" s="125"/>
      <c r="I179" s="125"/>
      <c r="J179" s="125"/>
      <c r="K179" s="125"/>
      <c r="L179" s="125"/>
      <c r="M179" s="125"/>
      <c r="N179" s="125"/>
      <c r="O179" s="125"/>
      <c r="P179" s="125"/>
      <c r="Q179" s="125"/>
      <c r="R179" s="125"/>
      <c r="S179" s="125"/>
      <c r="T179" s="125"/>
      <c r="U179" s="125"/>
      <c r="V179" s="125"/>
      <c r="W179" s="125"/>
      <c r="X179" s="125"/>
      <c r="Y179" s="125"/>
      <c r="Z179" s="125"/>
      <c r="AA179" s="125"/>
      <c r="AB179" s="125"/>
      <c r="AC179" s="125"/>
      <c r="AD179" s="125"/>
      <c r="AE179" s="125"/>
      <c r="AF179" s="125"/>
    </row>
    <row r="180">
      <c r="A180" s="125"/>
      <c r="B180" s="125"/>
      <c r="C180" s="125"/>
      <c r="D180" s="125"/>
      <c r="E180" s="223"/>
      <c r="F180" s="125"/>
      <c r="G180" s="125"/>
      <c r="H180" s="125"/>
      <c r="I180" s="125"/>
      <c r="J180" s="125"/>
      <c r="K180" s="125"/>
      <c r="L180" s="125"/>
      <c r="M180" s="125"/>
      <c r="N180" s="125"/>
      <c r="O180" s="125"/>
      <c r="P180" s="125"/>
      <c r="Q180" s="125"/>
      <c r="R180" s="125"/>
      <c r="S180" s="125"/>
      <c r="T180" s="125"/>
      <c r="U180" s="125"/>
      <c r="V180" s="125"/>
      <c r="W180" s="125"/>
      <c r="X180" s="125"/>
      <c r="Y180" s="125"/>
      <c r="Z180" s="125"/>
      <c r="AA180" s="125"/>
      <c r="AB180" s="125"/>
      <c r="AC180" s="125"/>
      <c r="AD180" s="125"/>
      <c r="AE180" s="125"/>
      <c r="AF180" s="125"/>
    </row>
    <row r="181">
      <c r="A181" s="125"/>
      <c r="B181" s="125"/>
      <c r="C181" s="125"/>
      <c r="D181" s="125"/>
      <c r="E181" s="223"/>
      <c r="F181" s="125"/>
      <c r="G181" s="125"/>
      <c r="H181" s="125"/>
      <c r="I181" s="125"/>
      <c r="J181" s="125"/>
      <c r="K181" s="125"/>
      <c r="L181" s="125"/>
      <c r="M181" s="125"/>
      <c r="N181" s="125"/>
      <c r="O181" s="125"/>
      <c r="P181" s="125"/>
      <c r="Q181" s="125"/>
      <c r="R181" s="125"/>
      <c r="S181" s="125"/>
      <c r="T181" s="125"/>
      <c r="U181" s="125"/>
      <c r="V181" s="125"/>
      <c r="W181" s="125"/>
      <c r="X181" s="125"/>
      <c r="Y181" s="125"/>
      <c r="Z181" s="125"/>
      <c r="AA181" s="125"/>
      <c r="AB181" s="125"/>
      <c r="AC181" s="125"/>
      <c r="AD181" s="125"/>
      <c r="AE181" s="125"/>
      <c r="AF181" s="125"/>
    </row>
    <row r="182">
      <c r="A182" s="125"/>
      <c r="B182" s="125"/>
      <c r="C182" s="125"/>
      <c r="D182" s="125"/>
      <c r="E182" s="223"/>
      <c r="F182" s="125"/>
      <c r="G182" s="125"/>
      <c r="H182" s="125"/>
      <c r="I182" s="125"/>
      <c r="J182" s="125"/>
      <c r="K182" s="125"/>
      <c r="L182" s="125"/>
      <c r="M182" s="125"/>
      <c r="N182" s="125"/>
      <c r="O182" s="125"/>
      <c r="P182" s="125"/>
      <c r="Q182" s="125"/>
      <c r="R182" s="125"/>
      <c r="S182" s="125"/>
      <c r="T182" s="125"/>
      <c r="U182" s="125"/>
      <c r="V182" s="125"/>
      <c r="W182" s="125"/>
      <c r="X182" s="125"/>
      <c r="Y182" s="125"/>
      <c r="Z182" s="125"/>
      <c r="AA182" s="125"/>
      <c r="AB182" s="125"/>
      <c r="AC182" s="125"/>
      <c r="AD182" s="125"/>
      <c r="AE182" s="125"/>
      <c r="AF182" s="125"/>
    </row>
    <row r="183">
      <c r="A183" s="125"/>
      <c r="B183" s="125"/>
      <c r="C183" s="125"/>
      <c r="D183" s="125"/>
      <c r="E183" s="223"/>
      <c r="F183" s="125"/>
      <c r="G183" s="125"/>
      <c r="H183" s="125"/>
      <c r="I183" s="125"/>
      <c r="J183" s="125"/>
      <c r="K183" s="125"/>
      <c r="L183" s="125"/>
      <c r="M183" s="125"/>
      <c r="N183" s="125"/>
      <c r="O183" s="125"/>
      <c r="P183" s="125"/>
      <c r="Q183" s="125"/>
      <c r="R183" s="125"/>
      <c r="S183" s="125"/>
      <c r="T183" s="125"/>
      <c r="U183" s="125"/>
      <c r="V183" s="125"/>
      <c r="W183" s="125"/>
      <c r="X183" s="125"/>
      <c r="Y183" s="125"/>
      <c r="Z183" s="125"/>
      <c r="AA183" s="125"/>
      <c r="AB183" s="125"/>
      <c r="AC183" s="125"/>
      <c r="AD183" s="125"/>
      <c r="AE183" s="125"/>
      <c r="AF183" s="125"/>
    </row>
    <row r="184">
      <c r="A184" s="125"/>
      <c r="B184" s="125"/>
      <c r="C184" s="125"/>
      <c r="D184" s="125"/>
      <c r="E184" s="223"/>
      <c r="F184" s="125"/>
      <c r="G184" s="125"/>
      <c r="H184" s="125"/>
      <c r="I184" s="125"/>
      <c r="J184" s="125"/>
      <c r="K184" s="125"/>
      <c r="L184" s="125"/>
      <c r="M184" s="125"/>
      <c r="N184" s="125"/>
      <c r="O184" s="125"/>
      <c r="P184" s="125"/>
      <c r="Q184" s="125"/>
      <c r="R184" s="125"/>
      <c r="S184" s="125"/>
      <c r="T184" s="125"/>
      <c r="U184" s="125"/>
      <c r="V184" s="125"/>
      <c r="W184" s="125"/>
      <c r="X184" s="125"/>
      <c r="Y184" s="125"/>
      <c r="Z184" s="125"/>
      <c r="AA184" s="125"/>
      <c r="AB184" s="125"/>
      <c r="AC184" s="125"/>
      <c r="AD184" s="125"/>
      <c r="AE184" s="125"/>
      <c r="AF184" s="125"/>
    </row>
    <row r="185">
      <c r="A185" s="125"/>
      <c r="B185" s="125"/>
      <c r="C185" s="125"/>
      <c r="D185" s="125"/>
      <c r="E185" s="223"/>
      <c r="F185" s="125"/>
      <c r="G185" s="125"/>
      <c r="H185" s="125"/>
      <c r="I185" s="125"/>
      <c r="J185" s="125"/>
      <c r="K185" s="125"/>
      <c r="L185" s="125"/>
      <c r="M185" s="125"/>
      <c r="N185" s="125"/>
      <c r="O185" s="125"/>
      <c r="P185" s="125"/>
      <c r="Q185" s="125"/>
      <c r="R185" s="125"/>
      <c r="S185" s="125"/>
      <c r="T185" s="125"/>
      <c r="U185" s="125"/>
      <c r="V185" s="125"/>
      <c r="W185" s="125"/>
      <c r="X185" s="125"/>
      <c r="Y185" s="125"/>
      <c r="Z185" s="125"/>
      <c r="AA185" s="125"/>
      <c r="AB185" s="125"/>
      <c r="AC185" s="125"/>
      <c r="AD185" s="125"/>
      <c r="AE185" s="125"/>
      <c r="AF185" s="125"/>
    </row>
    <row r="186">
      <c r="A186" s="125"/>
      <c r="B186" s="125"/>
      <c r="C186" s="125"/>
      <c r="D186" s="125"/>
      <c r="E186" s="223"/>
      <c r="F186" s="125"/>
      <c r="G186" s="125"/>
      <c r="H186" s="125"/>
      <c r="I186" s="125"/>
      <c r="J186" s="125"/>
      <c r="K186" s="125"/>
      <c r="L186" s="125"/>
      <c r="M186" s="125"/>
      <c r="N186" s="125"/>
      <c r="O186" s="125"/>
      <c r="P186" s="125"/>
      <c r="Q186" s="125"/>
      <c r="R186" s="125"/>
      <c r="S186" s="125"/>
      <c r="T186" s="125"/>
      <c r="U186" s="125"/>
      <c r="V186" s="125"/>
      <c r="W186" s="125"/>
      <c r="X186" s="125"/>
      <c r="Y186" s="125"/>
      <c r="Z186" s="125"/>
      <c r="AA186" s="125"/>
      <c r="AB186" s="125"/>
      <c r="AC186" s="125"/>
      <c r="AD186" s="125"/>
      <c r="AE186" s="125"/>
      <c r="AF186" s="125"/>
    </row>
    <row r="187">
      <c r="A187" s="125"/>
      <c r="B187" s="125"/>
      <c r="C187" s="125"/>
      <c r="D187" s="125"/>
      <c r="E187" s="223"/>
      <c r="F187" s="125"/>
      <c r="G187" s="125"/>
      <c r="H187" s="125"/>
      <c r="I187" s="125"/>
      <c r="J187" s="125"/>
      <c r="K187" s="125"/>
      <c r="L187" s="125"/>
      <c r="M187" s="125"/>
      <c r="N187" s="125"/>
      <c r="O187" s="125"/>
      <c r="P187" s="125"/>
      <c r="Q187" s="125"/>
      <c r="R187" s="125"/>
      <c r="S187" s="125"/>
      <c r="T187" s="125"/>
      <c r="U187" s="125"/>
      <c r="V187" s="125"/>
      <c r="W187" s="125"/>
      <c r="X187" s="125"/>
      <c r="Y187" s="125"/>
      <c r="Z187" s="125"/>
      <c r="AA187" s="125"/>
      <c r="AB187" s="125"/>
      <c r="AC187" s="125"/>
      <c r="AD187" s="125"/>
      <c r="AE187" s="125"/>
      <c r="AF187" s="125"/>
    </row>
    <row r="188">
      <c r="A188" s="125"/>
      <c r="B188" s="125"/>
      <c r="C188" s="125"/>
      <c r="D188" s="125"/>
      <c r="E188" s="223"/>
      <c r="F188" s="125"/>
      <c r="G188" s="125"/>
      <c r="H188" s="125"/>
      <c r="I188" s="125"/>
      <c r="J188" s="125"/>
      <c r="K188" s="125"/>
      <c r="L188" s="125"/>
      <c r="M188" s="125"/>
      <c r="N188" s="125"/>
      <c r="O188" s="125"/>
      <c r="P188" s="125"/>
      <c r="Q188" s="125"/>
      <c r="R188" s="125"/>
      <c r="S188" s="125"/>
      <c r="T188" s="125"/>
      <c r="U188" s="125"/>
      <c r="V188" s="125"/>
      <c r="W188" s="125"/>
      <c r="X188" s="125"/>
      <c r="Y188" s="125"/>
      <c r="Z188" s="125"/>
      <c r="AA188" s="125"/>
      <c r="AB188" s="125"/>
      <c r="AC188" s="125"/>
      <c r="AD188" s="125"/>
      <c r="AE188" s="125"/>
      <c r="AF188" s="125"/>
    </row>
    <row r="189">
      <c r="A189" s="125"/>
      <c r="B189" s="125"/>
      <c r="C189" s="125"/>
      <c r="D189" s="125"/>
      <c r="E189" s="223"/>
      <c r="F189" s="125"/>
      <c r="G189" s="125"/>
      <c r="H189" s="125"/>
      <c r="I189" s="125"/>
      <c r="J189" s="125"/>
      <c r="K189" s="125"/>
      <c r="L189" s="125"/>
      <c r="M189" s="125"/>
      <c r="N189" s="125"/>
      <c r="O189" s="125"/>
      <c r="P189" s="125"/>
      <c r="Q189" s="125"/>
      <c r="R189" s="125"/>
      <c r="S189" s="125"/>
      <c r="T189" s="125"/>
      <c r="U189" s="125"/>
      <c r="V189" s="125"/>
      <c r="W189" s="125"/>
      <c r="X189" s="125"/>
      <c r="Y189" s="125"/>
      <c r="Z189" s="125"/>
      <c r="AA189" s="125"/>
      <c r="AB189" s="125"/>
      <c r="AC189" s="125"/>
      <c r="AD189" s="125"/>
      <c r="AE189" s="125"/>
      <c r="AF189" s="125"/>
    </row>
    <row r="190">
      <c r="A190" s="125"/>
      <c r="B190" s="125"/>
      <c r="C190" s="125"/>
      <c r="D190" s="125"/>
      <c r="E190" s="223"/>
      <c r="F190" s="125"/>
      <c r="G190" s="125"/>
      <c r="H190" s="125"/>
      <c r="I190" s="125"/>
      <c r="J190" s="125"/>
      <c r="K190" s="125"/>
      <c r="L190" s="125"/>
      <c r="M190" s="125"/>
      <c r="N190" s="125"/>
      <c r="O190" s="125"/>
      <c r="P190" s="125"/>
      <c r="Q190" s="125"/>
      <c r="R190" s="125"/>
      <c r="S190" s="125"/>
      <c r="T190" s="125"/>
      <c r="U190" s="125"/>
      <c r="V190" s="125"/>
      <c r="W190" s="125"/>
      <c r="X190" s="125"/>
      <c r="Y190" s="125"/>
      <c r="Z190" s="125"/>
      <c r="AA190" s="125"/>
      <c r="AB190" s="125"/>
      <c r="AC190" s="125"/>
      <c r="AD190" s="125"/>
      <c r="AE190" s="125"/>
      <c r="AF190" s="125"/>
    </row>
    <row r="191">
      <c r="A191" s="125"/>
      <c r="B191" s="125"/>
      <c r="C191" s="125"/>
      <c r="D191" s="125"/>
      <c r="E191" s="223"/>
      <c r="F191" s="125"/>
      <c r="G191" s="125"/>
      <c r="H191" s="125"/>
      <c r="I191" s="125"/>
      <c r="J191" s="125"/>
      <c r="K191" s="125"/>
      <c r="L191" s="125"/>
      <c r="M191" s="125"/>
      <c r="N191" s="125"/>
      <c r="O191" s="125"/>
      <c r="P191" s="125"/>
      <c r="Q191" s="125"/>
      <c r="R191" s="125"/>
      <c r="S191" s="125"/>
      <c r="T191" s="125"/>
      <c r="U191" s="125"/>
      <c r="V191" s="125"/>
      <c r="W191" s="125"/>
      <c r="X191" s="125"/>
      <c r="Y191" s="125"/>
      <c r="Z191" s="125"/>
      <c r="AA191" s="125"/>
      <c r="AB191" s="125"/>
      <c r="AC191" s="125"/>
      <c r="AD191" s="125"/>
      <c r="AE191" s="125"/>
      <c r="AF191" s="125"/>
    </row>
    <row r="192">
      <c r="A192" s="125"/>
      <c r="B192" s="125"/>
      <c r="C192" s="125"/>
      <c r="D192" s="125"/>
      <c r="E192" s="223"/>
      <c r="F192" s="125"/>
      <c r="G192" s="125"/>
      <c r="H192" s="125"/>
      <c r="I192" s="125"/>
      <c r="J192" s="125"/>
      <c r="K192" s="125"/>
      <c r="L192" s="125"/>
      <c r="M192" s="125"/>
      <c r="N192" s="125"/>
      <c r="O192" s="125"/>
      <c r="P192" s="125"/>
      <c r="Q192" s="125"/>
      <c r="R192" s="125"/>
      <c r="S192" s="125"/>
      <c r="T192" s="125"/>
      <c r="U192" s="125"/>
      <c r="V192" s="125"/>
      <c r="W192" s="125"/>
      <c r="X192" s="125"/>
      <c r="Y192" s="125"/>
      <c r="Z192" s="125"/>
      <c r="AA192" s="125"/>
      <c r="AB192" s="125"/>
      <c r="AC192" s="125"/>
      <c r="AD192" s="125"/>
      <c r="AE192" s="125"/>
      <c r="AF192" s="125"/>
    </row>
    <row r="193">
      <c r="A193" s="125"/>
      <c r="B193" s="125"/>
      <c r="C193" s="125"/>
      <c r="D193" s="125"/>
      <c r="E193" s="223"/>
      <c r="F193" s="125"/>
      <c r="G193" s="125"/>
      <c r="H193" s="125"/>
      <c r="I193" s="125"/>
      <c r="J193" s="125"/>
      <c r="K193" s="125"/>
      <c r="L193" s="125"/>
      <c r="M193" s="125"/>
      <c r="N193" s="125"/>
      <c r="O193" s="125"/>
      <c r="P193" s="125"/>
      <c r="Q193" s="125"/>
      <c r="R193" s="125"/>
      <c r="S193" s="125"/>
      <c r="T193" s="125"/>
      <c r="U193" s="125"/>
      <c r="V193" s="125"/>
      <c r="W193" s="125"/>
      <c r="X193" s="125"/>
      <c r="Y193" s="125"/>
      <c r="Z193" s="125"/>
      <c r="AA193" s="125"/>
      <c r="AB193" s="125"/>
      <c r="AC193" s="125"/>
      <c r="AD193" s="125"/>
      <c r="AE193" s="125"/>
      <c r="AF193" s="125"/>
    </row>
    <row r="194">
      <c r="A194" s="125"/>
      <c r="B194" s="125"/>
      <c r="C194" s="125"/>
      <c r="D194" s="125"/>
      <c r="E194" s="223"/>
      <c r="F194" s="125"/>
      <c r="G194" s="125"/>
      <c r="H194" s="125"/>
      <c r="I194" s="125"/>
      <c r="J194" s="125"/>
      <c r="K194" s="125"/>
      <c r="L194" s="125"/>
      <c r="M194" s="125"/>
      <c r="N194" s="125"/>
      <c r="O194" s="125"/>
      <c r="P194" s="125"/>
      <c r="Q194" s="125"/>
      <c r="R194" s="125"/>
      <c r="S194" s="125"/>
      <c r="T194" s="125"/>
      <c r="U194" s="125"/>
      <c r="V194" s="125"/>
      <c r="W194" s="125"/>
      <c r="X194" s="125"/>
      <c r="Y194" s="125"/>
      <c r="Z194" s="125"/>
      <c r="AA194" s="125"/>
      <c r="AB194" s="125"/>
      <c r="AC194" s="125"/>
      <c r="AD194" s="125"/>
      <c r="AE194" s="125"/>
      <c r="AF194" s="125"/>
    </row>
    <row r="195">
      <c r="A195" s="125"/>
      <c r="B195" s="125"/>
      <c r="C195" s="125"/>
      <c r="D195" s="125"/>
      <c r="E195" s="223"/>
      <c r="F195" s="125"/>
      <c r="G195" s="125"/>
      <c r="H195" s="125"/>
      <c r="I195" s="125"/>
      <c r="J195" s="125"/>
      <c r="K195" s="125"/>
      <c r="L195" s="125"/>
      <c r="M195" s="125"/>
      <c r="N195" s="125"/>
      <c r="O195" s="125"/>
      <c r="P195" s="125"/>
      <c r="Q195" s="125"/>
      <c r="R195" s="125"/>
      <c r="S195" s="125"/>
      <c r="T195" s="125"/>
      <c r="U195" s="125"/>
      <c r="V195" s="125"/>
      <c r="W195" s="125"/>
      <c r="X195" s="125"/>
      <c r="Y195" s="125"/>
      <c r="Z195" s="125"/>
      <c r="AA195" s="125"/>
      <c r="AB195" s="125"/>
      <c r="AC195" s="125"/>
      <c r="AD195" s="125"/>
      <c r="AE195" s="125"/>
      <c r="AF195" s="125"/>
    </row>
    <row r="196">
      <c r="A196" s="125"/>
      <c r="B196" s="125"/>
      <c r="C196" s="125"/>
      <c r="D196" s="125"/>
      <c r="E196" s="223"/>
      <c r="F196" s="125"/>
      <c r="G196" s="125"/>
      <c r="H196" s="125"/>
      <c r="I196" s="125"/>
      <c r="J196" s="125"/>
      <c r="K196" s="125"/>
      <c r="L196" s="125"/>
      <c r="M196" s="125"/>
      <c r="N196" s="125"/>
      <c r="O196" s="125"/>
      <c r="P196" s="125"/>
      <c r="Q196" s="125"/>
      <c r="R196" s="125"/>
      <c r="S196" s="125"/>
      <c r="T196" s="125"/>
      <c r="U196" s="125"/>
      <c r="V196" s="125"/>
      <c r="W196" s="125"/>
      <c r="X196" s="125"/>
      <c r="Y196" s="125"/>
      <c r="Z196" s="125"/>
      <c r="AA196" s="125"/>
      <c r="AB196" s="125"/>
      <c r="AC196" s="125"/>
      <c r="AD196" s="125"/>
      <c r="AE196" s="125"/>
      <c r="AF196" s="125"/>
    </row>
    <row r="197">
      <c r="A197" s="125"/>
      <c r="B197" s="125"/>
      <c r="C197" s="125"/>
      <c r="D197" s="125"/>
      <c r="E197" s="223"/>
      <c r="F197" s="125"/>
      <c r="G197" s="125"/>
      <c r="H197" s="125"/>
      <c r="I197" s="125"/>
      <c r="J197" s="125"/>
      <c r="K197" s="125"/>
      <c r="L197" s="125"/>
      <c r="M197" s="125"/>
      <c r="N197" s="125"/>
      <c r="O197" s="125"/>
      <c r="P197" s="125"/>
      <c r="Q197" s="125"/>
      <c r="R197" s="125"/>
      <c r="S197" s="125"/>
      <c r="T197" s="125"/>
      <c r="U197" s="125"/>
      <c r="V197" s="125"/>
      <c r="W197" s="125"/>
      <c r="X197" s="125"/>
      <c r="Y197" s="125"/>
      <c r="Z197" s="125"/>
      <c r="AA197" s="125"/>
      <c r="AB197" s="125"/>
      <c r="AC197" s="125"/>
      <c r="AD197" s="125"/>
      <c r="AE197" s="125"/>
      <c r="AF197" s="125"/>
    </row>
    <row r="198">
      <c r="A198" s="125"/>
      <c r="B198" s="125"/>
      <c r="C198" s="125"/>
      <c r="D198" s="125"/>
      <c r="E198" s="223"/>
      <c r="F198" s="125"/>
      <c r="G198" s="125"/>
      <c r="H198" s="125"/>
      <c r="I198" s="125"/>
      <c r="J198" s="125"/>
      <c r="K198" s="125"/>
      <c r="L198" s="125"/>
      <c r="M198" s="125"/>
      <c r="N198" s="125"/>
      <c r="O198" s="125"/>
      <c r="P198" s="125"/>
      <c r="Q198" s="125"/>
      <c r="R198" s="125"/>
      <c r="S198" s="125"/>
      <c r="T198" s="125"/>
      <c r="U198" s="125"/>
      <c r="V198" s="125"/>
      <c r="W198" s="125"/>
      <c r="X198" s="125"/>
      <c r="Y198" s="125"/>
      <c r="Z198" s="125"/>
      <c r="AA198" s="125"/>
      <c r="AB198" s="125"/>
      <c r="AC198" s="125"/>
      <c r="AD198" s="125"/>
      <c r="AE198" s="125"/>
      <c r="AF198" s="125"/>
    </row>
    <row r="199">
      <c r="A199" s="125"/>
      <c r="B199" s="125"/>
      <c r="C199" s="125"/>
      <c r="D199" s="125"/>
      <c r="E199" s="223"/>
      <c r="F199" s="125"/>
      <c r="G199" s="125"/>
      <c r="H199" s="125"/>
      <c r="I199" s="125"/>
      <c r="J199" s="125"/>
      <c r="K199" s="125"/>
      <c r="L199" s="125"/>
      <c r="M199" s="125"/>
      <c r="N199" s="125"/>
      <c r="O199" s="125"/>
      <c r="P199" s="125"/>
      <c r="Q199" s="125"/>
      <c r="R199" s="125"/>
      <c r="S199" s="125"/>
      <c r="T199" s="125"/>
      <c r="U199" s="125"/>
      <c r="V199" s="125"/>
      <c r="W199" s="125"/>
      <c r="X199" s="125"/>
      <c r="Y199" s="125"/>
      <c r="Z199" s="125"/>
      <c r="AA199" s="125"/>
      <c r="AB199" s="125"/>
      <c r="AC199" s="125"/>
      <c r="AD199" s="125"/>
      <c r="AE199" s="125"/>
      <c r="AF199" s="125"/>
    </row>
    <row r="200">
      <c r="A200" s="125"/>
      <c r="B200" s="125"/>
      <c r="C200" s="125"/>
      <c r="D200" s="125"/>
      <c r="E200" s="223"/>
      <c r="F200" s="125"/>
      <c r="G200" s="125"/>
      <c r="H200" s="125"/>
      <c r="I200" s="125"/>
      <c r="J200" s="125"/>
      <c r="K200" s="125"/>
      <c r="L200" s="125"/>
      <c r="M200" s="125"/>
      <c r="N200" s="125"/>
      <c r="O200" s="125"/>
      <c r="P200" s="125"/>
      <c r="Q200" s="125"/>
      <c r="R200" s="125"/>
      <c r="S200" s="125"/>
      <c r="T200" s="125"/>
      <c r="U200" s="125"/>
      <c r="V200" s="125"/>
      <c r="W200" s="125"/>
      <c r="X200" s="125"/>
      <c r="Y200" s="125"/>
      <c r="Z200" s="125"/>
      <c r="AA200" s="125"/>
      <c r="AB200" s="125"/>
      <c r="AC200" s="125"/>
      <c r="AD200" s="125"/>
      <c r="AE200" s="125"/>
      <c r="AF200" s="125"/>
    </row>
    <row r="201">
      <c r="A201" s="125"/>
      <c r="B201" s="125"/>
      <c r="C201" s="125"/>
      <c r="D201" s="125"/>
      <c r="E201" s="223"/>
      <c r="F201" s="125"/>
      <c r="G201" s="125"/>
      <c r="H201" s="125"/>
      <c r="I201" s="125"/>
      <c r="J201" s="125"/>
      <c r="K201" s="125"/>
      <c r="L201" s="125"/>
      <c r="M201" s="125"/>
      <c r="N201" s="125"/>
      <c r="O201" s="125"/>
      <c r="P201" s="125"/>
      <c r="Q201" s="125"/>
      <c r="R201" s="125"/>
      <c r="S201" s="125"/>
      <c r="T201" s="125"/>
      <c r="U201" s="125"/>
      <c r="V201" s="125"/>
      <c r="W201" s="125"/>
      <c r="X201" s="125"/>
      <c r="Y201" s="125"/>
      <c r="Z201" s="125"/>
      <c r="AA201" s="125"/>
      <c r="AB201" s="125"/>
      <c r="AC201" s="125"/>
      <c r="AD201" s="125"/>
      <c r="AE201" s="125"/>
      <c r="AF201" s="125"/>
    </row>
    <row r="202">
      <c r="A202" s="125"/>
      <c r="B202" s="125"/>
      <c r="C202" s="125"/>
      <c r="D202" s="125"/>
      <c r="E202" s="223"/>
      <c r="F202" s="125"/>
      <c r="G202" s="125"/>
      <c r="H202" s="125"/>
      <c r="I202" s="125"/>
      <c r="J202" s="125"/>
      <c r="K202" s="125"/>
      <c r="L202" s="125"/>
      <c r="M202" s="125"/>
      <c r="N202" s="125"/>
      <c r="O202" s="125"/>
      <c r="P202" s="125"/>
      <c r="Q202" s="125"/>
      <c r="R202" s="125"/>
      <c r="S202" s="125"/>
      <c r="T202" s="125"/>
      <c r="U202" s="125"/>
      <c r="V202" s="125"/>
      <c r="W202" s="125"/>
      <c r="X202" s="125"/>
      <c r="Y202" s="125"/>
      <c r="Z202" s="125"/>
      <c r="AA202" s="125"/>
      <c r="AB202" s="125"/>
      <c r="AC202" s="125"/>
      <c r="AD202" s="125"/>
      <c r="AE202" s="125"/>
      <c r="AF202" s="125"/>
    </row>
    <row r="203">
      <c r="A203" s="125"/>
      <c r="B203" s="125"/>
      <c r="C203" s="125"/>
      <c r="D203" s="125"/>
      <c r="E203" s="223"/>
      <c r="F203" s="125"/>
      <c r="G203" s="125"/>
      <c r="H203" s="125"/>
      <c r="I203" s="125"/>
      <c r="J203" s="125"/>
      <c r="K203" s="125"/>
      <c r="L203" s="125"/>
      <c r="M203" s="125"/>
      <c r="N203" s="125"/>
      <c r="O203" s="125"/>
      <c r="P203" s="125"/>
      <c r="Q203" s="125"/>
      <c r="R203" s="125"/>
      <c r="S203" s="125"/>
      <c r="T203" s="125"/>
      <c r="U203" s="125"/>
      <c r="V203" s="125"/>
      <c r="W203" s="125"/>
      <c r="X203" s="125"/>
      <c r="Y203" s="125"/>
      <c r="Z203" s="125"/>
      <c r="AA203" s="125"/>
      <c r="AB203" s="125"/>
      <c r="AC203" s="125"/>
      <c r="AD203" s="125"/>
      <c r="AE203" s="125"/>
      <c r="AF203" s="125"/>
    </row>
    <row r="204">
      <c r="A204" s="125"/>
      <c r="B204" s="125"/>
      <c r="C204" s="125"/>
      <c r="D204" s="125"/>
      <c r="E204" s="223"/>
      <c r="F204" s="125"/>
      <c r="G204" s="125"/>
      <c r="H204" s="125"/>
      <c r="I204" s="125"/>
      <c r="J204" s="125"/>
      <c r="K204" s="125"/>
      <c r="L204" s="125"/>
      <c r="M204" s="125"/>
      <c r="N204" s="125"/>
      <c r="O204" s="125"/>
      <c r="P204" s="125"/>
      <c r="Q204" s="125"/>
      <c r="R204" s="125"/>
      <c r="S204" s="125"/>
      <c r="T204" s="125"/>
      <c r="U204" s="125"/>
      <c r="V204" s="125"/>
      <c r="W204" s="125"/>
      <c r="X204" s="125"/>
      <c r="Y204" s="125"/>
      <c r="Z204" s="125"/>
      <c r="AA204" s="125"/>
      <c r="AB204" s="125"/>
      <c r="AC204" s="125"/>
      <c r="AD204" s="125"/>
      <c r="AE204" s="125"/>
      <c r="AF204" s="125"/>
    </row>
    <row r="205">
      <c r="A205" s="125"/>
      <c r="B205" s="125"/>
      <c r="C205" s="125"/>
      <c r="D205" s="125"/>
      <c r="E205" s="223"/>
      <c r="F205" s="125"/>
      <c r="G205" s="125"/>
      <c r="H205" s="125"/>
      <c r="I205" s="125"/>
      <c r="J205" s="125"/>
      <c r="K205" s="125"/>
      <c r="L205" s="125"/>
      <c r="M205" s="125"/>
      <c r="N205" s="125"/>
      <c r="O205" s="125"/>
      <c r="P205" s="125"/>
      <c r="Q205" s="125"/>
      <c r="R205" s="125"/>
      <c r="S205" s="125"/>
      <c r="T205" s="125"/>
      <c r="U205" s="125"/>
      <c r="V205" s="125"/>
      <c r="W205" s="125"/>
      <c r="X205" s="125"/>
      <c r="Y205" s="125"/>
      <c r="Z205" s="125"/>
      <c r="AA205" s="125"/>
      <c r="AB205" s="125"/>
      <c r="AC205" s="125"/>
      <c r="AD205" s="125"/>
      <c r="AE205" s="125"/>
      <c r="AF205" s="125"/>
    </row>
  </sheetData>
  <dataValidations>
    <dataValidation type="list" allowBlank="1" sqref="Z2:Z107">
      <formula1>"Đã thêm,Chưa thêm"</formula1>
    </dataValidation>
  </dataValidations>
  <hyperlinks>
    <hyperlink r:id="rId1" ref="N2"/>
    <hyperlink r:id="rId2" ref="N3"/>
    <hyperlink r:id="rId3" ref="H4"/>
    <hyperlink r:id="rId4" ref="H5"/>
    <hyperlink r:id="rId5" ref="H6"/>
    <hyperlink r:id="rId6" ref="H7"/>
    <hyperlink r:id="rId7" ref="P7"/>
    <hyperlink r:id="rId8" ref="H8"/>
    <hyperlink r:id="rId9" ref="H9"/>
    <hyperlink r:id="rId10" ref="N10"/>
    <hyperlink r:id="rId11" ref="N11"/>
    <hyperlink r:id="rId12" ref="P11"/>
    <hyperlink r:id="rId13" ref="H12"/>
    <hyperlink r:id="rId14" ref="H13"/>
    <hyperlink r:id="rId15" ref="H14"/>
    <hyperlink r:id="rId16" ref="H15"/>
    <hyperlink r:id="rId17" ref="P15"/>
    <hyperlink r:id="rId18" ref="N16"/>
    <hyperlink r:id="rId19" ref="P16"/>
    <hyperlink r:id="rId20" ref="U16"/>
    <hyperlink r:id="rId21" ref="H17"/>
    <hyperlink r:id="rId22" ref="N18"/>
    <hyperlink r:id="rId23" ref="N19"/>
    <hyperlink r:id="rId24" ref="H20"/>
    <hyperlink r:id="rId25" ref="H21"/>
    <hyperlink r:id="rId26" ref="N22"/>
    <hyperlink r:id="rId27" ref="N23"/>
    <hyperlink r:id="rId28" ref="H24"/>
    <hyperlink r:id="rId29" ref="H25"/>
    <hyperlink r:id="rId30" ref="H26"/>
    <hyperlink r:id="rId31" ref="H27"/>
    <hyperlink r:id="rId32" ref="H28"/>
    <hyperlink r:id="rId33" ref="H29"/>
    <hyperlink r:id="rId34" ref="H30"/>
    <hyperlink r:id="rId35" ref="H31"/>
    <hyperlink r:id="rId36" ref="P31"/>
    <hyperlink r:id="rId37" ref="H32"/>
    <hyperlink r:id="rId38" ref="H33"/>
    <hyperlink r:id="rId39" ref="H34"/>
    <hyperlink r:id="rId40" ref="P34"/>
    <hyperlink r:id="rId41" ref="H35"/>
    <hyperlink r:id="rId42" ref="H36"/>
    <hyperlink r:id="rId43" ref="N37"/>
    <hyperlink r:id="rId44" ref="H38"/>
  </hyperlinks>
  <drawing r:id="rId45"/>
  <tableParts count="1">
    <tablePart r:id="rId4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2.13"/>
    <col customWidth="1" min="12" max="12" width="40.13"/>
  </cols>
  <sheetData>
    <row r="1">
      <c r="A1" s="339" t="s">
        <v>3368</v>
      </c>
      <c r="B1" s="340">
        <v>1.0</v>
      </c>
      <c r="C1" s="341" t="str">
        <f>IFERROR(__xludf.DUMMYFUNCTION("TOCOL(ARRAYFORMULA(SPLIT(A1:A66, CHAR(10))), 1)"),"Nguyễn Đức An - 20225432 - an.nd225432@sis.hust.edu.vn")</f>
        <v>Nguyễn Đức An - 20225432 - an.nd225432@sis.hust.edu.vn</v>
      </c>
      <c r="G1" s="341" t="str">
        <f>IFERROR(__xludf.DUMMYFUNCTION("REGEXEXTRACT(C1, ""\d{8}"")"),"20225432")</f>
        <v>20225432</v>
      </c>
      <c r="H1" s="341" t="s">
        <v>21</v>
      </c>
      <c r="I1" s="341">
        <f t="array" ref="I1:I1000">IF(H1:H1000="", "", COUNTIF('Chia bàn'!C:C, H1:H1000))</f>
        <v>1</v>
      </c>
      <c r="L1" s="342" t="s">
        <v>3873</v>
      </c>
      <c r="N1" s="341" t="str">
        <f>IFERROR(__xludf.DUMMYFUNCTION("TOCOL(ARRAYFORMULA(SPLIT(L1:L9, CHAR(10))), 1)"),"Dương Đức Duy 20225828")</f>
        <v>Dương Đức Duy 20225828</v>
      </c>
      <c r="O1" s="341" t="s">
        <v>4014</v>
      </c>
      <c r="P1" s="341" t="str">
        <f>IFERROR(__xludf.DUMMYFUNCTION("REGEXEXTRACT(O1, ""\d{8}"")"),"20225828")</f>
        <v>20225828</v>
      </c>
      <c r="Q1" s="341">
        <f t="array" ref="Q1:Q1000">IF(P1:P1000="", "", COUNTIF('Chia bàn'!C:C, P1:P1000))</f>
        <v>1</v>
      </c>
    </row>
    <row r="2">
      <c r="A2" s="339" t="s">
        <v>3377</v>
      </c>
      <c r="B2" s="340">
        <v>2.0</v>
      </c>
      <c r="C2" s="341" t="str">
        <f>IFERROR(__xludf.DUMMYFUNCTION("""COMPUTED_VALUE"""),"Trần Hữu Đạo - 20220061 - dao.th220061@sis.hust.edu.vn")</f>
        <v>Trần Hữu Đạo - 20220061 - dao.th220061@sis.hust.edu.vn</v>
      </c>
      <c r="G2" s="341" t="str">
        <f>IFERROR(__xludf.DUMMYFUNCTION("REGEXEXTRACT(C2, ""\d{8}"")"),"20220061")</f>
        <v>20220061</v>
      </c>
      <c r="H2" s="341" t="s">
        <v>25</v>
      </c>
      <c r="I2" s="341">
        <v>1.0</v>
      </c>
      <c r="L2" s="343" t="s">
        <v>4015</v>
      </c>
      <c r="N2" s="341" t="str">
        <f>IFERROR(__xludf.DUMMYFUNCTION("""COMPUTED_VALUE"""),"Nguyễn Đức Minh 20225885")</f>
        <v>Nguyễn Đức Minh 20225885</v>
      </c>
      <c r="O2" s="341" t="s">
        <v>4016</v>
      </c>
      <c r="P2" s="341" t="str">
        <f>IFERROR(__xludf.DUMMYFUNCTION("REGEXEXTRACT(O2, ""\d{8}"")"),"20225885")</f>
        <v>20225885</v>
      </c>
      <c r="Q2" s="341">
        <v>1.0</v>
      </c>
    </row>
    <row r="3">
      <c r="A3" s="339" t="s">
        <v>3382</v>
      </c>
      <c r="B3" s="340">
        <v>3.0</v>
      </c>
      <c r="C3" s="341" t="str">
        <f>IFERROR(__xludf.DUMMYFUNCTION("""COMPUTED_VALUE"""),"Đàm Quang Đức - 20225483 - duc.dq225483@sis.hust.edu.vn")</f>
        <v>Đàm Quang Đức - 20225483 - duc.dq225483@sis.hust.edu.vn</v>
      </c>
      <c r="G3" s="341" t="str">
        <f>IFERROR(__xludf.DUMMYFUNCTION("REGEXEXTRACT(C3, ""\d{8}"")"),"20225483")</f>
        <v>20225483</v>
      </c>
      <c r="H3" s="341" t="s">
        <v>27</v>
      </c>
      <c r="I3" s="341">
        <v>1.0</v>
      </c>
      <c r="K3" s="114" t="s">
        <v>4017</v>
      </c>
      <c r="L3" s="343" t="s">
        <v>4018</v>
      </c>
      <c r="N3" s="341" t="str">
        <f>IFERROR(__xludf.DUMMYFUNCTION("""COMPUTED_VALUE"""),"Vương Văn Đăng 20225800")</f>
        <v>Vương Văn Đăng 20225800</v>
      </c>
      <c r="O3" s="341" t="s">
        <v>4019</v>
      </c>
      <c r="P3" s="341" t="str">
        <f>IFERROR(__xludf.DUMMYFUNCTION("REGEXEXTRACT(O3, ""\d{8}"")"),"20225800")</f>
        <v>20225800</v>
      </c>
      <c r="Q3" s="341">
        <v>1.0</v>
      </c>
    </row>
    <row r="4">
      <c r="A4" s="339" t="s">
        <v>3386</v>
      </c>
      <c r="B4" s="340">
        <v>4.0</v>
      </c>
      <c r="C4" s="341" t="str">
        <f>IFERROR(__xludf.DUMMYFUNCTION("""COMPUTED_VALUE"""),"Kiều Văn Bảo - 20225261 - kieubao2k4@gmail.com")</f>
        <v>Kiều Văn Bảo - 20225261 - kieubao2k4@gmail.com</v>
      </c>
      <c r="G4" s="341" t="str">
        <f>IFERROR(__xludf.DUMMYFUNCTION("REGEXEXTRACT(C4, ""\d{8}"")"),"20225261")</f>
        <v>20225261</v>
      </c>
      <c r="H4" s="341" t="s">
        <v>31</v>
      </c>
      <c r="I4" s="341">
        <v>1.0</v>
      </c>
      <c r="L4" s="344" t="s">
        <v>3913</v>
      </c>
      <c r="N4" s="341" t="str">
        <f>IFERROR(__xludf.DUMMYFUNCTION("""COMPUTED_VALUE"""),"Lê Thị Hà Giang - 20224973 - gianglh4973@gmail.com")</f>
        <v>Lê Thị Hà Giang - 20224973 - gianglh4973@gmail.com</v>
      </c>
      <c r="O4" s="341" t="s">
        <v>4020</v>
      </c>
      <c r="P4" s="341" t="str">
        <f>IFERROR(__xludf.DUMMYFUNCTION("REGEXEXTRACT(O4, ""\d{8}"")"),"20224973")</f>
        <v>20224973</v>
      </c>
      <c r="Q4" s="341">
        <v>1.0</v>
      </c>
    </row>
    <row r="5">
      <c r="A5" s="339" t="s">
        <v>3390</v>
      </c>
      <c r="B5" s="340">
        <v>5.0</v>
      </c>
      <c r="C5" s="341" t="str">
        <f>IFERROR(__xludf.DUMMYFUNCTION("""COMPUTED_VALUE"""),"Trần Duy Anh - 20225256 - tranduyanhhtth@gmail.com")</f>
        <v>Trần Duy Anh - 20225256 - tranduyanhhtth@gmail.com</v>
      </c>
      <c r="G5" s="341" t="str">
        <f>IFERROR(__xludf.DUMMYFUNCTION("REGEXEXTRACT(C5, ""\d{8}"")"),"20225256")</f>
        <v>20225256</v>
      </c>
      <c r="H5" s="341" t="s">
        <v>34</v>
      </c>
      <c r="I5" s="341">
        <v>1.0</v>
      </c>
      <c r="L5" s="344" t="s">
        <v>3934</v>
      </c>
      <c r="N5" s="341" t="str">
        <f>IFERROR(__xludf.DUMMYFUNCTION("""COMPUTED_VALUE"""),"Trần Thị Minh Thu - 20224901 - thu.ttm224901@sis.hust.edu.vn")</f>
        <v>Trần Thị Minh Thu - 20224901 - thu.ttm224901@sis.hust.edu.vn</v>
      </c>
      <c r="O5" s="341" t="s">
        <v>4021</v>
      </c>
      <c r="P5" s="341" t="str">
        <f>IFERROR(__xludf.DUMMYFUNCTION("REGEXEXTRACT(O5, ""\d{8}"")"),"20224901")</f>
        <v>20224901</v>
      </c>
      <c r="Q5" s="341">
        <v>1.0</v>
      </c>
    </row>
    <row r="6">
      <c r="A6" s="339" t="s">
        <v>3393</v>
      </c>
      <c r="B6" s="340">
        <v>6.0</v>
      </c>
      <c r="C6" s="341" t="str">
        <f>IFERROR(__xludf.DUMMYFUNCTION("""COMPUTED_VALUE"""),"Nguyễn Quang Đông - 20225284 - nguyendong.vn2004@gmail.com")</f>
        <v>Nguyễn Quang Đông - 20225284 - nguyendong.vn2004@gmail.com</v>
      </c>
      <c r="G6" s="341" t="str">
        <f>IFERROR(__xludf.DUMMYFUNCTION("REGEXEXTRACT(C6, ""\d{8}"")"),"20225284")</f>
        <v>20225284</v>
      </c>
      <c r="H6" s="341" t="s">
        <v>38</v>
      </c>
      <c r="I6" s="341">
        <v>1.0</v>
      </c>
      <c r="L6" s="345" t="s">
        <v>4022</v>
      </c>
      <c r="N6" s="341" t="str">
        <f>IFERROR(__xludf.DUMMYFUNCTION("""COMPUTED_VALUE"""),"Nguyễn Quang Huy - 20225010 - huyquangnguyen38@gmail.com")</f>
        <v>Nguyễn Quang Huy - 20225010 - huyquangnguyen38@gmail.com</v>
      </c>
      <c r="O6" s="341" t="s">
        <v>4023</v>
      </c>
      <c r="P6" s="341" t="str">
        <f>IFERROR(__xludf.DUMMYFUNCTION("REGEXEXTRACT(O6, ""\d{8}"")"),"20225010")</f>
        <v>20225010</v>
      </c>
      <c r="Q6" s="341">
        <v>1.0</v>
      </c>
    </row>
    <row r="7">
      <c r="A7" s="339" t="s">
        <v>3397</v>
      </c>
      <c r="B7" s="340">
        <v>7.0</v>
      </c>
      <c r="C7" s="341" t="str">
        <f>IFERROR(__xludf.DUMMYFUNCTION("""COMPUTED_VALUE"""),"Đinh Ngọc Duyên - 20225124 - dinhduyen299792@gmail.com")</f>
        <v>Đinh Ngọc Duyên - 20225124 - dinhduyen299792@gmail.com</v>
      </c>
      <c r="G7" s="341" t="str">
        <f>IFERROR(__xludf.DUMMYFUNCTION("REGEXEXTRACT(C7, ""\d{8}"")"),"20225124")</f>
        <v>20225124</v>
      </c>
      <c r="H7" s="341" t="s">
        <v>42</v>
      </c>
      <c r="I7" s="341">
        <v>1.0</v>
      </c>
      <c r="L7" s="346" t="s">
        <v>3951</v>
      </c>
      <c r="N7" s="341" t="str">
        <f>IFERROR(__xludf.DUMMYFUNCTION("""COMPUTED_VALUE"""),"Đặng Ngọc Quý - 20225074 - Quy160104@gmail.com")</f>
        <v>Đặng Ngọc Quý - 20225074 - Quy160104@gmail.com</v>
      </c>
      <c r="O7" s="341" t="s">
        <v>4024</v>
      </c>
      <c r="P7" s="341" t="str">
        <f>IFERROR(__xludf.DUMMYFUNCTION("REGEXEXTRACT(O7, ""\d{8}"")"),"20225074")</f>
        <v>20225074</v>
      </c>
      <c r="Q7" s="341">
        <v>1.0</v>
      </c>
    </row>
    <row r="8">
      <c r="A8" s="339" t="s">
        <v>3405</v>
      </c>
      <c r="B8" s="340">
        <v>8.0</v>
      </c>
      <c r="C8" s="341" t="str">
        <f>IFERROR(__xludf.DUMMYFUNCTION("""COMPUTED_VALUE"""),"Lê Thị Thu Hương - 20225199 - Huong.ltt225199@sis.hust.edu.vn")</f>
        <v>Lê Thị Thu Hương - 20225199 - Huong.ltt225199@sis.hust.edu.vn</v>
      </c>
      <c r="G8" s="341" t="str">
        <f>IFERROR(__xludf.DUMMYFUNCTION("REGEXEXTRACT(C8, ""\d{8}"")"),"20225199")</f>
        <v>20225199</v>
      </c>
      <c r="H8" s="341" t="s">
        <v>44</v>
      </c>
      <c r="I8" s="341">
        <v>1.0</v>
      </c>
      <c r="L8" s="347" t="s">
        <v>3962</v>
      </c>
      <c r="N8" s="341" t="str">
        <f>IFERROR(__xludf.DUMMYFUNCTION("""COMPUTED_VALUE"""),"Lê Trung Kiên - 20225023 - lekien.2004nek@gmail.com")</f>
        <v>Lê Trung Kiên - 20225023 - lekien.2004nek@gmail.com</v>
      </c>
      <c r="O8" s="341" t="s">
        <v>4025</v>
      </c>
      <c r="P8" s="341" t="str">
        <f>IFERROR(__xludf.DUMMYFUNCTION("REGEXEXTRACT(O8, ""\d{8}"")"),"20225023")</f>
        <v>20225023</v>
      </c>
      <c r="Q8" s="341">
        <v>1.0</v>
      </c>
    </row>
    <row r="9">
      <c r="A9" s="339" t="s">
        <v>3410</v>
      </c>
      <c r="B9" s="340">
        <v>9.0</v>
      </c>
      <c r="C9" s="341" t="str">
        <f>IFERROR(__xludf.DUMMYFUNCTION("""COMPUTED_VALUE"""),"Nguyễn Thị Hà - 20225305 - ha.nt225305@sis.hust.edu.vn")</f>
        <v>Nguyễn Thị Hà - 20225305 - ha.nt225305@sis.hust.edu.vn</v>
      </c>
      <c r="G9" s="341" t="str">
        <f>IFERROR(__xludf.DUMMYFUNCTION("REGEXEXTRACT(C9, ""\d{8}"")"),"20225305")</f>
        <v>20225305</v>
      </c>
      <c r="H9" s="341" t="s">
        <v>48</v>
      </c>
      <c r="I9" s="341">
        <v>1.0</v>
      </c>
      <c r="L9" s="348" t="s">
        <v>4026</v>
      </c>
      <c r="N9" s="341" t="str">
        <f>IFERROR(__xludf.DUMMYFUNCTION("""COMPUTED_VALUE"""),"Hoàng Hà Sơn - 20220122 - son.hh220122@sis.hust.edu.vn")</f>
        <v>Hoàng Hà Sơn - 20220122 - son.hh220122@sis.hust.edu.vn</v>
      </c>
      <c r="O9" s="341" t="s">
        <v>4027</v>
      </c>
      <c r="P9" s="341" t="str">
        <f>IFERROR(__xludf.DUMMYFUNCTION("REGEXEXTRACT(O9, ""\d{8}"")"),"20220122")</f>
        <v>20220122</v>
      </c>
      <c r="Q9" s="341">
        <v>1.0</v>
      </c>
    </row>
    <row r="10">
      <c r="A10" s="339" t="s">
        <v>3416</v>
      </c>
      <c r="B10" s="340">
        <v>10.0</v>
      </c>
      <c r="C10" s="341" t="str">
        <f>IFERROR(__xludf.DUMMYFUNCTION("""COMPUTED_VALUE"""),"Nguyễn Thị Ngọc Anh - 20225252 - anh.ntn225252@sis.hust.edu.vn")</f>
        <v>Nguyễn Thị Ngọc Anh - 20225252 - anh.ntn225252@sis.hust.edu.vn</v>
      </c>
      <c r="G10" s="341" t="str">
        <f>IFERROR(__xludf.DUMMYFUNCTION("REGEXEXTRACT(C10, ""\d{8}"")"),"20225252")</f>
        <v>20225252</v>
      </c>
      <c r="H10" s="341" t="s">
        <v>52</v>
      </c>
      <c r="I10" s="341">
        <v>1.0</v>
      </c>
      <c r="N10" s="341" t="str">
        <f>IFERROR(__xludf.DUMMYFUNCTION("""COMPUTED_VALUE"""),"Nguyễn Mạnh Hùng - 20224859 - manhhungnguyen.zwh@gmail.com")</f>
        <v>Nguyễn Mạnh Hùng - 20224859 - manhhungnguyen.zwh@gmail.com</v>
      </c>
      <c r="O10" s="341" t="s">
        <v>4028</v>
      </c>
      <c r="P10" s="341" t="str">
        <f>IFERROR(__xludf.DUMMYFUNCTION("REGEXEXTRACT(O10, ""\d{8}"")"),"20224859")</f>
        <v>20224859</v>
      </c>
      <c r="Q10" s="341">
        <v>1.0</v>
      </c>
    </row>
    <row r="11">
      <c r="A11" s="339" t="s">
        <v>3420</v>
      </c>
      <c r="B11" s="340">
        <v>11.0</v>
      </c>
      <c r="C11" s="341" t="str">
        <f>IFERROR(__xludf.DUMMYFUNCTION("""COMPUTED_VALUE"""),"Phạm Quốc Dũng - 20225817 - Phamquocdung2109@gmail.com")</f>
        <v>Phạm Quốc Dũng - 20225817 - Phamquocdung2109@gmail.com</v>
      </c>
      <c r="G11" s="341" t="str">
        <f>IFERROR(__xludf.DUMMYFUNCTION("REGEXEXTRACT(C11, ""\d{8}"")"),"20225817")</f>
        <v>20225817</v>
      </c>
      <c r="H11" s="341" t="s">
        <v>56</v>
      </c>
      <c r="I11" s="341">
        <v>1.0</v>
      </c>
      <c r="N11" s="341" t="str">
        <f>IFERROR(__xludf.DUMMYFUNCTION("""COMPUTED_VALUE"""),"Nguyễn Quốc Huy - 20225012 - huyphantom2004@gmail.com")</f>
        <v>Nguyễn Quốc Huy - 20225012 - huyphantom2004@gmail.com</v>
      </c>
      <c r="O11" s="341" t="s">
        <v>4029</v>
      </c>
      <c r="P11" s="341" t="str">
        <f>IFERROR(__xludf.DUMMYFUNCTION("REGEXEXTRACT(O11, ""\d{8}"")"),"20225012")</f>
        <v>20225012</v>
      </c>
      <c r="Q11" s="341">
        <v>1.0</v>
      </c>
    </row>
    <row r="12">
      <c r="A12" s="339" t="s">
        <v>3427</v>
      </c>
      <c r="B12" s="340">
        <v>12.0</v>
      </c>
      <c r="C12" s="341" t="str">
        <f>IFERROR(__xludf.DUMMYFUNCTION("""COMPUTED_VALUE"""),"Lê Tuấn Khải - 20225861 - Giabachsilk989@gmail.com")</f>
        <v>Lê Tuấn Khải - 20225861 - Giabachsilk989@gmail.com</v>
      </c>
      <c r="G12" s="341" t="str">
        <f>IFERROR(__xludf.DUMMYFUNCTION("REGEXEXTRACT(C12, ""\d{8}"")"),"20225861")</f>
        <v>20225861</v>
      </c>
      <c r="H12" s="341" t="s">
        <v>58</v>
      </c>
      <c r="I12" s="341">
        <v>1.0</v>
      </c>
      <c r="N12" s="341" t="str">
        <f>IFERROR(__xludf.DUMMYFUNCTION("""COMPUTED_VALUE"""),"Vũ Đức Trung - 20220046 - trung.vd220046@sis.hust.edu.vn")</f>
        <v>Vũ Đức Trung - 20220046 - trung.vd220046@sis.hust.edu.vn</v>
      </c>
      <c r="O12" s="341" t="s">
        <v>4018</v>
      </c>
      <c r="P12" s="341" t="str">
        <f>IFERROR(__xludf.DUMMYFUNCTION("REGEXEXTRACT(O12, ""\d{8}"")"),"20220046")</f>
        <v>20220046</v>
      </c>
      <c r="Q12" s="341">
        <v>1.0</v>
      </c>
      <c r="R12" s="114" t="s">
        <v>4030</v>
      </c>
    </row>
    <row r="13">
      <c r="A13" s="339" t="s">
        <v>3431</v>
      </c>
      <c r="B13" s="340">
        <v>13.0</v>
      </c>
      <c r="C13" s="341" t="str">
        <f>IFERROR(__xludf.DUMMYFUNCTION("""COMPUTED_VALUE"""),"Đinh Đình Lộc - 20225647 - 18052004loc@gmail.com")</f>
        <v>Đinh Đình Lộc - 20225647 - 18052004loc@gmail.com</v>
      </c>
      <c r="G13" s="341" t="str">
        <f>IFERROR(__xludf.DUMMYFUNCTION("REGEXEXTRACT(C13, ""\d{8}"")"),"20225647")</f>
        <v>20225647</v>
      </c>
      <c r="H13" s="341" t="s">
        <v>60</v>
      </c>
      <c r="I13" s="341">
        <v>1.0</v>
      </c>
      <c r="N13" s="341" t="str">
        <f>IFERROR(__xludf.DUMMYFUNCTION("""COMPUTED_VALUE"""),"Nguyễn Nhật Huy - 20225335 - nhathuyxz2@gmail.com ")</f>
        <v>Nguyễn Nhật Huy - 20225335 - nhathuyxz2@gmail.com </v>
      </c>
      <c r="O13" s="341" t="s">
        <v>4031</v>
      </c>
      <c r="P13" s="341" t="str">
        <f>IFERROR(__xludf.DUMMYFUNCTION("REGEXEXTRACT(O13, ""\d{8}"")"),"20225335")</f>
        <v>20225335</v>
      </c>
      <c r="Q13" s="341">
        <v>1.0</v>
      </c>
    </row>
    <row r="14">
      <c r="A14" s="339" t="s">
        <v>3436</v>
      </c>
      <c r="B14" s="340">
        <v>14.0</v>
      </c>
      <c r="C14" s="341" t="str">
        <f>IFERROR(__xludf.DUMMYFUNCTION("""COMPUTED_VALUE"""),"Quách Gia Được - 20225820 - quachgiaduoc2004@gmail.com")</f>
        <v>Quách Gia Được - 20225820 - quachgiaduoc2004@gmail.com</v>
      </c>
      <c r="G14" s="341" t="str">
        <f>IFERROR(__xludf.DUMMYFUNCTION("REGEXEXTRACT(C14, ""\d{8}"")"),"20225820")</f>
        <v>20225820</v>
      </c>
      <c r="H14" s="341" t="s">
        <v>62</v>
      </c>
      <c r="I14" s="341">
        <v>1.0</v>
      </c>
      <c r="N14" s="341" t="str">
        <f>IFERROR(__xludf.DUMMYFUNCTION("""COMPUTED_VALUE"""),"Lê Xuân Đại - 20225271 - lexuandaibn@gmail.com")</f>
        <v>Lê Xuân Đại - 20225271 - lexuandaibn@gmail.com</v>
      </c>
      <c r="O14" s="341" t="s">
        <v>4032</v>
      </c>
      <c r="P14" s="341" t="str">
        <f>IFERROR(__xludf.DUMMYFUNCTION("REGEXEXTRACT(O14, ""\d{8}"")"),"20225271")</f>
        <v>20225271</v>
      </c>
      <c r="Q14" s="341">
        <v>1.0</v>
      </c>
    </row>
    <row r="15">
      <c r="A15" s="339" t="s">
        <v>3440</v>
      </c>
      <c r="B15" s="340">
        <v>15.0</v>
      </c>
      <c r="C15" s="341" t="str">
        <f>IFERROR(__xludf.DUMMYFUNCTION("""COMPUTED_VALUE"""),"Dương Quang Đông - 20225808 - quangdong010203@gmail.com")</f>
        <v>Dương Quang Đông - 20225808 - quangdong010203@gmail.com</v>
      </c>
      <c r="G15" s="341" t="str">
        <f>IFERROR(__xludf.DUMMYFUNCTION("REGEXEXTRACT(C15, ""\d{8}"")"),"20225808")</f>
        <v>20225808</v>
      </c>
      <c r="H15" s="341" t="s">
        <v>64</v>
      </c>
      <c r="I15" s="341">
        <v>1.0</v>
      </c>
      <c r="N15" s="341" t="str">
        <f>IFERROR(__xludf.DUMMYFUNCTION("""COMPUTED_VALUE"""),"1. Phan Gia Đô - 20226026 - phangiado1107@gmail.com")</f>
        <v>1. Phan Gia Đô - 20226026 - phangiado1107@gmail.com</v>
      </c>
      <c r="O15" s="341" t="s">
        <v>4033</v>
      </c>
      <c r="P15" s="341" t="str">
        <f>IFERROR(__xludf.DUMMYFUNCTION("REGEXEXTRACT(O15, ""\d{8}"")"),"20226026")</f>
        <v>20226026</v>
      </c>
      <c r="Q15" s="341">
        <v>1.0</v>
      </c>
    </row>
    <row r="16">
      <c r="A16" s="339" t="s">
        <v>3449</v>
      </c>
      <c r="B16" s="340">
        <v>16.0</v>
      </c>
      <c r="C16" s="341" t="str">
        <f>IFERROR(__xludf.DUMMYFUNCTION("""COMPUTED_VALUE"""),"Nguyễn Khánh Nam - 20225749 - namnk2004@gmail.com")</f>
        <v>Nguyễn Khánh Nam - 20225749 - namnk2004@gmail.com</v>
      </c>
      <c r="G16" s="341" t="str">
        <f>IFERROR(__xludf.DUMMYFUNCTION("REGEXEXTRACT(C16, ""\d{8}"")"),"20225749")</f>
        <v>20225749</v>
      </c>
      <c r="H16" s="341" t="s">
        <v>66</v>
      </c>
      <c r="I16" s="341">
        <v>1.0</v>
      </c>
      <c r="N16" s="341" t="str">
        <f>IFERROR(__xludf.DUMMYFUNCTION("""COMPUTED_VALUE"""),"2. Nguyễn Công Đạt - 20226022 - ncongdat06@gmail.com")</f>
        <v>2. Nguyễn Công Đạt - 20226022 - ncongdat06@gmail.com</v>
      </c>
      <c r="O16" s="341" t="s">
        <v>4034</v>
      </c>
      <c r="P16" s="341" t="str">
        <f>IFERROR(__xludf.DUMMYFUNCTION("REGEXEXTRACT(O16, ""\d{8}"")"),"20226022")</f>
        <v>20226022</v>
      </c>
      <c r="Q16" s="341">
        <v>1.0</v>
      </c>
    </row>
    <row r="17">
      <c r="A17" s="339" t="s">
        <v>3455</v>
      </c>
      <c r="B17" s="340">
        <v>17.0</v>
      </c>
      <c r="C17" s="341" t="str">
        <f>IFERROR(__xludf.DUMMYFUNCTION("""COMPUTED_VALUE"""),"Vũ Nhật Quang - 20225761 - vunhatquang2004@gmail.com")</f>
        <v>Vũ Nhật Quang - 20225761 - vunhatquang2004@gmail.com</v>
      </c>
      <c r="G17" s="341" t="str">
        <f>IFERROR(__xludf.DUMMYFUNCTION("REGEXEXTRACT(C17, ""\d{8}"")"),"20225761")</f>
        <v>20225761</v>
      </c>
      <c r="H17" s="341" t="s">
        <v>68</v>
      </c>
      <c r="I17" s="341">
        <v>1.0</v>
      </c>
      <c r="N17" s="341" t="str">
        <f>IFERROR(__xludf.DUMMYFUNCTION("""COMPUTED_VALUE"""),"3. Nguyễn Trung Hiếu - 20225971 - hieuhb4321@gmail.com")</f>
        <v>3. Nguyễn Trung Hiếu - 20225971 - hieuhb4321@gmail.com</v>
      </c>
      <c r="O17" s="341" t="s">
        <v>4035</v>
      </c>
      <c r="P17" s="341" t="str">
        <f>IFERROR(__xludf.DUMMYFUNCTION("REGEXEXTRACT(O17, ""\d{8}"")"),"20225971")</f>
        <v>20225971</v>
      </c>
      <c r="Q17" s="341">
        <v>1.0</v>
      </c>
    </row>
    <row r="18">
      <c r="A18" s="339" t="s">
        <v>3460</v>
      </c>
      <c r="B18" s="340">
        <v>18.0</v>
      </c>
      <c r="C18" s="341" t="str">
        <f>IFERROR(__xludf.DUMMYFUNCTION("""COMPUTED_VALUE"""),"Nguyễn Đức Trường - 20225675 - tr01656902449@gmail.com")</f>
        <v>Nguyễn Đức Trường - 20225675 - tr01656902449@gmail.com</v>
      </c>
      <c r="G18" s="341" t="str">
        <f>IFERROR(__xludf.DUMMYFUNCTION("REGEXEXTRACT(C18, ""\d{8}"")"),"20225675")</f>
        <v>20225675</v>
      </c>
      <c r="H18" s="341" t="s">
        <v>70</v>
      </c>
      <c r="I18" s="341">
        <v>1.0</v>
      </c>
      <c r="N18" s="341" t="str">
        <f>IFERROR(__xludf.DUMMYFUNCTION("""COMPUTED_VALUE"""),"4. Trần Gia Khánh - 20226048 - trangiakhanht@gmail.com")</f>
        <v>4. Trần Gia Khánh - 20226048 - trangiakhanht@gmail.com</v>
      </c>
      <c r="O18" s="341" t="s">
        <v>4036</v>
      </c>
      <c r="P18" s="341" t="str">
        <f>IFERROR(__xludf.DUMMYFUNCTION("REGEXEXTRACT(O18, ""\d{8}"")"),"20226048")</f>
        <v>20226048</v>
      </c>
      <c r="Q18" s="341">
        <v>1.0</v>
      </c>
    </row>
    <row r="19">
      <c r="A19" s="339" t="s">
        <v>3464</v>
      </c>
      <c r="B19" s="340">
        <v>19.0</v>
      </c>
      <c r="C19" s="341" t="str">
        <f>IFERROR(__xludf.DUMMYFUNCTION("""COMPUTED_VALUE"""),"1. Bùi Quang Phong - 20224877 quangphonghd14@gmail.com")</f>
        <v>1. Bùi Quang Phong - 20224877 quangphonghd14@gmail.com</v>
      </c>
      <c r="G19" s="341" t="str">
        <f>IFERROR(__xludf.DUMMYFUNCTION("REGEXEXTRACT(C19, ""\d{8}"")"),"20224877")</f>
        <v>20224877</v>
      </c>
      <c r="H19" s="114">
        <v>2.0224887E7</v>
      </c>
      <c r="I19" s="341">
        <v>1.0</v>
      </c>
      <c r="N19" s="341" t="str">
        <f>IFERROR(__xludf.DUMMYFUNCTION("""COMPUTED_VALUE"""),"5. Lê Văn Hậu - 20226038 - lehaulm007@gmail.com")</f>
        <v>5. Lê Văn Hậu - 20226038 - lehaulm007@gmail.com</v>
      </c>
      <c r="O19" s="341" t="s">
        <v>4037</v>
      </c>
      <c r="P19" s="341" t="str">
        <f>IFERROR(__xludf.DUMMYFUNCTION("REGEXEXTRACT(O19, ""\d{8}"")"),"20226038")</f>
        <v>20226038</v>
      </c>
      <c r="Q19" s="341">
        <v>1.0</v>
      </c>
    </row>
    <row r="20">
      <c r="A20" s="339" t="s">
        <v>3468</v>
      </c>
      <c r="B20" s="340">
        <v>20.0</v>
      </c>
      <c r="C20" s="341" t="str">
        <f>IFERROR(__xludf.DUMMYFUNCTION("""COMPUTED_VALUE"""),"2. Nguyễn Viết Tuấn Kiệt - 20220032 tuankiet.nv2501@gmail.com")</f>
        <v>2. Nguyễn Viết Tuấn Kiệt - 20220032 tuankiet.nv2501@gmail.com</v>
      </c>
      <c r="G20" s="341" t="str">
        <f>IFERROR(__xludf.DUMMYFUNCTION("REGEXEXTRACT(C20, ""\d{8}"")"),"20220032")</f>
        <v>20220032</v>
      </c>
      <c r="H20" s="341" t="s">
        <v>80</v>
      </c>
      <c r="I20" s="341">
        <v>1.0</v>
      </c>
      <c r="N20" s="341" t="str">
        <f>IFERROR(__xludf.DUMMYFUNCTION("""COMPUTED_VALUE"""),"6. Phạm Duy Hoàng - 20226042 - duyhoangpham2610@gmail.com")</f>
        <v>6. Phạm Duy Hoàng - 20226042 - duyhoangpham2610@gmail.com</v>
      </c>
      <c r="O20" s="341" t="s">
        <v>4038</v>
      </c>
      <c r="P20" s="341" t="str">
        <f>IFERROR(__xludf.DUMMYFUNCTION("REGEXEXTRACT(O20, ""\d{8}"")"),"20226042")</f>
        <v>20226042</v>
      </c>
      <c r="Q20" s="341">
        <v>1.0</v>
      </c>
    </row>
    <row r="21">
      <c r="A21" s="339" t="s">
        <v>3473</v>
      </c>
      <c r="B21" s="340">
        <v>21.0</v>
      </c>
      <c r="C21" s="341" t="str">
        <f>IFERROR(__xludf.DUMMYFUNCTION("""COMPUTED_VALUE"""),"3. Vũ Tùng Lâm - 20225140 tunglam8124@gmail.com")</f>
        <v>3. Vũ Tùng Lâm - 20225140 tunglam8124@gmail.com</v>
      </c>
      <c r="G21" s="341" t="str">
        <f>IFERROR(__xludf.DUMMYFUNCTION("REGEXEXTRACT(C21, ""\d{8}"")"),"20225140")</f>
        <v>20225140</v>
      </c>
      <c r="H21" s="341" t="s">
        <v>82</v>
      </c>
      <c r="I21" s="341">
        <v>1.0</v>
      </c>
      <c r="N21" s="341" t="str">
        <f>IFERROR(__xludf.DUMMYFUNCTION("""COMPUTED_VALUE"""),"Phạm Đặng Mai Hương - 20225134 -mhmhuong04@gmail.com                                   ")</f>
        <v>Phạm Đặng Mai Hương - 20225134 -mhmhuong04@gmail.com                                   </v>
      </c>
      <c r="O21" s="341" t="s">
        <v>4039</v>
      </c>
      <c r="P21" s="341" t="str">
        <f>IFERROR(__xludf.DUMMYFUNCTION("REGEXEXTRACT(O21, ""\d{8}"")"),"20225134")</f>
        <v>20225134</v>
      </c>
      <c r="Q21" s="341">
        <v>1.0</v>
      </c>
    </row>
    <row r="22">
      <c r="A22" s="349"/>
      <c r="B22" s="340">
        <v>22.0</v>
      </c>
      <c r="C22" s="341" t="str">
        <f>IFERROR(__xludf.DUMMYFUNCTION("""COMPUTED_VALUE"""),"4. Nguyễn Thái Hòa - 20224850 nguyenthaihoa311@gmail.com")</f>
        <v>4. Nguyễn Thái Hòa - 20224850 nguyenthaihoa311@gmail.com</v>
      </c>
      <c r="G22" s="341" t="str">
        <f>IFERROR(__xludf.DUMMYFUNCTION("REGEXEXTRACT(C22, ""\d{8}"")"),"20224850")</f>
        <v>20224850</v>
      </c>
      <c r="H22" s="341" t="s">
        <v>84</v>
      </c>
      <c r="I22" s="341">
        <v>1.0</v>
      </c>
      <c r="N22" s="341" t="str">
        <f>IFERROR(__xludf.DUMMYFUNCTION("""COMPUTED_VALUE"""),"Trần Thị Hồng Thơm - 20225410 - hongthom02022004@gmail.com")</f>
        <v>Trần Thị Hồng Thơm - 20225410 - hongthom02022004@gmail.com</v>
      </c>
      <c r="O22" s="341" t="s">
        <v>4040</v>
      </c>
      <c r="P22" s="341" t="str">
        <f>IFERROR(__xludf.DUMMYFUNCTION("REGEXEXTRACT(O22, ""\d{8}"")"),"20225410")</f>
        <v>20225410</v>
      </c>
      <c r="Q22" s="341">
        <v>1.0</v>
      </c>
    </row>
    <row r="23">
      <c r="A23" s="339" t="s">
        <v>3483</v>
      </c>
      <c r="B23" s="340">
        <v>23.0</v>
      </c>
      <c r="C23" s="341" t="str">
        <f>IFERROR(__xludf.DUMMYFUNCTION("""COMPUTED_VALUE"""),"5. Đào Phúc Long - 20220034 phuclongdao@gmail.com")</f>
        <v>5. Đào Phúc Long - 20220034 phuclongdao@gmail.com</v>
      </c>
      <c r="G23" s="341" t="str">
        <f>IFERROR(__xludf.DUMMYFUNCTION("REGEXEXTRACT(C23, ""\d{8}"")"),"20220034")</f>
        <v>20220034</v>
      </c>
      <c r="H23" s="341" t="s">
        <v>86</v>
      </c>
      <c r="I23" s="341">
        <v>1.0</v>
      </c>
      <c r="N23" s="341" t="str">
        <f>IFERROR(__xludf.DUMMYFUNCTION("""COMPUTED_VALUE"""),"Phạm Việt Hoàng - 20224854 - phamviethoanhlp@gmail.com")</f>
        <v>Phạm Việt Hoàng - 20224854 - phamviethoanhlp@gmail.com</v>
      </c>
      <c r="O23" s="341" t="s">
        <v>4041</v>
      </c>
      <c r="P23" s="341" t="str">
        <f>IFERROR(__xludf.DUMMYFUNCTION("REGEXEXTRACT(O23, ""\d{8}"")"),"20224854")</f>
        <v>20224854</v>
      </c>
      <c r="Q23" s="341">
        <v>1.0</v>
      </c>
    </row>
    <row r="24">
      <c r="A24" s="339" t="s">
        <v>3490</v>
      </c>
      <c r="B24" s="340">
        <v>24.0</v>
      </c>
      <c r="C24" s="341" t="str">
        <f>IFERROR(__xludf.DUMMYFUNCTION("""COMPUTED_VALUE"""),"6. Nguyễn Thái Khôi - 20224868 sherlockholmes5304@gmail.com")</f>
        <v>6. Nguyễn Thái Khôi - 20224868 sherlockholmes5304@gmail.com</v>
      </c>
      <c r="G24" s="341" t="str">
        <f>IFERROR(__xludf.DUMMYFUNCTION("REGEXEXTRACT(C24, ""\d{8}"")"),"20224868")</f>
        <v>20224868</v>
      </c>
      <c r="H24" s="341" t="s">
        <v>88</v>
      </c>
      <c r="I24" s="341">
        <v>1.0</v>
      </c>
      <c r="N24" s="341" t="str">
        <f>IFERROR(__xludf.DUMMYFUNCTION("""COMPUTED_VALUE"""),"Đoàn Mạnh Hùng - 20224995 - doanmanhhung042@gmail.com")</f>
        <v>Đoàn Mạnh Hùng - 20224995 - doanmanhhung042@gmail.com</v>
      </c>
      <c r="O24" s="341" t="s">
        <v>4042</v>
      </c>
      <c r="P24" s="341" t="str">
        <f>IFERROR(__xludf.DUMMYFUNCTION("REGEXEXTRACT(O24, ""\d{8}"")"),"20224995")</f>
        <v>20224995</v>
      </c>
      <c r="Q24" s="341">
        <v>1.0</v>
      </c>
    </row>
    <row r="25">
      <c r="A25" s="339" t="s">
        <v>3495</v>
      </c>
      <c r="B25" s="340">
        <v>25.0</v>
      </c>
      <c r="C25" s="341" t="str">
        <f>IFERROR(__xludf.DUMMYFUNCTION("""COMPUTED_VALUE"""),"7. Lưu Thịnh Khang - 20220031 khangthinhluu21@gmail.com")</f>
        <v>7. Lưu Thịnh Khang - 20220031 khangthinhluu21@gmail.com</v>
      </c>
      <c r="G25" s="341" t="str">
        <f>IFERROR(__xludf.DUMMYFUNCTION("REGEXEXTRACT(C25, ""\d{8}"")"),"20220031")</f>
        <v>20220031</v>
      </c>
      <c r="H25" s="341" t="s">
        <v>90</v>
      </c>
      <c r="I25" s="341">
        <v>1.0</v>
      </c>
      <c r="N25" s="341" t="str">
        <f>IFERROR(__xludf.DUMMYFUNCTION("""COMPUTED_VALUE"""),"Võ Tá Tuấn -20224904 - tatuanpro123@gmail.com")</f>
        <v>Võ Tá Tuấn -20224904 - tatuanpro123@gmail.com</v>
      </c>
      <c r="O25" s="341" t="s">
        <v>4043</v>
      </c>
      <c r="P25" s="341" t="str">
        <f>IFERROR(__xludf.DUMMYFUNCTION("REGEXEXTRACT(O25, ""\d{8}"")"),"20224904")</f>
        <v>20224904</v>
      </c>
      <c r="Q25" s="341">
        <v>1.0</v>
      </c>
    </row>
    <row r="26">
      <c r="A26" s="339" t="s">
        <v>3501</v>
      </c>
      <c r="B26" s="340">
        <v>26.0</v>
      </c>
      <c r="C26" s="341" t="str">
        <f>IFERROR(__xludf.DUMMYFUNCTION("""COMPUTED_VALUE"""),"Phạm Minh Hiếu - 20220062 - hieu.pm220062@sis.hust.edu.vn")</f>
        <v>Phạm Minh Hiếu - 20220062 - hieu.pm220062@sis.hust.edu.vn</v>
      </c>
      <c r="G26" s="341" t="str">
        <f>IFERROR(__xludf.DUMMYFUNCTION("REGEXEXTRACT(C26, ""\d{8}"")"),"20220062")</f>
        <v>20220062</v>
      </c>
      <c r="H26" s="341" t="s">
        <v>98</v>
      </c>
      <c r="I26" s="341">
        <v>1.0</v>
      </c>
      <c r="N26" s="341" t="str">
        <f>IFERROR(__xludf.DUMMYFUNCTION("""COMPUTED_VALUE"""),"Bùi Đình Phẩm -20220039 - pham.bd220039@sis.hust.edu.vn")</f>
        <v>Bùi Đình Phẩm -20220039 - pham.bd220039@sis.hust.edu.vn</v>
      </c>
      <c r="O26" s="341" t="s">
        <v>4044</v>
      </c>
      <c r="P26" s="341" t="str">
        <f>IFERROR(__xludf.DUMMYFUNCTION("REGEXEXTRACT(O26, ""\d{8}"")"),"20220039")</f>
        <v>20220039</v>
      </c>
      <c r="Q26" s="341">
        <v>1.0</v>
      </c>
    </row>
    <row r="27">
      <c r="A27" s="339" t="s">
        <v>3507</v>
      </c>
      <c r="B27" s="340">
        <v>27.0</v>
      </c>
      <c r="C27" s="341" t="str">
        <f>IFERROR(__xludf.DUMMYFUNCTION("""COMPUTED_VALUE"""),"Nguyễn Đức Bình - 20225475 - Binh.ND225475@sis.hust.edu.vn")</f>
        <v>Nguyễn Đức Bình - 20225475 - Binh.ND225475@sis.hust.edu.vn</v>
      </c>
      <c r="G27" s="341" t="str">
        <f>IFERROR(__xludf.DUMMYFUNCTION("REGEXEXTRACT(C27, ""\d{8}"")"),"20225475")</f>
        <v>20225475</v>
      </c>
      <c r="H27" s="341" t="s">
        <v>100</v>
      </c>
      <c r="I27" s="341">
        <v>1.0</v>
      </c>
      <c r="N27" s="341" t="str">
        <f>IFERROR(__xludf.DUMMYFUNCTION("""COMPUTED_VALUE"""),"Mạnh Xuân Thái-20225228-mxthai2303@gmail.com")</f>
        <v>Mạnh Xuân Thái-20225228-mxthai2303@gmail.com</v>
      </c>
      <c r="O27" s="341" t="s">
        <v>4045</v>
      </c>
      <c r="P27" s="341" t="str">
        <f>IFERROR(__xludf.DUMMYFUNCTION("REGEXEXTRACT(O27, ""\d{8}"")"),"20225228")</f>
        <v>20225228</v>
      </c>
      <c r="Q27" s="341">
        <v>1.0</v>
      </c>
    </row>
    <row r="28">
      <c r="A28" s="339" t="s">
        <v>3513</v>
      </c>
      <c r="B28" s="340">
        <v>28.0</v>
      </c>
      <c r="C28" s="341" t="str">
        <f>IFERROR(__xludf.DUMMYFUNCTION("""COMPUTED_VALUE"""),"Phạm Hồng Quân - 20225551 - quan.ph225551@sis.hust.edu.vn")</f>
        <v>Phạm Hồng Quân - 20225551 - quan.ph225551@sis.hust.edu.vn</v>
      </c>
      <c r="G28" s="341" t="str">
        <f>IFERROR(__xludf.DUMMYFUNCTION("REGEXEXTRACT(C28, ""\d{8}"")"),"20225551")</f>
        <v>20225551</v>
      </c>
      <c r="H28" s="341" t="s">
        <v>102</v>
      </c>
      <c r="I28" s="341">
        <v>1.0</v>
      </c>
      <c r="N28" s="341" t="str">
        <f>IFERROR(__xludf.DUMMYFUNCTION("""COMPUTED_VALUE"""),"Nguyễn Văn Hồng Quân-20225151 - nonamentt2212004@gmail.com")</f>
        <v>Nguyễn Văn Hồng Quân-20225151 - nonamentt2212004@gmail.com</v>
      </c>
      <c r="O28" s="341" t="s">
        <v>4046</v>
      </c>
      <c r="P28" s="341" t="str">
        <f>IFERROR(__xludf.DUMMYFUNCTION("REGEXEXTRACT(O28, ""\d{8}"")"),"20225151")</f>
        <v>20225151</v>
      </c>
      <c r="Q28" s="341">
        <v>1.0</v>
      </c>
    </row>
    <row r="29">
      <c r="A29" s="339" t="s">
        <v>4047</v>
      </c>
      <c r="B29" s="340">
        <v>29.0</v>
      </c>
      <c r="C29" s="341" t="str">
        <f>IFERROR(__xludf.DUMMYFUNCTION("""COMPUTED_VALUE"""),"Nguyễn Như Giáp - 20225441 - Giap.NN225441@sis.hust.edu.vn")</f>
        <v>Nguyễn Như Giáp - 20225441 - Giap.NN225441@sis.hust.edu.vn</v>
      </c>
      <c r="G29" s="341" t="str">
        <f>IFERROR(__xludf.DUMMYFUNCTION("REGEXEXTRACT(C29, ""\d{8}"")"),"20225441")</f>
        <v>20225441</v>
      </c>
      <c r="H29" s="341" t="s">
        <v>104</v>
      </c>
      <c r="I29" s="341">
        <v>1.0</v>
      </c>
      <c r="P29" s="350" t="s">
        <v>374</v>
      </c>
      <c r="Q29" s="341">
        <v>1.0</v>
      </c>
    </row>
    <row r="30">
      <c r="A30" s="339" t="s">
        <v>3522</v>
      </c>
      <c r="B30" s="340">
        <v>30.0</v>
      </c>
      <c r="C30" s="341" t="str">
        <f>IFERROR(__xludf.DUMMYFUNCTION("""COMPUTED_VALUE"""),"Nguyễn Minh Đức - 20225437 - nguyenminhduc5etp@gmail.com")</f>
        <v>Nguyễn Minh Đức - 20225437 - nguyenminhduc5etp@gmail.com</v>
      </c>
      <c r="G30" s="341" t="str">
        <f>IFERROR(__xludf.DUMMYFUNCTION("REGEXEXTRACT(C30, ""\d{8}"")"),"20225437")</f>
        <v>20225437</v>
      </c>
      <c r="H30" s="341" t="s">
        <v>106</v>
      </c>
      <c r="I30" s="341">
        <v>1.0</v>
      </c>
      <c r="P30" s="350" t="s">
        <v>3108</v>
      </c>
      <c r="Q30" s="341">
        <v>0.0</v>
      </c>
      <c r="R30" s="114" t="s">
        <v>4048</v>
      </c>
    </row>
    <row r="31">
      <c r="A31" s="339" t="s">
        <v>3526</v>
      </c>
      <c r="B31" s="340">
        <v>31.0</v>
      </c>
      <c r="C31" s="341" t="str">
        <f>IFERROR(__xludf.DUMMYFUNCTION("""COMPUTED_VALUE"""),"Trương Tuấn Vinh - 20225464 - Vinh.TT225464@sis.hust.edu.vn")</f>
        <v>Trương Tuấn Vinh - 20225464 - Vinh.TT225464@sis.hust.edu.vn</v>
      </c>
      <c r="G31" s="341" t="str">
        <f>IFERROR(__xludf.DUMMYFUNCTION("REGEXEXTRACT(C31, ""\d{8}"")"),"20225464")</f>
        <v>20225464</v>
      </c>
      <c r="H31" s="341" t="s">
        <v>108</v>
      </c>
      <c r="I31" s="341">
        <v>1.0</v>
      </c>
      <c r="P31" s="350" t="s">
        <v>365</v>
      </c>
      <c r="Q31" s="341">
        <v>1.0</v>
      </c>
    </row>
    <row r="32">
      <c r="A32" s="351" t="s">
        <v>3531</v>
      </c>
      <c r="B32" s="340">
        <v>32.0</v>
      </c>
      <c r="C32" s="341" t="str">
        <f>IFERROR(__xludf.DUMMYFUNCTION("""COMPUTED_VALUE"""),"Trần An Khanh - 20225447 - khanh.ta225447@sis.hust.edu.vn")</f>
        <v>Trần An Khanh - 20225447 - khanh.ta225447@sis.hust.edu.vn</v>
      </c>
      <c r="G32" s="341" t="str">
        <f>IFERROR(__xludf.DUMMYFUNCTION("REGEXEXTRACT(C32, ""\d{8}"")"),"20225447")</f>
        <v>20225447</v>
      </c>
      <c r="H32" s="341" t="s">
        <v>110</v>
      </c>
      <c r="I32" s="341">
        <v>1.0</v>
      </c>
      <c r="P32" s="350" t="s">
        <v>531</v>
      </c>
      <c r="Q32" s="341">
        <v>1.0</v>
      </c>
    </row>
    <row r="33">
      <c r="A33" s="351" t="s">
        <v>3535</v>
      </c>
      <c r="B33" s="340">
        <v>33.0</v>
      </c>
      <c r="C33" s="341" t="str">
        <f>IFERROR(__xludf.DUMMYFUNCTION("""COMPUTED_VALUE"""),"Vũ Nhật Nguyên Thư - 20225462 - Thu.VNN225462@sis.hust.edu.vn")</f>
        <v>Vũ Nhật Nguyên Thư - 20225462 - Thu.VNN225462@sis.hust.edu.vn</v>
      </c>
      <c r="G33" s="341" t="str">
        <f>IFERROR(__xludf.DUMMYFUNCTION("REGEXEXTRACT(C33, ""\d{8}"")"),"20225462")</f>
        <v>20225462</v>
      </c>
      <c r="H33" s="341" t="s">
        <v>112</v>
      </c>
      <c r="I33" s="341">
        <v>1.0</v>
      </c>
      <c r="P33" s="350" t="s">
        <v>532</v>
      </c>
      <c r="Q33" s="341">
        <v>1.0</v>
      </c>
    </row>
    <row r="34">
      <c r="A34" s="351" t="s">
        <v>3539</v>
      </c>
      <c r="B34" s="340">
        <v>34.0</v>
      </c>
      <c r="C34" s="341" t="str">
        <f>IFERROR(__xludf.DUMMYFUNCTION("""COMPUTED_VALUE"""),"Vũ Ngọc Hà - 20225490 - ha.vn225490@sis.hust.edu.vn")</f>
        <v>Vũ Ngọc Hà - 20225490 - ha.vn225490@sis.hust.edu.vn</v>
      </c>
      <c r="G34" s="341" t="str">
        <f>IFERROR(__xludf.DUMMYFUNCTION("REGEXEXTRACT(C34, ""\d{8}"")"),"20225490")</f>
        <v>20225490</v>
      </c>
      <c r="H34" s="341" t="s">
        <v>522</v>
      </c>
      <c r="I34" s="341">
        <v>1.0</v>
      </c>
      <c r="P34" s="350" t="s">
        <v>533</v>
      </c>
      <c r="Q34" s="341">
        <v>1.0</v>
      </c>
    </row>
    <row r="35">
      <c r="A35" s="351" t="s">
        <v>3543</v>
      </c>
      <c r="B35" s="340">
        <v>35.0</v>
      </c>
      <c r="C35" s="341" t="str">
        <f>IFERROR(__xludf.DUMMYFUNCTION("""COMPUTED_VALUE"""),"Bùi Ánh Dương - 20225489 - duong.ba225489@sis.hust.edu.vn")</f>
        <v>Bùi Ánh Dương - 20225489 - duong.ba225489@sis.hust.edu.vn</v>
      </c>
      <c r="G35" s="341" t="str">
        <f>IFERROR(__xludf.DUMMYFUNCTION("REGEXEXTRACT(C35, ""\d{8}"")"),"20225489")</f>
        <v>20225489</v>
      </c>
      <c r="H35" s="341" t="s">
        <v>523</v>
      </c>
      <c r="I35" s="341">
        <v>1.0</v>
      </c>
      <c r="P35" s="350" t="s">
        <v>534</v>
      </c>
      <c r="Q35" s="341">
        <v>1.0</v>
      </c>
    </row>
    <row r="36">
      <c r="A36" s="351" t="s">
        <v>3548</v>
      </c>
      <c r="B36" s="340">
        <v>36.0</v>
      </c>
      <c r="C36" s="341" t="str">
        <f>IFERROR(__xludf.DUMMYFUNCTION("""COMPUTED_VALUE"""),"Trịnh Thị Thùy Dương - 20226034 - duongtrinhthithuy204@gmail.com")</f>
        <v>Trịnh Thị Thùy Dương - 20226034 - duongtrinhthithuy204@gmail.com</v>
      </c>
      <c r="G36" s="341" t="str">
        <f>IFERROR(__xludf.DUMMYFUNCTION("REGEXEXTRACT(C36, ""\d{8}"")"),"20226034")</f>
        <v>20226034</v>
      </c>
      <c r="H36" s="341" t="s">
        <v>118</v>
      </c>
      <c r="I36" s="341">
        <v>1.0</v>
      </c>
      <c r="P36" s="352" t="s">
        <v>535</v>
      </c>
      <c r="Q36" s="341">
        <v>1.0</v>
      </c>
    </row>
    <row r="37">
      <c r="A37" s="351" t="s">
        <v>3553</v>
      </c>
      <c r="B37" s="340">
        <v>37.0</v>
      </c>
      <c r="C37" s="341" t="str">
        <f>IFERROR(__xludf.DUMMYFUNCTION("""COMPUTED_VALUE"""),"Nguyễn Phương Anh -  20226011 - phuonganh08032004@gmail.com")</f>
        <v>Nguyễn Phương Anh -  20226011 - phuonganh08032004@gmail.com</v>
      </c>
      <c r="G37" s="341" t="str">
        <f>IFERROR(__xludf.DUMMYFUNCTION("REGEXEXTRACT(C37, ""\d{8}"")"),"20226011")</f>
        <v>20226011</v>
      </c>
      <c r="H37" s="341" t="s">
        <v>120</v>
      </c>
      <c r="I37" s="341">
        <v>1.0</v>
      </c>
      <c r="P37" s="353" t="s">
        <v>566</v>
      </c>
      <c r="Q37" s="341">
        <v>1.0</v>
      </c>
    </row>
    <row r="38">
      <c r="A38" s="351" t="s">
        <v>3561</v>
      </c>
      <c r="B38" s="340">
        <v>38.0</v>
      </c>
      <c r="C38" s="341" t="str">
        <f>IFERROR(__xludf.DUMMYFUNCTION("""COMPUTED_VALUE"""),"Nguyễn Thị Thu Huyền - 20220073 - nguyenthithuhuyen613@gmail.com")</f>
        <v>Nguyễn Thị Thu Huyền - 20220073 - nguyenthithuhuyen613@gmail.com</v>
      </c>
      <c r="G38" s="341" t="str">
        <f>IFERROR(__xludf.DUMMYFUNCTION("REGEXEXTRACT(C38, ""\d{8}"")"),"20220073")</f>
        <v>20220073</v>
      </c>
      <c r="H38" s="341" t="s">
        <v>122</v>
      </c>
      <c r="I38" s="341">
        <v>1.0</v>
      </c>
      <c r="P38" s="352" t="s">
        <v>567</v>
      </c>
      <c r="Q38" s="341">
        <v>1.0</v>
      </c>
    </row>
    <row r="39">
      <c r="A39" s="351" t="s">
        <v>3565</v>
      </c>
      <c r="B39" s="340">
        <v>39.0</v>
      </c>
      <c r="C39" s="341" t="str">
        <f>IFERROR(__xludf.DUMMYFUNCTION("""COMPUTED_VALUE"""),"Đoàn Thị Thu Quyên -  20226063 -  doanthuq@gmail.com")</f>
        <v>Đoàn Thị Thu Quyên -  20226063 -  doanthuq@gmail.com</v>
      </c>
      <c r="G39" s="341" t="str">
        <f>IFERROR(__xludf.DUMMYFUNCTION("REGEXEXTRACT(C39, ""\d{8}"")"),"20226063")</f>
        <v>20226063</v>
      </c>
      <c r="H39" s="341" t="s">
        <v>124</v>
      </c>
      <c r="I39" s="341">
        <v>1.0</v>
      </c>
      <c r="P39" s="353" t="s">
        <v>568</v>
      </c>
      <c r="Q39" s="341">
        <v>1.0</v>
      </c>
    </row>
    <row r="40">
      <c r="A40" s="351" t="s">
        <v>4049</v>
      </c>
      <c r="B40" s="340">
        <v>40.0</v>
      </c>
      <c r="C40" s="341" t="str">
        <f>IFERROR(__xludf.DUMMYFUNCTION("""COMPUTED_VALUE"""),"Dương Phương Thảo - 20226001 - duongphuongthao08102004@gmail.com")</f>
        <v>Dương Phương Thảo - 20226001 - duongphuongthao08102004@gmail.com</v>
      </c>
      <c r="G40" s="341" t="str">
        <f>IFERROR(__xludf.DUMMYFUNCTION("REGEXEXTRACT(C40, ""\d{8}"")"),"20226001")</f>
        <v>20226001</v>
      </c>
      <c r="H40" s="341" t="s">
        <v>849</v>
      </c>
      <c r="I40" s="341">
        <v>0.0</v>
      </c>
      <c r="J40" s="114" t="s">
        <v>4050</v>
      </c>
      <c r="P40" s="354" t="s">
        <v>126</v>
      </c>
      <c r="Q40" s="341">
        <v>1.0</v>
      </c>
    </row>
    <row r="41">
      <c r="A41" s="351" t="s">
        <v>3579</v>
      </c>
      <c r="B41" s="340">
        <v>41.0</v>
      </c>
      <c r="C41" s="341" t="str">
        <f>IFERROR(__xludf.DUMMYFUNCTION("""COMPUTED_VALUE"""),"Tạ Tuấn Hải - 20225442 - hai.tt225442@sis.hust.edu.vn")</f>
        <v>Tạ Tuấn Hải - 20225442 - hai.tt225442@sis.hust.edu.vn</v>
      </c>
      <c r="G41" s="341" t="str">
        <f>IFERROR(__xludf.DUMMYFUNCTION("REGEXEXTRACT(C41, ""\d{8}"")"),"20225442")</f>
        <v>20225442</v>
      </c>
      <c r="H41" s="341" t="s">
        <v>139</v>
      </c>
      <c r="I41" s="341">
        <v>1.0</v>
      </c>
      <c r="P41" s="355" t="s">
        <v>425</v>
      </c>
      <c r="Q41" s="341">
        <v>1.0</v>
      </c>
    </row>
    <row r="42">
      <c r="A42" s="351" t="s">
        <v>3584</v>
      </c>
      <c r="B42" s="340">
        <v>42.0</v>
      </c>
      <c r="C42" s="341" t="str">
        <f>IFERROR(__xludf.DUMMYFUNCTION("""COMPUTED_VALUE"""),"Đào Vũ Tiến Đạt - 20225479 - Dat.DVT225479@sis.hust.edu.vn")</f>
        <v>Đào Vũ Tiến Đạt - 20225479 - Dat.DVT225479@sis.hust.edu.vn</v>
      </c>
      <c r="G42" s="341" t="str">
        <f>IFERROR(__xludf.DUMMYFUNCTION("REGEXEXTRACT(C42, ""\d{8}"")"),"20225479")</f>
        <v>20225479</v>
      </c>
      <c r="H42" s="341" t="s">
        <v>140</v>
      </c>
      <c r="I42" s="341">
        <v>1.0</v>
      </c>
      <c r="P42" s="354" t="s">
        <v>569</v>
      </c>
      <c r="Q42" s="341">
        <v>1.0</v>
      </c>
    </row>
    <row r="43">
      <c r="A43" s="351" t="s">
        <v>3587</v>
      </c>
      <c r="B43" s="340">
        <v>43.0</v>
      </c>
      <c r="C43" s="341" t="str">
        <f>IFERROR(__xludf.DUMMYFUNCTION("""COMPUTED_VALUE"""),"Nguyễn Tiến Đạt - 20225481 - dat.nt225481@sis.hust.edu.vn")</f>
        <v>Nguyễn Tiến Đạt - 20225481 - dat.nt225481@sis.hust.edu.vn</v>
      </c>
      <c r="G43" s="341" t="str">
        <f>IFERROR(__xludf.DUMMYFUNCTION("REGEXEXTRACT(C43, ""\d{8}"")"),"20225481")</f>
        <v>20225481</v>
      </c>
      <c r="H43" s="341" t="s">
        <v>141</v>
      </c>
      <c r="I43" s="341">
        <v>1.0</v>
      </c>
      <c r="P43" s="355" t="s">
        <v>570</v>
      </c>
      <c r="Q43" s="341">
        <v>1.0</v>
      </c>
    </row>
    <row r="44">
      <c r="A44" s="351" t="s">
        <v>3592</v>
      </c>
      <c r="B44" s="340">
        <v>44.0</v>
      </c>
      <c r="C44" s="341" t="str">
        <f>IFERROR(__xludf.DUMMYFUNCTION("""COMPUTED_VALUE"""),"Nguyễn Hoàng Quân - 20225519 - quan.nh225519@sis.hust.edu.vn")</f>
        <v>Nguyễn Hoàng Quân - 20225519 - quan.nh225519@sis.hust.edu.vn</v>
      </c>
      <c r="G44" s="341" t="str">
        <f>IFERROR(__xludf.DUMMYFUNCTION("REGEXEXTRACT(C44, ""\d{8}"")"),"20225519")</f>
        <v>20225519</v>
      </c>
      <c r="H44" s="341" t="s">
        <v>142</v>
      </c>
      <c r="I44" s="341">
        <v>1.0</v>
      </c>
      <c r="P44" s="354" t="s">
        <v>571</v>
      </c>
      <c r="Q44" s="341">
        <v>1.0</v>
      </c>
    </row>
    <row r="45">
      <c r="A45" s="351" t="s">
        <v>3597</v>
      </c>
      <c r="B45" s="340">
        <v>45.0</v>
      </c>
      <c r="C45" s="341" t="str">
        <f>IFERROR(__xludf.DUMMYFUNCTION("""COMPUTED_VALUE"""),"Nguyễn Hải Đăng - 20225478 - Dang.NH225478@sis.hust.edu.vn")</f>
        <v>Nguyễn Hải Đăng - 20225478 - Dang.NH225478@sis.hust.edu.vn</v>
      </c>
      <c r="G45" s="341" t="str">
        <f>IFERROR(__xludf.DUMMYFUNCTION("REGEXEXTRACT(C45, ""\d{8}"")"),"20225478")</f>
        <v>20225478</v>
      </c>
      <c r="H45" s="341" t="s">
        <v>143</v>
      </c>
      <c r="I45" s="341">
        <v>1.0</v>
      </c>
      <c r="P45" s="355" t="s">
        <v>572</v>
      </c>
      <c r="Q45" s="341">
        <v>1.0</v>
      </c>
    </row>
    <row r="46">
      <c r="A46" s="351" t="s">
        <v>3602</v>
      </c>
      <c r="B46" s="340">
        <v>46.0</v>
      </c>
      <c r="C46" s="341" t="str">
        <f>IFERROR(__xludf.DUMMYFUNCTION("""COMPUTED_VALUE"""),"Nguyễn Mậu Trung - 20225534 - Trung.NM225534@sis.hust.edu.vn")</f>
        <v>Nguyễn Mậu Trung - 20225534 - Trung.NM225534@sis.hust.edu.vn</v>
      </c>
      <c r="G46" s="341" t="str">
        <f>IFERROR(__xludf.DUMMYFUNCTION("REGEXEXTRACT(C46, ""\d{8}"")"),"20225534")</f>
        <v>20225534</v>
      </c>
      <c r="H46" s="341" t="s">
        <v>144</v>
      </c>
      <c r="I46" s="341">
        <v>1.0</v>
      </c>
      <c r="P46" s="354" t="s">
        <v>344</v>
      </c>
      <c r="Q46" s="341">
        <v>1.0</v>
      </c>
    </row>
    <row r="47">
      <c r="A47" s="351" t="s">
        <v>3608</v>
      </c>
      <c r="B47" s="340">
        <v>47.0</v>
      </c>
      <c r="C47" s="341" t="str">
        <f>IFERROR(__xludf.DUMMYFUNCTION("""COMPUTED_VALUE"""),"Nguyễn Võ Ngọc Khuê - 20225504 - khue.nvn225504@sis.hust.edu.vn")</f>
        <v>Nguyễn Võ Ngọc Khuê - 20225504 - khue.nvn225504@sis.hust.edu.vn</v>
      </c>
      <c r="G47" s="341" t="str">
        <f>IFERROR(__xludf.DUMMYFUNCTION("REGEXEXTRACT(C47, ""\d{8}"")"),"20225504")</f>
        <v>20225504</v>
      </c>
      <c r="H47" s="341" t="s">
        <v>145</v>
      </c>
      <c r="I47" s="341">
        <v>1.0</v>
      </c>
      <c r="P47" s="356" t="s">
        <v>3988</v>
      </c>
      <c r="Q47" s="341">
        <v>0.0</v>
      </c>
      <c r="R47" s="114" t="s">
        <v>4048</v>
      </c>
    </row>
    <row r="48">
      <c r="A48" s="351" t="s">
        <v>3613</v>
      </c>
      <c r="B48" s="340">
        <v>48.0</v>
      </c>
      <c r="C48" s="341" t="str">
        <f>IFERROR(__xludf.DUMMYFUNCTION("""COMPUTED_VALUE"""),"Âu Trung Phong - 20225455 - phong.at225455@sis.hust.edu.vn")</f>
        <v>Âu Trung Phong - 20225455 - phong.at225455@sis.hust.edu.vn</v>
      </c>
      <c r="G48" s="341" t="str">
        <f>IFERROR(__xludf.DUMMYFUNCTION("REGEXEXTRACT(C48, ""\d{8}"")"),"20225455")</f>
        <v>20225455</v>
      </c>
      <c r="H48" s="341" t="s">
        <v>146</v>
      </c>
      <c r="I48" s="341">
        <v>1.0</v>
      </c>
      <c r="P48" s="357" t="s">
        <v>574</v>
      </c>
      <c r="Q48" s="341">
        <v>1.0</v>
      </c>
    </row>
    <row r="49">
      <c r="A49" s="351" t="s">
        <v>3617</v>
      </c>
      <c r="B49" s="340">
        <v>49.0</v>
      </c>
      <c r="C49" s="341" t="str">
        <f>IFERROR(__xludf.DUMMYFUNCTION("""COMPUTED_VALUE"""),"Trần Sỹ Minh Quân - 20225521 - quan.tsm225521@sis.hust.edu.vn")</f>
        <v>Trần Sỹ Minh Quân - 20225521 - quan.tsm225521@sis.hust.edu.vn</v>
      </c>
      <c r="G49" s="341" t="str">
        <f>IFERROR(__xludf.DUMMYFUNCTION("REGEXEXTRACT(C49, ""\d{8}"")"),"20225521")</f>
        <v>20225521</v>
      </c>
      <c r="H49" s="341" t="s">
        <v>147</v>
      </c>
      <c r="I49" s="341">
        <v>1.0</v>
      </c>
      <c r="P49" s="358" t="s">
        <v>579</v>
      </c>
      <c r="Q49" s="341">
        <v>1.0</v>
      </c>
    </row>
    <row r="50">
      <c r="A50" s="351" t="s">
        <v>3621</v>
      </c>
      <c r="B50" s="340">
        <v>50.0</v>
      </c>
      <c r="C50" s="341" t="str">
        <f>IFERROR(__xludf.DUMMYFUNCTION("""COMPUTED_VALUE"""),"Vũ Đức Minh - 20225514 - minh.vd225514@sis.hust.edu.vn")</f>
        <v>Vũ Đức Minh - 20225514 - minh.vd225514@sis.hust.edu.vn</v>
      </c>
      <c r="G50" s="341" t="str">
        <f>IFERROR(__xludf.DUMMYFUNCTION("REGEXEXTRACT(C50, ""\d{8}"")"),"20225514")</f>
        <v>20225514</v>
      </c>
      <c r="H50" s="341" t="s">
        <v>148</v>
      </c>
      <c r="I50" s="341">
        <v>1.0</v>
      </c>
      <c r="P50" s="358" t="s">
        <v>464</v>
      </c>
      <c r="Q50" s="341">
        <v>1.0</v>
      </c>
    </row>
    <row r="51">
      <c r="A51" s="351" t="s">
        <v>3627</v>
      </c>
      <c r="B51" s="340">
        <v>51.0</v>
      </c>
      <c r="C51" s="341" t="str">
        <f>IFERROR(__xludf.DUMMYFUNCTION("""COMPUTED_VALUE"""),"Nguyễn Công Minh - 20226056 - congminhnguyen0308@gmail.com")</f>
        <v>Nguyễn Công Minh - 20226056 - congminhnguyen0308@gmail.com</v>
      </c>
      <c r="G51" s="341" t="str">
        <f>IFERROR(__xludf.DUMMYFUNCTION("REGEXEXTRACT(C51, ""\d{8}"")"),"20226056")</f>
        <v>20226056</v>
      </c>
      <c r="H51" s="341" t="s">
        <v>128</v>
      </c>
      <c r="I51" s="341">
        <v>1.0</v>
      </c>
      <c r="P51" s="358" t="s">
        <v>465</v>
      </c>
      <c r="Q51" s="341">
        <v>1.0</v>
      </c>
    </row>
    <row r="52">
      <c r="A52" s="351" t="s">
        <v>3634</v>
      </c>
      <c r="B52" s="340">
        <v>52.0</v>
      </c>
      <c r="C52" s="341" t="str">
        <f>IFERROR(__xludf.DUMMYFUNCTION("""COMPUTED_VALUE"""),"Bùi Nguyễn Minh - 20226055 - buiminh270604@gmail.com")</f>
        <v>Bùi Nguyễn Minh - 20226055 - buiminh270604@gmail.com</v>
      </c>
      <c r="G52" s="341" t="str">
        <f>IFERROR(__xludf.DUMMYFUNCTION("REGEXEXTRACT(C52, ""\d{8}"")"),"20226055")</f>
        <v>20226055</v>
      </c>
      <c r="H52" s="341" t="s">
        <v>130</v>
      </c>
      <c r="I52" s="341">
        <v>1.0</v>
      </c>
      <c r="P52" s="358" t="s">
        <v>72</v>
      </c>
      <c r="Q52" s="341">
        <v>1.0</v>
      </c>
    </row>
    <row r="53">
      <c r="A53" s="351" t="s">
        <v>3639</v>
      </c>
      <c r="B53" s="340">
        <v>53.0</v>
      </c>
      <c r="C53" s="341" t="str">
        <f>IFERROR(__xludf.DUMMYFUNCTION("""COMPUTED_VALUE"""),"Nguyễn Trung Kiên - 20226052 - trungkien11042004@gmail.com")</f>
        <v>Nguyễn Trung Kiên - 20226052 - trungkien11042004@gmail.com</v>
      </c>
      <c r="G53" s="341" t="str">
        <f>IFERROR(__xludf.DUMMYFUNCTION("REGEXEXTRACT(C53, ""\d{8}"")"),"20226052")</f>
        <v>20226052</v>
      </c>
      <c r="H53" s="341" t="s">
        <v>132</v>
      </c>
      <c r="I53" s="341">
        <v>1.0</v>
      </c>
      <c r="P53" s="358" t="s">
        <v>577</v>
      </c>
      <c r="Q53" s="341">
        <v>1.0</v>
      </c>
    </row>
    <row r="54">
      <c r="A54" s="351" t="s">
        <v>3643</v>
      </c>
      <c r="B54" s="340">
        <v>54.0</v>
      </c>
      <c r="C54" s="341" t="str">
        <f>IFERROR(__xludf.DUMMYFUNCTION("""COMPUTED_VALUE"""),"Phùng Đức Đạt - 20226025 - phungducdat18102004@gmail.com")</f>
        <v>Phùng Đức Đạt - 20226025 - phungducdat18102004@gmail.com</v>
      </c>
      <c r="G54" s="341" t="str">
        <f>IFERROR(__xludf.DUMMYFUNCTION("REGEXEXTRACT(C54, ""\d{8}"")"),"20226025")</f>
        <v>20226025</v>
      </c>
      <c r="H54" s="341" t="s">
        <v>134</v>
      </c>
      <c r="I54" s="341">
        <v>1.0</v>
      </c>
      <c r="P54" s="358" t="s">
        <v>578</v>
      </c>
      <c r="Q54" s="341">
        <v>1.0</v>
      </c>
    </row>
    <row r="55">
      <c r="A55" s="351" t="s">
        <v>3648</v>
      </c>
      <c r="B55" s="340">
        <v>55.0</v>
      </c>
      <c r="C55" s="341" t="str">
        <f>IFERROR(__xludf.DUMMYFUNCTION("""COMPUTED_VALUE"""),"Nguyễn Vũ Dũng - 20225964 - Dung.nv225964@sis.hust.edu.vn")</f>
        <v>Nguyễn Vũ Dũng - 20225964 - Dung.nv225964@sis.hust.edu.vn</v>
      </c>
      <c r="G55" s="341" t="str">
        <f>IFERROR(__xludf.DUMMYFUNCTION("REGEXEXTRACT(C55, ""\d{8}"")"),"20225964")</f>
        <v>20225964</v>
      </c>
      <c r="H55" s="341" t="s">
        <v>92</v>
      </c>
      <c r="I55" s="341">
        <v>1.0</v>
      </c>
      <c r="P55" s="359">
        <v>2.0220072E7</v>
      </c>
      <c r="Q55" s="341">
        <v>1.0</v>
      </c>
    </row>
    <row r="56">
      <c r="A56" s="351" t="s">
        <v>3652</v>
      </c>
      <c r="B56" s="340">
        <v>56.0</v>
      </c>
      <c r="C56" s="341" t="str">
        <f>IFERROR(__xludf.DUMMYFUNCTION("""COMPUTED_VALUE"""),"Trần Đức Lê Huy - 20225978 - Huy.tdl225978@sis.hust.edu.vn")</f>
        <v>Trần Đức Lê Huy - 20225978 - Huy.tdl225978@sis.hust.edu.vn</v>
      </c>
      <c r="G56" s="341" t="str">
        <f>IFERROR(__xludf.DUMMYFUNCTION("REGEXEXTRACT(C56, ""\d{8}"")"),"20225978")</f>
        <v>20225978</v>
      </c>
      <c r="H56" s="341" t="s">
        <v>94</v>
      </c>
      <c r="I56" s="341">
        <v>1.0</v>
      </c>
      <c r="P56" s="359">
        <v>2.0225445E7</v>
      </c>
      <c r="Q56" s="341">
        <v>1.0</v>
      </c>
    </row>
    <row r="57">
      <c r="A57" s="360" t="s">
        <v>3656</v>
      </c>
      <c r="B57" s="340">
        <v>57.0</v>
      </c>
      <c r="C57" s="341" t="str">
        <f>IFERROR(__xludf.DUMMYFUNCTION("""COMPUTED_VALUE"""),"Phan Đào Minh Quân - 20225993 - Quan.pdm225993@sis.hust.edu.vn")</f>
        <v>Phan Đào Minh Quân - 20225993 - Quan.pdm225993@sis.hust.edu.vn</v>
      </c>
      <c r="G57" s="341" t="str">
        <f>IFERROR(__xludf.DUMMYFUNCTION("REGEXEXTRACT(C57, ""\d{8}"")"),"20225993")</f>
        <v>20225993</v>
      </c>
      <c r="H57" s="341" t="s">
        <v>96</v>
      </c>
      <c r="I57" s="341">
        <v>1.0</v>
      </c>
      <c r="Q57" s="341" t="s">
        <v>4051</v>
      </c>
    </row>
    <row r="58">
      <c r="A58" s="360" t="s">
        <v>3662</v>
      </c>
      <c r="B58" s="340">
        <v>58.0</v>
      </c>
      <c r="C58" s="341" t="str">
        <f>IFERROR(__xludf.DUMMYFUNCTION("""COMPUTED_VALUE"""),"Lê Nhật Sơn - 20225918 -nhatsonle2309@gmail.com")</f>
        <v>Lê Nhật Sơn - 20225918 -nhatsonle2309@gmail.com</v>
      </c>
      <c r="G58" s="341" t="str">
        <f>IFERROR(__xludf.DUMMYFUNCTION("REGEXEXTRACT(C58, ""\d{8}"")"),"20225918")</f>
        <v>20225918</v>
      </c>
      <c r="H58" s="341" t="s">
        <v>149</v>
      </c>
      <c r="I58" s="341">
        <v>1.0</v>
      </c>
      <c r="Q58" s="341" t="s">
        <v>4051</v>
      </c>
    </row>
    <row r="59">
      <c r="A59" s="360" t="s">
        <v>3666</v>
      </c>
      <c r="B59" s="340">
        <v>59.0</v>
      </c>
      <c r="C59" s="341" t="str">
        <f>IFERROR(__xludf.DUMMYFUNCTION("""COMPUTED_VALUE"""),"Lê Hồ Quang Huy - 20225636 - huyle1122004@gmail.com")</f>
        <v>Lê Hồ Quang Huy - 20225636 - huyle1122004@gmail.com</v>
      </c>
      <c r="G59" s="341" t="str">
        <f>IFERROR(__xludf.DUMMYFUNCTION("REGEXEXTRACT(C59, ""\d{8}"")"),"20225636")</f>
        <v>20225636</v>
      </c>
      <c r="H59" s="341" t="s">
        <v>150</v>
      </c>
      <c r="I59" s="341">
        <v>1.0</v>
      </c>
      <c r="Q59" s="341" t="s">
        <v>4051</v>
      </c>
    </row>
    <row r="60">
      <c r="A60" s="360" t="s">
        <v>3672</v>
      </c>
      <c r="B60" s="340">
        <v>60.0</v>
      </c>
      <c r="C60" s="341" t="str">
        <f>IFERROR(__xludf.DUMMYFUNCTION("""COMPUTED_VALUE"""),"Nguyễn Sơn Tùng - 20225112 - sontung291004@gmail.com")</f>
        <v>Nguyễn Sơn Tùng - 20225112 - sontung291004@gmail.com</v>
      </c>
      <c r="G60" s="341" t="str">
        <f>IFERROR(__xludf.DUMMYFUNCTION("REGEXEXTRACT(C60, ""\d{8}"")"),"20225112")</f>
        <v>20225112</v>
      </c>
      <c r="H60" s="341" t="s">
        <v>151</v>
      </c>
      <c r="I60" s="341">
        <v>1.0</v>
      </c>
      <c r="Q60" s="341" t="s">
        <v>4051</v>
      </c>
    </row>
    <row r="61">
      <c r="A61" s="360" t="s">
        <v>3677</v>
      </c>
      <c r="B61" s="340">
        <v>61.0</v>
      </c>
      <c r="C61" s="341" t="str">
        <f>IFERROR(__xludf.DUMMYFUNCTION("""COMPUTED_VALUE"""),"Bùi Việt Hưng -20225723 - buiviethung261104@gmail.com")</f>
        <v>Bùi Việt Hưng -20225723 - buiviethung261104@gmail.com</v>
      </c>
      <c r="G61" s="341" t="str">
        <f>IFERROR(__xludf.DUMMYFUNCTION("REGEXEXTRACT(C61, ""\d{8}"")"),"20225723")</f>
        <v>20225723</v>
      </c>
      <c r="H61" s="341" t="s">
        <v>152</v>
      </c>
      <c r="I61" s="341">
        <v>1.0</v>
      </c>
      <c r="Q61" s="341" t="s">
        <v>4051</v>
      </c>
    </row>
    <row r="62">
      <c r="A62" s="360" t="s">
        <v>3684</v>
      </c>
      <c r="B62" s="340">
        <v>62.0</v>
      </c>
      <c r="C62" s="341" t="str">
        <f>IFERROR(__xludf.DUMMYFUNCTION("""COMPUTED_VALUE"""),"Nguyễn Xuân Khuê - 20225643 - khue09022004@gmail.com")</f>
        <v>Nguyễn Xuân Khuê - 20225643 - khue09022004@gmail.com</v>
      </c>
      <c r="G62" s="341" t="str">
        <f>IFERROR(__xludf.DUMMYFUNCTION("REGEXEXTRACT(C62, ""\d{8}"")"),"20225643")</f>
        <v>20225643</v>
      </c>
      <c r="H62" s="341" t="s">
        <v>153</v>
      </c>
      <c r="I62" s="341">
        <v>1.0</v>
      </c>
      <c r="Q62" s="341" t="s">
        <v>4051</v>
      </c>
    </row>
    <row r="63">
      <c r="A63" s="360" t="s">
        <v>3689</v>
      </c>
      <c r="B63" s="340">
        <v>63.0</v>
      </c>
      <c r="C63" s="341" t="str">
        <f>IFERROR(__xludf.DUMMYFUNCTION("""COMPUTED_VALUE"""),"Nguyễn Hoàng Tùng - 20225948 - hoangtungfoxy@gmail.com")</f>
        <v>Nguyễn Hoàng Tùng - 20225948 - hoangtungfoxy@gmail.com</v>
      </c>
      <c r="G63" s="341" t="str">
        <f>IFERROR(__xludf.DUMMYFUNCTION("REGEXEXTRACT(C63, ""\d{8}"")"),"20225948")</f>
        <v>20225948</v>
      </c>
      <c r="H63" s="341" t="s">
        <v>154</v>
      </c>
      <c r="I63" s="341">
        <v>1.0</v>
      </c>
      <c r="Q63" s="341" t="s">
        <v>4051</v>
      </c>
    </row>
    <row r="64">
      <c r="A64" s="360" t="s">
        <v>3694</v>
      </c>
      <c r="B64" s="340">
        <v>64.0</v>
      </c>
      <c r="C64" s="341" t="str">
        <f>IFERROR(__xludf.DUMMYFUNCTION("""COMPUTED_VALUE"""),"Đặng Kim Ngân - 20225751 - dkimngan1411@gmail.com")</f>
        <v>Đặng Kim Ngân - 20225751 - dkimngan1411@gmail.com</v>
      </c>
      <c r="G64" s="341" t="str">
        <f>IFERROR(__xludf.DUMMYFUNCTION("REGEXEXTRACT(C64, ""\d{8}"")"),"20225751")</f>
        <v>20225751</v>
      </c>
      <c r="H64" s="341" t="s">
        <v>155</v>
      </c>
      <c r="I64" s="341">
        <v>1.0</v>
      </c>
      <c r="Q64" s="341" t="s">
        <v>4051</v>
      </c>
    </row>
    <row r="65">
      <c r="A65" s="360" t="s">
        <v>3698</v>
      </c>
      <c r="B65" s="340">
        <v>65.0</v>
      </c>
      <c r="C65" s="341" t="str">
        <f>IFERROR(__xludf.DUMMYFUNCTION("""COMPUTED_VALUE"""),"Nguyễn Thị Nhung - 20225754 - nguyenthinhung29022004@gmail.com")</f>
        <v>Nguyễn Thị Nhung - 20225754 - nguyenthinhung29022004@gmail.com</v>
      </c>
      <c r="G65" s="341" t="str">
        <f>IFERROR(__xludf.DUMMYFUNCTION("REGEXEXTRACT(C65, ""\d{8}"")"),"20225754")</f>
        <v>20225754</v>
      </c>
      <c r="H65" s="341" t="s">
        <v>156</v>
      </c>
      <c r="I65" s="341">
        <v>1.0</v>
      </c>
      <c r="Q65" s="341" t="s">
        <v>4051</v>
      </c>
    </row>
    <row r="66">
      <c r="A66" s="360" t="s">
        <v>3703</v>
      </c>
      <c r="B66" s="340">
        <v>66.0</v>
      </c>
      <c r="C66" s="341" t="str">
        <f>IFERROR(__xludf.DUMMYFUNCTION("""COMPUTED_VALUE"""),"Trần Thị Vân Anh - 20225786 - khuctieuho@gmail.com")</f>
        <v>Trần Thị Vân Anh - 20225786 - khuctieuho@gmail.com</v>
      </c>
      <c r="G66" s="341" t="str">
        <f>IFERROR(__xludf.DUMMYFUNCTION("REGEXEXTRACT(C66, ""\d{8}"")"),"20225786")</f>
        <v>20225786</v>
      </c>
      <c r="H66" s="341" t="s">
        <v>157</v>
      </c>
      <c r="I66" s="341">
        <v>1.0</v>
      </c>
      <c r="Q66" s="341" t="s">
        <v>4051</v>
      </c>
    </row>
    <row r="67">
      <c r="B67" s="340">
        <v>67.0</v>
      </c>
      <c r="C67" s="341" t="str">
        <f>IFERROR(__xludf.DUMMYFUNCTION("""COMPUTED_VALUE"""),"Ngô Ngọc Hải - 20225308-ngongochai0804@gmail.com, ")</f>
        <v>Ngô Ngọc Hải - 20225308-ngongochai0804@gmail.com, </v>
      </c>
      <c r="G67" s="341" t="str">
        <f>IFERROR(__xludf.DUMMYFUNCTION("REGEXEXTRACT(C67, ""\d{8}"")"),"20225308")</f>
        <v>20225308</v>
      </c>
      <c r="H67" s="341" t="s">
        <v>159</v>
      </c>
      <c r="I67" s="341">
        <v>1.0</v>
      </c>
      <c r="Q67" s="341" t="s">
        <v>4051</v>
      </c>
    </row>
    <row r="68">
      <c r="B68" s="340">
        <v>68.0</v>
      </c>
      <c r="C68" s="341" t="str">
        <f>IFERROR(__xludf.DUMMYFUNCTION("""COMPUTED_VALUE"""),"Phạm Duy Thanh - 20225400-phamduythanh2004tb@gmail.com, ")</f>
        <v>Phạm Duy Thanh - 20225400-phamduythanh2004tb@gmail.com, </v>
      </c>
      <c r="G68" s="341" t="str">
        <f>IFERROR(__xludf.DUMMYFUNCTION("REGEXEXTRACT(C68, ""\d{8}"")"),"20225400")</f>
        <v>20225400</v>
      </c>
      <c r="H68" s="341" t="s">
        <v>160</v>
      </c>
      <c r="I68" s="341">
        <v>1.0</v>
      </c>
      <c r="Q68" s="341" t="s">
        <v>4051</v>
      </c>
    </row>
    <row r="69">
      <c r="B69" s="340">
        <v>69.0</v>
      </c>
      <c r="C69" s="341" t="str">
        <f>IFERROR(__xludf.DUMMYFUNCTION("""COMPUTED_VALUE"""),"Phan Nhật Trường - 20225419-truong02052004@gmail.com, ")</f>
        <v>Phan Nhật Trường - 20225419-truong02052004@gmail.com, </v>
      </c>
      <c r="G69" s="341" t="str">
        <f>IFERROR(__xludf.DUMMYFUNCTION("REGEXEXTRACT(C69, ""\d{8}"")"),"20225419")</f>
        <v>20225419</v>
      </c>
      <c r="H69" s="341" t="s">
        <v>2751</v>
      </c>
      <c r="I69" s="341">
        <v>0.0</v>
      </c>
      <c r="J69" s="114" t="s">
        <v>4048</v>
      </c>
      <c r="Q69" s="341" t="s">
        <v>4051</v>
      </c>
    </row>
    <row r="70">
      <c r="B70" s="340">
        <v>70.0</v>
      </c>
      <c r="C70" s="341" t="str">
        <f>IFERROR(__xludf.DUMMYFUNCTION("""COMPUTED_VALUE"""),"Nguyễn Xuân Trưởng - 20225420-truong.nx225420@sis.hust.edu.vn")</f>
        <v>Nguyễn Xuân Trưởng - 20225420-truong.nx225420@sis.hust.edu.vn</v>
      </c>
      <c r="G70" s="341" t="str">
        <f>IFERROR(__xludf.DUMMYFUNCTION("REGEXEXTRACT(C70, ""\d{8}"")"),"20225420")</f>
        <v>20225420</v>
      </c>
      <c r="H70" s="341" t="s">
        <v>161</v>
      </c>
      <c r="I70" s="341">
        <v>1.0</v>
      </c>
      <c r="Q70" s="341" t="s">
        <v>4051</v>
      </c>
    </row>
    <row r="71">
      <c r="B71" s="340">
        <v>71.0</v>
      </c>
      <c r="C71" s="341" t="str">
        <f>IFERROR(__xludf.DUMMYFUNCTION("""COMPUTED_VALUE"""),"Bùi Đức Hùng - 20225193 - duchung04st@gmail.com")</f>
        <v>Bùi Đức Hùng - 20225193 - duchung04st@gmail.com</v>
      </c>
      <c r="G71" s="341" t="str">
        <f>IFERROR(__xludf.DUMMYFUNCTION("REGEXEXTRACT(C71, ""\d{8}"")"),"20225193")</f>
        <v>20225193</v>
      </c>
      <c r="H71" s="341" t="s">
        <v>168</v>
      </c>
      <c r="I71" s="341">
        <v>1.0</v>
      </c>
      <c r="Q71" s="341" t="s">
        <v>4051</v>
      </c>
    </row>
    <row r="72">
      <c r="B72" s="340">
        <v>72.0</v>
      </c>
      <c r="C72" s="341" t="str">
        <f>IFERROR(__xludf.DUMMYFUNCTION("""COMPUTED_VALUE"""),"Hoàng Công Vinh-20225238-vinh.hc225238@sis.hust.edu.vn")</f>
        <v>Hoàng Công Vinh-20225238-vinh.hc225238@sis.hust.edu.vn</v>
      </c>
      <c r="G72" s="341" t="str">
        <f>IFERROR(__xludf.DUMMYFUNCTION("REGEXEXTRACT(C72, ""\d{8}"")"),"20225238")</f>
        <v>20225238</v>
      </c>
      <c r="H72" s="341" t="s">
        <v>169</v>
      </c>
      <c r="I72" s="341">
        <v>1.0</v>
      </c>
      <c r="Q72" s="341" t="s">
        <v>4051</v>
      </c>
    </row>
    <row r="73">
      <c r="B73" s="340">
        <v>73.0</v>
      </c>
      <c r="C73" s="341" t="str">
        <f>IFERROR(__xludf.DUMMYFUNCTION("""COMPUTED_VALUE"""),"Nguyễn Tú Anh - 20225119 - anh.nt225119@sis.hust.edu.vn")</f>
        <v>Nguyễn Tú Anh - 20225119 - anh.nt225119@sis.hust.edu.vn</v>
      </c>
      <c r="G73" s="341" t="str">
        <f>IFERROR(__xludf.DUMMYFUNCTION("REGEXEXTRACT(C73, ""\d{8}"")"),"20225119")</f>
        <v>20225119</v>
      </c>
      <c r="H73" s="341" t="s">
        <v>170</v>
      </c>
      <c r="I73" s="341">
        <v>1.0</v>
      </c>
      <c r="Q73" s="341" t="s">
        <v>4051</v>
      </c>
    </row>
    <row r="74">
      <c r="B74" s="340">
        <v>74.0</v>
      </c>
      <c r="C74" s="341" t="str">
        <f>IFERROR(__xludf.DUMMYFUNCTION("""COMPUTED_VALUE"""),"Bùi Ngọc Thanh - 20225399 - thanh.bn225399@sis.hust.edu.vn")</f>
        <v>Bùi Ngọc Thanh - 20225399 - thanh.bn225399@sis.hust.edu.vn</v>
      </c>
      <c r="G74" s="341" t="str">
        <f>IFERROR(__xludf.DUMMYFUNCTION("REGEXEXTRACT(C74, ""\d{8}"")"),"20225399")</f>
        <v>20225399</v>
      </c>
      <c r="H74" s="341" t="s">
        <v>171</v>
      </c>
      <c r="I74" s="341">
        <v>1.0</v>
      </c>
      <c r="Q74" s="341" t="s">
        <v>4051</v>
      </c>
    </row>
    <row r="75">
      <c r="B75" s="340">
        <v>75.0</v>
      </c>
      <c r="C75" s="341" t="str">
        <f>IFERROR(__xludf.DUMMYFUNCTION("""COMPUTED_VALUE"""),"Nguyễn Lê Hà Sơn - 20225157 - son.nlh225157@sis.hust.edu.vn")</f>
        <v>Nguyễn Lê Hà Sơn - 20225157 - son.nlh225157@sis.hust.edu.vn</v>
      </c>
      <c r="G75" s="341" t="str">
        <f>IFERROR(__xludf.DUMMYFUNCTION("REGEXEXTRACT(C75, ""\d{8}"")"),"20225157")</f>
        <v>20225157</v>
      </c>
      <c r="H75" s="341" t="s">
        <v>172</v>
      </c>
      <c r="I75" s="341">
        <v>1.0</v>
      </c>
      <c r="Q75" s="341" t="s">
        <v>4051</v>
      </c>
    </row>
    <row r="76">
      <c r="B76" s="340">
        <v>76.0</v>
      </c>
      <c r="C76" s="341" t="str">
        <f>IFERROR(__xludf.DUMMYFUNCTION("""COMPUTED_VALUE"""),"Đinh Tạ Hoàng Dũng - 20225290 - dung.dth225290@sis.hust.edu.vn")</f>
        <v>Đinh Tạ Hoàng Dũng - 20225290 - dung.dth225290@sis.hust.edu.vn</v>
      </c>
      <c r="G76" s="341" t="str">
        <f>IFERROR(__xludf.DUMMYFUNCTION("REGEXEXTRACT(C76, ""\d{8}"")"),"20225290")</f>
        <v>20225290</v>
      </c>
      <c r="H76" s="341" t="s">
        <v>173</v>
      </c>
      <c r="I76" s="341">
        <v>1.0</v>
      </c>
      <c r="Q76" s="341" t="s">
        <v>4051</v>
      </c>
    </row>
    <row r="77">
      <c r="B77" s="340">
        <v>77.0</v>
      </c>
      <c r="C77" s="341" t="str">
        <f>IFERROR(__xludf.DUMMYFUNCTION("""COMPUTED_VALUE"""),"Đặng Tuấn Anh - 20225247 - anh.dt225247@sis.hust.edu.vn")</f>
        <v>Đặng Tuấn Anh - 20225247 - anh.dt225247@sis.hust.edu.vn</v>
      </c>
      <c r="G77" s="341" t="str">
        <f>IFERROR(__xludf.DUMMYFUNCTION("REGEXEXTRACT(C77, ""\d{8}"")"),"20225247")</f>
        <v>20225247</v>
      </c>
      <c r="H77" s="341" t="s">
        <v>174</v>
      </c>
      <c r="I77" s="341">
        <v>1.0</v>
      </c>
      <c r="Q77" s="341" t="s">
        <v>4051</v>
      </c>
    </row>
    <row r="78">
      <c r="B78" s="340">
        <v>78.0</v>
      </c>
      <c r="C78" s="341" t="str">
        <f>IFERROR(__xludf.DUMMYFUNCTION("""COMPUTED_VALUE"""),"Phan Trí Dũng - 20225295 - dung.pt225295@sis.hust.edu.vn")</f>
        <v>Phan Trí Dũng - 20225295 - dung.pt225295@sis.hust.edu.vn</v>
      </c>
      <c r="G78" s="341" t="str">
        <f>IFERROR(__xludf.DUMMYFUNCTION("REGEXEXTRACT(C78, ""\d{8}"")"),"20225295")</f>
        <v>20225295</v>
      </c>
      <c r="H78" s="341" t="s">
        <v>175</v>
      </c>
      <c r="I78" s="341">
        <v>1.0</v>
      </c>
      <c r="Q78" s="341" t="s">
        <v>4051</v>
      </c>
    </row>
    <row r="79">
      <c r="B79" s="340">
        <v>79.0</v>
      </c>
      <c r="C79" s="341" t="str">
        <f>IFERROR(__xludf.DUMMYFUNCTION("""COMPUTED_VALUE"""),"Đinh Quốc Đạt-20225275- Dat.dq225275@sis.hust.edu.vn")</f>
        <v>Đinh Quốc Đạt-20225275- Dat.dq225275@sis.hust.edu.vn</v>
      </c>
      <c r="G79" s="341" t="str">
        <f>IFERROR(__xludf.DUMMYFUNCTION("REGEXEXTRACT(C79, ""\d{8}"")"),"20225275")</f>
        <v>20225275</v>
      </c>
      <c r="H79" s="341" t="s">
        <v>176</v>
      </c>
      <c r="I79" s="341">
        <v>1.0</v>
      </c>
      <c r="Q79" s="341" t="s">
        <v>4051</v>
      </c>
    </row>
    <row r="80">
      <c r="B80" s="340">
        <v>80.0</v>
      </c>
      <c r="C80" s="341" t="str">
        <f>IFERROR(__xludf.DUMMYFUNCTION("""COMPUTED_VALUE"""),"Nguyễn Xuân Thành - 20225404 - thanh.nx225404@sis.hust.edu.vn")</f>
        <v>Nguyễn Xuân Thành - 20225404 - thanh.nx225404@sis.hust.edu.vn</v>
      </c>
      <c r="G80" s="341" t="str">
        <f>IFERROR(__xludf.DUMMYFUNCTION("REGEXEXTRACT(C80, ""\d{8}"")"),"20225404")</f>
        <v>20225404</v>
      </c>
      <c r="H80" s="341" t="s">
        <v>177</v>
      </c>
      <c r="I80" s="341">
        <v>1.0</v>
      </c>
      <c r="Q80" s="341" t="s">
        <v>4051</v>
      </c>
    </row>
    <row r="81">
      <c r="B81" s="340">
        <v>81.0</v>
      </c>
      <c r="C81" s="341" t="str">
        <f>IFERROR(__xludf.DUMMYFUNCTION("""COMPUTED_VALUE"""),"Hồ Xuân Thái - 20225393 - thai.hx225393@sis.hust.edu.vn")</f>
        <v>Hồ Xuân Thái - 20225393 - thai.hx225393@sis.hust.edu.vn</v>
      </c>
      <c r="G81" s="341" t="str">
        <f>IFERROR(__xludf.DUMMYFUNCTION("REGEXEXTRACT(C81, ""\d{8}"")"),"20225393")</f>
        <v>20225393</v>
      </c>
      <c r="H81" s="341" t="s">
        <v>162</v>
      </c>
      <c r="I81" s="341">
        <v>1.0</v>
      </c>
      <c r="Q81" s="341" t="s">
        <v>4051</v>
      </c>
    </row>
    <row r="82">
      <c r="B82" s="340">
        <v>82.0</v>
      </c>
      <c r="C82" s="341" t="str">
        <f>IFERROR(__xludf.DUMMYFUNCTION("""COMPUTED_VALUE"""),"Bùi Anh Đức - 20225285 - duc.ba225285@sis.hust.edu.vn")</f>
        <v>Bùi Anh Đức - 20225285 - duc.ba225285@sis.hust.edu.vn</v>
      </c>
      <c r="G82" s="341" t="str">
        <f>IFERROR(__xludf.DUMMYFUNCTION("REGEXEXTRACT(C82, ""\d{8}"")"),"20225285")</f>
        <v>20225285</v>
      </c>
      <c r="H82" s="341" t="s">
        <v>163</v>
      </c>
      <c r="I82" s="341">
        <v>1.0</v>
      </c>
      <c r="Q82" s="341" t="s">
        <v>4051</v>
      </c>
    </row>
    <row r="83">
      <c r="B83" s="340">
        <v>83.0</v>
      </c>
      <c r="C83" s="341" t="str">
        <f>IFERROR(__xludf.DUMMYFUNCTION("""COMPUTED_VALUE"""),"Bùi Văn Nam -20225211- nam.bv225211@sis.hust.edu.vn")</f>
        <v>Bùi Văn Nam -20225211- nam.bv225211@sis.hust.edu.vn</v>
      </c>
      <c r="G83" s="341" t="str">
        <f>IFERROR(__xludf.DUMMYFUNCTION("REGEXEXTRACT(C83, ""\d{8}"")"),"20225211")</f>
        <v>20225211</v>
      </c>
      <c r="H83" s="341" t="s">
        <v>164</v>
      </c>
      <c r="I83" s="341">
        <v>1.0</v>
      </c>
      <c r="Q83" s="341" t="s">
        <v>4051</v>
      </c>
    </row>
    <row r="84">
      <c r="B84" s="340">
        <v>84.0</v>
      </c>
      <c r="C84" s="341" t="str">
        <f>IFERROR(__xludf.DUMMYFUNCTION("""COMPUTED_VALUE"""),"Nguyễn Phúc An Khang - 20225137 - Khang.npa225137@sis.hust.edu.vn")</f>
        <v>Nguyễn Phúc An Khang - 20225137 - Khang.npa225137@sis.hust.edu.vn</v>
      </c>
      <c r="G84" s="341" t="str">
        <f>IFERROR(__xludf.DUMMYFUNCTION("REGEXEXTRACT(C84, ""\d{8}"")"),"20225137")</f>
        <v>20225137</v>
      </c>
      <c r="H84" s="341" t="s">
        <v>165</v>
      </c>
      <c r="I84" s="341">
        <v>1.0</v>
      </c>
      <c r="Q84" s="341" t="s">
        <v>4051</v>
      </c>
    </row>
    <row r="85">
      <c r="B85" s="340">
        <v>85.0</v>
      </c>
      <c r="C85" s="341" t="str">
        <f>IFERROR(__xludf.DUMMYFUNCTION("""COMPUTED_VALUE"""),"Nguyễn Trung Kiên - 20226110 - Kien.NT226110@sis.hust.edu.vn")</f>
        <v>Nguyễn Trung Kiên - 20226110 - Kien.NT226110@sis.hust.edu.vn</v>
      </c>
      <c r="G85" s="341" t="str">
        <f>IFERROR(__xludf.DUMMYFUNCTION("REGEXEXTRACT(C85, ""\d{8}"")"),"20226110")</f>
        <v>20226110</v>
      </c>
      <c r="H85" s="341" t="s">
        <v>386</v>
      </c>
      <c r="I85" s="341">
        <v>1.0</v>
      </c>
      <c r="Q85" s="341" t="s">
        <v>4051</v>
      </c>
    </row>
    <row r="86">
      <c r="B86" s="340">
        <v>86.0</v>
      </c>
      <c r="C86" s="341" t="str">
        <f>IFERROR(__xludf.DUMMYFUNCTION("""COMPUTED_VALUE"""),"Đỗ Gia Huy - 20226085 - huy.dg226085@sis.hust.edu.vn")</f>
        <v>Đỗ Gia Huy - 20226085 - huy.dg226085@sis.hust.edu.vn</v>
      </c>
      <c r="G86" s="341" t="str">
        <f>IFERROR(__xludf.DUMMYFUNCTION("REGEXEXTRACT(C86, ""\d{8}"")"),"20226085")</f>
        <v>20226085</v>
      </c>
      <c r="H86" s="341" t="s">
        <v>387</v>
      </c>
      <c r="I86" s="341">
        <v>1.0</v>
      </c>
      <c r="Q86" s="341" t="s">
        <v>4051</v>
      </c>
    </row>
    <row r="87">
      <c r="B87" s="340">
        <v>87.0</v>
      </c>
      <c r="C87" s="341" t="str">
        <f>IFERROR(__xludf.DUMMYFUNCTION("""COMPUTED_VALUE"""),"Nguyễn Lương Hoàng Tùng - 20226129 - tung.nlh226129@sis.hust.edu.vn")</f>
        <v>Nguyễn Lương Hoàng Tùng - 20226129 - tung.nlh226129@sis.hust.edu.vn</v>
      </c>
      <c r="G87" s="341" t="str">
        <f>IFERROR(__xludf.DUMMYFUNCTION("REGEXEXTRACT(C87, ""\d{8}"")"),"20226129")</f>
        <v>20226129</v>
      </c>
      <c r="H87" s="341" t="s">
        <v>388</v>
      </c>
      <c r="I87" s="341">
        <v>1.0</v>
      </c>
      <c r="Q87" s="341" t="s">
        <v>4051</v>
      </c>
    </row>
    <row r="88">
      <c r="B88" s="340">
        <v>88.0</v>
      </c>
      <c r="C88" s="341" t="str">
        <f>IFERROR(__xludf.DUMMYFUNCTION("""COMPUTED_VALUE"""),"Nguyễn Khoa Ninh - 20226117 - ninh.nk226117@sis.hust.edu.vn")</f>
        <v>Nguyễn Khoa Ninh - 20226117 - ninh.nk226117@sis.hust.edu.vn</v>
      </c>
      <c r="G88" s="341" t="str">
        <f>IFERROR(__xludf.DUMMYFUNCTION("REGEXEXTRACT(C88, ""\d{8}"")"),"20226117")</f>
        <v>20226117</v>
      </c>
      <c r="H88" s="341" t="s">
        <v>389</v>
      </c>
      <c r="I88" s="341">
        <v>1.0</v>
      </c>
      <c r="Q88" s="341" t="s">
        <v>4051</v>
      </c>
    </row>
    <row r="89">
      <c r="B89" s="340">
        <v>89.0</v>
      </c>
      <c r="C89" s="341" t="str">
        <f>IFERROR(__xludf.DUMMYFUNCTION("""COMPUTED_VALUE"""),"Nông Quốc Khánh - 20226088 - Khanh.NQ226088@sis.hust.edu.vn")</f>
        <v>Nông Quốc Khánh - 20226088 - Khanh.NQ226088@sis.hust.edu.vn</v>
      </c>
      <c r="G89" s="341" t="str">
        <f>IFERROR(__xludf.DUMMYFUNCTION("REGEXEXTRACT(C89, ""\d{8}"")"),"20226088")</f>
        <v>20226088</v>
      </c>
      <c r="H89" s="341" t="s">
        <v>390</v>
      </c>
      <c r="I89" s="341">
        <v>1.0</v>
      </c>
      <c r="Q89" s="341" t="s">
        <v>4051</v>
      </c>
    </row>
    <row r="90">
      <c r="B90" s="340">
        <v>90.0</v>
      </c>
      <c r="C90" s="341" t="str">
        <f>IFERROR(__xludf.DUMMYFUNCTION("""COMPUTED_VALUE"""),"Ngô Mạnh Hùng - 20226083 - hung.nm226083@sis.hust.edu.vn")</f>
        <v>Ngô Mạnh Hùng - 20226083 - hung.nm226083@sis.hust.edu.vn</v>
      </c>
      <c r="G90" s="341" t="str">
        <f>IFERROR(__xludf.DUMMYFUNCTION("REGEXEXTRACT(C90, ""\d{8}"")"),"20226083")</f>
        <v>20226083</v>
      </c>
      <c r="H90" s="341" t="s">
        <v>391</v>
      </c>
      <c r="I90" s="341">
        <v>1.0</v>
      </c>
      <c r="Q90" s="341" t="s">
        <v>4051</v>
      </c>
    </row>
    <row r="91">
      <c r="B91" s="340">
        <v>91.0</v>
      </c>
      <c r="C91" s="341" t="str">
        <f>IFERROR(__xludf.DUMMYFUNCTION("""COMPUTED_VALUE"""),"Ôn Quang Tùng - 20226096 - tung.oq226096@sis.hust.edu.vn")</f>
        <v>Ôn Quang Tùng - 20226096 - tung.oq226096@sis.hust.edu.vn</v>
      </c>
      <c r="G91" s="341" t="str">
        <f>IFERROR(__xludf.DUMMYFUNCTION("REGEXEXTRACT(C91, ""\d{8}"")"),"20226096")</f>
        <v>20226096</v>
      </c>
      <c r="H91" s="341" t="s">
        <v>392</v>
      </c>
      <c r="I91" s="341">
        <v>1.0</v>
      </c>
      <c r="Q91" s="341" t="s">
        <v>4051</v>
      </c>
    </row>
    <row r="92">
      <c r="B92" s="340">
        <v>92.0</v>
      </c>
      <c r="C92" s="341" t="str">
        <f>IFERROR(__xludf.DUMMYFUNCTION("""COMPUTED_VALUE"""),"Trịnh Quang Minh - 20226092 - Minh.TQ226092@sis.hust.edu.vn")</f>
        <v>Trịnh Quang Minh - 20226092 - Minh.TQ226092@sis.hust.edu.vn</v>
      </c>
      <c r="G92" s="341" t="str">
        <f>IFERROR(__xludf.DUMMYFUNCTION("REGEXEXTRACT(C92, ""\d{8}"")"),"20226092")</f>
        <v>20226092</v>
      </c>
      <c r="H92" s="341" t="s">
        <v>393</v>
      </c>
      <c r="I92" s="341">
        <v>1.0</v>
      </c>
      <c r="Q92" s="341" t="s">
        <v>4051</v>
      </c>
    </row>
    <row r="93">
      <c r="B93" s="340">
        <v>93.0</v>
      </c>
      <c r="C93" s="341" t="str">
        <f>IFERROR(__xludf.DUMMYFUNCTION("""COMPUTED_VALUE"""),"Trần Quang Huy - 20226109 - Huy.TQ226109@sis.hust.edu.vn")</f>
        <v>Trần Quang Huy - 20226109 - Huy.TQ226109@sis.hust.edu.vn</v>
      </c>
      <c r="G93" s="341" t="str">
        <f>IFERROR(__xludf.DUMMYFUNCTION("REGEXEXTRACT(C93, ""\d{8}"")"),"20226109")</f>
        <v>20226109</v>
      </c>
      <c r="H93" s="341" t="s">
        <v>394</v>
      </c>
      <c r="I93" s="341">
        <v>1.0</v>
      </c>
      <c r="Q93" s="341" t="s">
        <v>4051</v>
      </c>
    </row>
    <row r="94">
      <c r="B94" s="340">
        <v>94.0</v>
      </c>
      <c r="C94" s="341" t="str">
        <f>IFERROR(__xludf.DUMMYFUNCTION("""COMPUTED_VALUE"""),"Nguyễn Hoàng Việt - 20226098 - viet.nh226098@sis.hust.edu.vn")</f>
        <v>Nguyễn Hoàng Việt - 20226098 - viet.nh226098@sis.hust.edu.vn</v>
      </c>
      <c r="G94" s="341" t="str">
        <f>IFERROR(__xludf.DUMMYFUNCTION("REGEXEXTRACT(C94, ""\d{8}"")"),"20226098")</f>
        <v>20226098</v>
      </c>
      <c r="H94" s="341" t="s">
        <v>395</v>
      </c>
      <c r="I94" s="341">
        <v>1.0</v>
      </c>
      <c r="Q94" s="341" t="s">
        <v>4051</v>
      </c>
    </row>
    <row r="95">
      <c r="B95" s="340">
        <v>95.0</v>
      </c>
      <c r="C95" s="341" t="str">
        <f>IFERROR(__xludf.DUMMYFUNCTION("""COMPUTED_VALUE"""),"Nguyễn Trung Sơn - 20226124 - Son.nt226124@sis.hust.edu.vn")</f>
        <v>Nguyễn Trung Sơn - 20226124 - Son.nt226124@sis.hust.edu.vn</v>
      </c>
      <c r="G95" s="341" t="str">
        <f>IFERROR(__xludf.DUMMYFUNCTION("REGEXEXTRACT(C95, ""\d{8}"")"),"20226124")</f>
        <v>20226124</v>
      </c>
      <c r="H95" s="341" t="s">
        <v>396</v>
      </c>
      <c r="I95" s="341">
        <v>1.0</v>
      </c>
      <c r="Q95" s="341" t="s">
        <v>4051</v>
      </c>
    </row>
    <row r="96">
      <c r="B96" s="340">
        <v>96.0</v>
      </c>
      <c r="C96" s="341" t="str">
        <f>IFERROR(__xludf.DUMMYFUNCTION("""COMPUTED_VALUE"""),"Trần Đại Hiệp - 20226081 - hiep.td226081@sis.hust.edu.vn")</f>
        <v>Trần Đại Hiệp - 20226081 - hiep.td226081@sis.hust.edu.vn</v>
      </c>
      <c r="G96" s="341" t="str">
        <f>IFERROR(__xludf.DUMMYFUNCTION("REGEXEXTRACT(C96, ""\d{8}"")"),"20226081")</f>
        <v>20226081</v>
      </c>
      <c r="H96" s="341" t="s">
        <v>397</v>
      </c>
      <c r="I96" s="341">
        <v>1.0</v>
      </c>
      <c r="Q96" s="341" t="s">
        <v>4051</v>
      </c>
    </row>
    <row r="97">
      <c r="B97" s="340">
        <v>97.0</v>
      </c>
      <c r="C97" s="341" t="str">
        <f>IFERROR(__xludf.DUMMYFUNCTION("""COMPUTED_VALUE"""),"Nguyễn Minh Quang - 20226123 - quang.nm226123@sis.hust.edu.vn")</f>
        <v>Nguyễn Minh Quang - 20226123 - quang.nm226123@sis.hust.edu.vn</v>
      </c>
      <c r="G97" s="341" t="str">
        <f>IFERROR(__xludf.DUMMYFUNCTION("REGEXEXTRACT(C97, ""\d{8}"")"),"20226123")</f>
        <v>20226123</v>
      </c>
      <c r="H97" s="341" t="s">
        <v>398</v>
      </c>
      <c r="I97" s="341">
        <v>1.0</v>
      </c>
      <c r="Q97" s="341" t="s">
        <v>4051</v>
      </c>
    </row>
    <row r="98">
      <c r="B98" s="340">
        <v>98.0</v>
      </c>
      <c r="C98" s="341" t="str">
        <f>IFERROR(__xludf.DUMMYFUNCTION("""COMPUTED_VALUE"""),"Dương Thái Anh - 20226099 - anh.dt226099@sis.hust.edu.vn")</f>
        <v>Dương Thái Anh - 20226099 - anh.dt226099@sis.hust.edu.vn</v>
      </c>
      <c r="G98" s="341" t="str">
        <f>IFERROR(__xludf.DUMMYFUNCTION("REGEXEXTRACT(C98, ""\d{8}"")"),"20226099")</f>
        <v>20226099</v>
      </c>
      <c r="H98" s="341" t="s">
        <v>399</v>
      </c>
      <c r="I98" s="341">
        <v>1.0</v>
      </c>
      <c r="Q98" s="341" t="s">
        <v>4051</v>
      </c>
    </row>
    <row r="99">
      <c r="B99" s="340">
        <v>99.0</v>
      </c>
      <c r="C99" s="341" t="str">
        <f>IFERROR(__xludf.DUMMYFUNCTION("""COMPUTED_VALUE"""),"Nguyễn Trung Hiếu - 20226082 - hieu.nt226082@sis.hust.edu.vn")</f>
        <v>Nguyễn Trung Hiếu - 20226082 - hieu.nt226082@sis.hust.edu.vn</v>
      </c>
      <c r="G99" s="341" t="str">
        <f>IFERROR(__xludf.DUMMYFUNCTION("REGEXEXTRACT(C99, ""\d{8}"")"),"20226082")</f>
        <v>20226082</v>
      </c>
      <c r="H99" s="341" t="s">
        <v>400</v>
      </c>
      <c r="I99" s="341">
        <v>1.0</v>
      </c>
      <c r="Q99" s="341" t="s">
        <v>4051</v>
      </c>
    </row>
    <row r="100">
      <c r="B100" s="340">
        <v>100.0</v>
      </c>
      <c r="C100" s="341" t="str">
        <f>IFERROR(__xludf.DUMMYFUNCTION("""COMPUTED_VALUE"""),"Bùi Quang Hưng - 20225849 - Hung.BQ225849@sis.hust.edu.vn")</f>
        <v>Bùi Quang Hưng - 20225849 - Hung.BQ225849@sis.hust.edu.vn</v>
      </c>
      <c r="G100" s="341" t="str">
        <f>IFERROR(__xludf.DUMMYFUNCTION("REGEXEXTRACT(C100, ""\d{8}"")"),"20225849")</f>
        <v>20225849</v>
      </c>
      <c r="H100" s="341" t="s">
        <v>188</v>
      </c>
      <c r="I100" s="341">
        <v>1.0</v>
      </c>
      <c r="Q100" s="341" t="s">
        <v>4051</v>
      </c>
    </row>
    <row r="101">
      <c r="B101" s="340">
        <v>101.0</v>
      </c>
      <c r="C101" s="341" t="str">
        <f>IFERROR(__xludf.DUMMYFUNCTION("""COMPUTED_VALUE"""),"Nguyễn Mạnh Tùng - 20225682 - Tung.NM225682@sis.hust.edu.vn")</f>
        <v>Nguyễn Mạnh Tùng - 20225682 - Tung.NM225682@sis.hust.edu.vn</v>
      </c>
      <c r="G101" s="341" t="str">
        <f>IFERROR(__xludf.DUMMYFUNCTION("REGEXEXTRACT(C101, ""\d{8}"")"),"20225682")</f>
        <v>20225682</v>
      </c>
      <c r="H101" s="341" t="s">
        <v>189</v>
      </c>
      <c r="I101" s="341">
        <v>1.0</v>
      </c>
      <c r="Q101" s="341" t="s">
        <v>4051</v>
      </c>
    </row>
    <row r="102">
      <c r="B102" s="340">
        <v>102.0</v>
      </c>
      <c r="C102" s="341" t="str">
        <f>IFERROR(__xludf.DUMMYFUNCTION("""COMPUTED_VALUE"""),"Tạ Hồng Phúc - 20225906 - Phuc.TH225906@sis.hust.edu.vn")</f>
        <v>Tạ Hồng Phúc - 20225906 - Phuc.TH225906@sis.hust.edu.vn</v>
      </c>
      <c r="G102" s="341" t="str">
        <f>IFERROR(__xludf.DUMMYFUNCTION("REGEXEXTRACT(C102, ""\d{8}"")"),"20225906")</f>
        <v>20225906</v>
      </c>
      <c r="H102" s="341" t="s">
        <v>190</v>
      </c>
      <c r="I102" s="341">
        <v>1.0</v>
      </c>
      <c r="Q102" s="341" t="s">
        <v>4051</v>
      </c>
    </row>
    <row r="103">
      <c r="B103" s="340">
        <v>103.0</v>
      </c>
      <c r="C103" s="341" t="str">
        <f>IFERROR(__xludf.DUMMYFUNCTION("""COMPUTED_VALUE"""),"Nguyễn Đức Quang - 20225913 - Quang.ND225913@sis.hust.edu.vn")</f>
        <v>Nguyễn Đức Quang - 20225913 - Quang.ND225913@sis.hust.edu.vn</v>
      </c>
      <c r="G103" s="341" t="str">
        <f>IFERROR(__xludf.DUMMYFUNCTION("REGEXEXTRACT(C103, ""\d{8}"")"),"20225913")</f>
        <v>20225913</v>
      </c>
      <c r="H103" s="341" t="s">
        <v>191</v>
      </c>
      <c r="I103" s="341">
        <v>1.0</v>
      </c>
      <c r="Q103" s="341" t="s">
        <v>4051</v>
      </c>
    </row>
    <row r="104">
      <c r="B104" s="340">
        <v>104.0</v>
      </c>
      <c r="C104" s="341" t="str">
        <f>IFERROR(__xludf.DUMMYFUNCTION("""COMPUTED_VALUE"""),"Bùi Xuân Nhất - 20225897 - Nhat.BX225897@sis.hust.edu.vn")</f>
        <v>Bùi Xuân Nhất - 20225897 - Nhat.BX225897@sis.hust.edu.vn</v>
      </c>
      <c r="G104" s="341" t="str">
        <f>IFERROR(__xludf.DUMMYFUNCTION("REGEXEXTRACT(C104, ""\d{8}"")"),"20225897")</f>
        <v>20225897</v>
      </c>
      <c r="H104" s="341" t="s">
        <v>192</v>
      </c>
      <c r="I104" s="341">
        <v>1.0</v>
      </c>
      <c r="Q104" s="341" t="s">
        <v>4051</v>
      </c>
    </row>
    <row r="105">
      <c r="B105" s="340">
        <v>105.0</v>
      </c>
      <c r="C105" s="341" t="str">
        <f>IFERROR(__xludf.DUMMYFUNCTION("""COMPUTED_VALUE"""),"Vũ Quốc Bảo - 20225694 - Bao.VQ225694@sis.hust.edu.vn")</f>
        <v>Vũ Quốc Bảo - 20225694 - Bao.VQ225694@sis.hust.edu.vn</v>
      </c>
      <c r="G105" s="341" t="str">
        <f>IFERROR(__xludf.DUMMYFUNCTION("REGEXEXTRACT(C105, ""\d{8}"")"),"20225694")</f>
        <v>20225694</v>
      </c>
      <c r="H105" s="341" t="s">
        <v>193</v>
      </c>
      <c r="I105" s="341">
        <v>1.0</v>
      </c>
      <c r="Q105" s="341" t="s">
        <v>4051</v>
      </c>
    </row>
    <row r="106">
      <c r="B106" s="340">
        <v>106.0</v>
      </c>
      <c r="C106" s="341" t="str">
        <f>IFERROR(__xludf.DUMMYFUNCTION("""COMPUTED_VALUE"""),"Vương Quốc Huy - 20225637 - Huy.VQ225637@sis.hust.edu.vn")</f>
        <v>Vương Quốc Huy - 20225637 - Huy.VQ225637@sis.hust.edu.vn</v>
      </c>
      <c r="G106" s="341" t="str">
        <f>IFERROR(__xludf.DUMMYFUNCTION("REGEXEXTRACT(C106, ""\d{8}"")"),"20225637")</f>
        <v>20225637</v>
      </c>
      <c r="H106" s="341" t="s">
        <v>194</v>
      </c>
      <c r="I106" s="341">
        <v>1.0</v>
      </c>
      <c r="Q106" s="341" t="s">
        <v>4051</v>
      </c>
    </row>
    <row r="107">
      <c r="B107" s="340">
        <v>107.0</v>
      </c>
      <c r="C107" s="341" t="str">
        <f>IFERROR(__xludf.DUMMYFUNCTION("""COMPUTED_VALUE"""),"Nguyễn Vũ Linh Phong - 20225902 - Phong.NVL225902@sis.hust.edu.vn")</f>
        <v>Nguyễn Vũ Linh Phong - 20225902 - Phong.NVL225902@sis.hust.edu.vn</v>
      </c>
      <c r="G107" s="341" t="str">
        <f>IFERROR(__xludf.DUMMYFUNCTION("REGEXEXTRACT(C107, ""\d{8}"")"),"20225902")</f>
        <v>20225902</v>
      </c>
      <c r="H107" s="341" t="s">
        <v>195</v>
      </c>
      <c r="I107" s="341">
        <v>1.0</v>
      </c>
      <c r="Q107" s="341" t="s">
        <v>4051</v>
      </c>
    </row>
    <row r="108">
      <c r="B108" s="340">
        <v>108.0</v>
      </c>
      <c r="C108" s="341" t="str">
        <f>IFERROR(__xludf.DUMMYFUNCTION("""COMPUTED_VALUE"""),"Đinh Ngọc Khánh Huyền - 20225726 - Huyen.DNK225726@sis.hust.edu.vn")</f>
        <v>Đinh Ngọc Khánh Huyền - 20225726 - Huyen.DNK225726@sis.hust.edu.vn</v>
      </c>
      <c r="G108" s="341" t="str">
        <f>IFERROR(__xludf.DUMMYFUNCTION("REGEXEXTRACT(C108, ""\d{8}"")"),"20225726")</f>
        <v>20225726</v>
      </c>
      <c r="H108" s="341" t="s">
        <v>178</v>
      </c>
      <c r="I108" s="341">
        <v>1.0</v>
      </c>
      <c r="Q108" s="341" t="s">
        <v>4051</v>
      </c>
    </row>
    <row r="109">
      <c r="B109" s="340">
        <v>109.0</v>
      </c>
      <c r="C109" s="341" t="str">
        <f>IFERROR(__xludf.DUMMYFUNCTION("""COMPUTED_VALUE"""),"Bùi Thị Xuân - 20225957 - Xuan.BT225957@sis.hust.edu.vn")</f>
        <v>Bùi Thị Xuân - 20225957 - Xuan.BT225957@sis.hust.edu.vn</v>
      </c>
      <c r="G109" s="341" t="str">
        <f>IFERROR(__xludf.DUMMYFUNCTION("REGEXEXTRACT(C109, ""\d{8}"")"),"20225957")</f>
        <v>20225957</v>
      </c>
      <c r="H109" s="341" t="s">
        <v>179</v>
      </c>
      <c r="I109" s="341">
        <v>1.0</v>
      </c>
      <c r="Q109" s="341" t="s">
        <v>4051</v>
      </c>
    </row>
    <row r="110">
      <c r="B110" s="340">
        <v>110.0</v>
      </c>
      <c r="C110" s="341" t="str">
        <f>IFERROR(__xludf.DUMMYFUNCTION("""COMPUTED_VALUE"""),"Trần Khánh Quỳnh - 20225762 - Quynh.TK225762@sis.hust.edu.vn")</f>
        <v>Trần Khánh Quỳnh - 20225762 - Quynh.TK225762@sis.hust.edu.vn</v>
      </c>
      <c r="G110" s="341" t="str">
        <f>IFERROR(__xludf.DUMMYFUNCTION("REGEXEXTRACT(C110, ""\d{8}"")"),"20225762")</f>
        <v>20225762</v>
      </c>
      <c r="H110" s="341" t="s">
        <v>180</v>
      </c>
      <c r="I110" s="341">
        <v>1.0</v>
      </c>
      <c r="Q110" s="341" t="s">
        <v>4051</v>
      </c>
    </row>
    <row r="111">
      <c r="B111" s="340">
        <v>111.0</v>
      </c>
      <c r="C111" s="341" t="str">
        <f>IFERROR(__xludf.DUMMYFUNCTION("""COMPUTED_VALUE"""),"Nhóm mình có 3 người và rất mong được ghép bàn với các bạn khác ngành để mở rộng mối quan hệ và giao lưu cho vui ạ. (đẹp trai càng tốt ạ) :)))")</f>
        <v>Nhóm mình có 3 người và rất mong được ghép bàn với các bạn khác ngành để mở rộng mối quan hệ và giao lưu cho vui ạ. (đẹp trai càng tốt ạ) :)))</v>
      </c>
      <c r="G111" s="341" t="str">
        <f>IFERROR(__xludf.DUMMYFUNCTION("REGEXEXTRACT(C111, ""\d{8}"")"),"#N/A")</f>
        <v>#N/A</v>
      </c>
      <c r="H111" s="341" t="e">
        <v>#N/A</v>
      </c>
      <c r="I111" s="341" t="e">
        <v>#N/A</v>
      </c>
      <c r="Q111" s="341" t="s">
        <v>4051</v>
      </c>
    </row>
    <row r="112">
      <c r="B112" s="340">
        <v>112.0</v>
      </c>
      <c r="C112" s="341" t="str">
        <f>IFERROR(__xludf.DUMMYFUNCTION("""COMPUTED_VALUE"""),"Trần Ngọc Hưng - 20225635 - hungngtran04@gmail.com")</f>
        <v>Trần Ngọc Hưng - 20225635 - hungngtran04@gmail.com</v>
      </c>
      <c r="G112" s="341" t="str">
        <f>IFERROR(__xludf.DUMMYFUNCTION("REGEXEXTRACT(C112, ""\d{8}"")"),"20225635")</f>
        <v>20225635</v>
      </c>
      <c r="H112" s="341" t="s">
        <v>181</v>
      </c>
      <c r="I112" s="341">
        <v>1.0</v>
      </c>
      <c r="Q112" s="341" t="s">
        <v>4051</v>
      </c>
    </row>
    <row r="113">
      <c r="B113" s="340">
        <v>113.0</v>
      </c>
      <c r="C113" s="341" t="str">
        <f>IFERROR(__xludf.DUMMYFUNCTION("""COMPUTED_VALUE"""),"Ngô Hoàng Phúc - 20225903 - Phuc.NH225903@gmail.com")</f>
        <v>Ngô Hoàng Phúc - 20225903 - Phuc.NH225903@gmail.com</v>
      </c>
      <c r="G113" s="341" t="str">
        <f>IFERROR(__xludf.DUMMYFUNCTION("REGEXEXTRACT(C113, ""\d{8}"")"),"20225903")</f>
        <v>20225903</v>
      </c>
      <c r="H113" s="341" t="s">
        <v>182</v>
      </c>
      <c r="I113" s="341">
        <v>1.0</v>
      </c>
      <c r="Q113" s="341" t="s">
        <v>4051</v>
      </c>
    </row>
    <row r="114">
      <c r="B114" s="340">
        <v>114.0</v>
      </c>
      <c r="C114" s="341" t="str">
        <f>IFERROR(__xludf.DUMMYFUNCTION("""COMPUTED_VALUE"""),"Nguyễn Hồng Phúc - 20225659 - percyfuk12@gmail.com")</f>
        <v>Nguyễn Hồng Phúc - 20225659 - percyfuk12@gmail.com</v>
      </c>
      <c r="G114" s="341" t="str">
        <f>IFERROR(__xludf.DUMMYFUNCTION("REGEXEXTRACT(C114, ""\d{8}"")"),"20225659")</f>
        <v>20225659</v>
      </c>
      <c r="H114" s="341" t="s">
        <v>183</v>
      </c>
      <c r="I114" s="341">
        <v>1.0</v>
      </c>
      <c r="Q114" s="341" t="s">
        <v>4051</v>
      </c>
    </row>
    <row r="115">
      <c r="B115" s="340">
        <v>115.0</v>
      </c>
      <c r="C115" s="341" t="str">
        <f>IFERROR(__xludf.DUMMYFUNCTION("""COMPUTED_VALUE"""),"Nguyễn Minh Hoàng - 20225846 - minhhoangdayyyy07@gmail.com")</f>
        <v>Nguyễn Minh Hoàng - 20225846 - minhhoangdayyyy07@gmail.com</v>
      </c>
      <c r="G115" s="341" t="str">
        <f>IFERROR(__xludf.DUMMYFUNCTION("REGEXEXTRACT(C115, ""\d{8}"")"),"20225846")</f>
        <v>20225846</v>
      </c>
      <c r="H115" s="341" t="s">
        <v>184</v>
      </c>
      <c r="I115" s="341">
        <v>1.0</v>
      </c>
      <c r="Q115" s="341" t="s">
        <v>4051</v>
      </c>
    </row>
    <row r="116">
      <c r="B116" s="340">
        <v>116.0</v>
      </c>
      <c r="C116" s="341" t="str">
        <f>IFERROR(__xludf.DUMMYFUNCTION("""COMPUTED_VALUE"""),"Nguyễn Việt Thành - 20225931 - nvt220104@gmail.com")</f>
        <v>Nguyễn Việt Thành - 20225931 - nvt220104@gmail.com</v>
      </c>
      <c r="G116" s="341" t="str">
        <f>IFERROR(__xludf.DUMMYFUNCTION("REGEXEXTRACT(C116, ""\d{8}"")"),"20225931")</f>
        <v>20225931</v>
      </c>
      <c r="H116" s="341" t="s">
        <v>185</v>
      </c>
      <c r="I116" s="341">
        <v>1.0</v>
      </c>
      <c r="Q116" s="341" t="s">
        <v>4051</v>
      </c>
    </row>
    <row r="117">
      <c r="B117" s="340">
        <v>117.0</v>
      </c>
      <c r="C117" s="341" t="str">
        <f>IFERROR(__xludf.DUMMYFUNCTION("""COMPUTED_VALUE"""),"Phạm Trần Nguyên Phú - 20226120")</f>
        <v>Phạm Trần Nguyên Phú - 20226120</v>
      </c>
      <c r="G117" s="341" t="str">
        <f>IFERROR(__xludf.DUMMYFUNCTION("REGEXEXTRACT(C117, ""\d{8}"")"),"20226120")</f>
        <v>20226120</v>
      </c>
      <c r="H117" s="341" t="s">
        <v>376</v>
      </c>
      <c r="I117" s="341">
        <v>1.0</v>
      </c>
      <c r="Q117" s="341" t="s">
        <v>4051</v>
      </c>
    </row>
    <row r="118">
      <c r="B118" s="340">
        <v>118.0</v>
      </c>
      <c r="C118" s="341" t="str">
        <f>IFERROR(__xludf.DUMMYFUNCTION("""COMPUTED_VALUE"""),"Lê Văn Pháp - 20226118")</f>
        <v>Lê Văn Pháp - 20226118</v>
      </c>
      <c r="G118" s="341" t="str">
        <f>IFERROR(__xludf.DUMMYFUNCTION("REGEXEXTRACT(C118, ""\d{8}"")"),"20226118")</f>
        <v>20226118</v>
      </c>
      <c r="H118" s="341" t="s">
        <v>377</v>
      </c>
      <c r="I118" s="341">
        <v>1.0</v>
      </c>
      <c r="Q118" s="341" t="s">
        <v>4051</v>
      </c>
    </row>
    <row r="119">
      <c r="B119" s="340">
        <v>119.0</v>
      </c>
      <c r="C119" s="341" t="str">
        <f>IFERROR(__xludf.DUMMYFUNCTION("""COMPUTED_VALUE"""),"Lại Thị Thùy - 20226126")</f>
        <v>Lại Thị Thùy - 20226126</v>
      </c>
      <c r="G119" s="341" t="str">
        <f>IFERROR(__xludf.DUMMYFUNCTION("REGEXEXTRACT(C119, ""\d{8}"")"),"20226126")</f>
        <v>20226126</v>
      </c>
      <c r="H119" s="341" t="s">
        <v>378</v>
      </c>
      <c r="I119" s="341">
        <v>1.0</v>
      </c>
      <c r="Q119" s="341" t="s">
        <v>4051</v>
      </c>
    </row>
    <row r="120">
      <c r="B120" s="340">
        <v>120.0</v>
      </c>
      <c r="C120" s="341" t="str">
        <f>IFERROR(__xludf.DUMMYFUNCTION("""COMPUTED_VALUE"""),"Phạm Nguyễn Hùng Nguyên - 20226115")</f>
        <v>Phạm Nguyễn Hùng Nguyên - 20226115</v>
      </c>
      <c r="G120" s="341" t="str">
        <f>IFERROR(__xludf.DUMMYFUNCTION("REGEXEXTRACT(C120, ""\d{8}"")"),"20226115")</f>
        <v>20226115</v>
      </c>
      <c r="H120" s="341" t="s">
        <v>379</v>
      </c>
      <c r="I120" s="341">
        <v>1.0</v>
      </c>
      <c r="Q120" s="341" t="s">
        <v>4051</v>
      </c>
    </row>
    <row r="121">
      <c r="B121" s="340">
        <v>121.0</v>
      </c>
      <c r="C121" s="341" t="str">
        <f>IFERROR(__xludf.DUMMYFUNCTION("""COMPUTED_VALUE"""),"Phạm Thái Sơn - 20226125")</f>
        <v>Phạm Thái Sơn - 20226125</v>
      </c>
      <c r="G121" s="341" t="str">
        <f>IFERROR(__xludf.DUMMYFUNCTION("REGEXEXTRACT(C121, ""\d{8}"")"),"20226125")</f>
        <v>20226125</v>
      </c>
      <c r="H121" s="341" t="s">
        <v>380</v>
      </c>
      <c r="I121" s="341">
        <v>1.0</v>
      </c>
      <c r="Q121" s="341" t="s">
        <v>4051</v>
      </c>
    </row>
    <row r="122">
      <c r="B122" s="340">
        <v>122.0</v>
      </c>
      <c r="C122" s="341" t="str">
        <f>IFERROR(__xludf.DUMMYFUNCTION("""COMPUTED_VALUE"""),"Đỗ Gia Huy - 20215060")</f>
        <v>Đỗ Gia Huy - 20215060</v>
      </c>
      <c r="G122" s="341" t="str">
        <f>IFERROR(__xludf.DUMMYFUNCTION("REGEXEXTRACT(C122, ""\d{8}"")"),"20215060")</f>
        <v>20215060</v>
      </c>
      <c r="H122" s="341" t="s">
        <v>381</v>
      </c>
      <c r="I122" s="341">
        <v>1.0</v>
      </c>
      <c r="Q122" s="341" t="s">
        <v>4051</v>
      </c>
    </row>
    <row r="123">
      <c r="B123" s="340">
        <v>123.0</v>
      </c>
      <c r="C123" s="341" t="str">
        <f>IFERROR(__xludf.DUMMYFUNCTION("""COMPUTED_VALUE"""),"Phạm Việt Anh-20225599-anh.pv225599@sis.hust.edu.vn")</f>
        <v>Phạm Việt Anh-20225599-anh.pv225599@sis.hust.edu.vn</v>
      </c>
      <c r="G123" s="341" t="str">
        <f>IFERROR(__xludf.DUMMYFUNCTION("REGEXEXTRACT(C123, ""\d{8}"")"),"20225599")</f>
        <v>20225599</v>
      </c>
      <c r="H123" s="341" t="s">
        <v>406</v>
      </c>
      <c r="I123" s="341">
        <v>1.0</v>
      </c>
      <c r="Q123" s="341" t="s">
        <v>4051</v>
      </c>
    </row>
    <row r="124">
      <c r="B124" s="340">
        <v>124.0</v>
      </c>
      <c r="C124" s="341" t="str">
        <f>IFERROR(__xludf.DUMMYFUNCTION("""COMPUTED_VALUE"""),"Nguyễn Trí Dũng-20225613-Dung.NT225613@sis.hust.edu.vn")</f>
        <v>Nguyễn Trí Dũng-20225613-Dung.NT225613@sis.hust.edu.vn</v>
      </c>
      <c r="G124" s="341" t="str">
        <f>IFERROR(__xludf.DUMMYFUNCTION("REGEXEXTRACT(C124, ""\d{8}"")"),"20225613")</f>
        <v>20225613</v>
      </c>
      <c r="H124" s="341" t="s">
        <v>407</v>
      </c>
      <c r="I124" s="341">
        <v>1.0</v>
      </c>
      <c r="Q124" s="341" t="s">
        <v>4051</v>
      </c>
    </row>
    <row r="125">
      <c r="B125" s="340">
        <v>125.0</v>
      </c>
      <c r="C125" s="341" t="str">
        <f>IFERROR(__xludf.DUMMYFUNCTION("""COMPUTED_VALUE"""),"Vũ Minh Quân-20225910-quan.vm225910@sis.hust.edu.vn")</f>
        <v>Vũ Minh Quân-20225910-quan.vm225910@sis.hust.edu.vn</v>
      </c>
      <c r="G125" s="341" t="str">
        <f>IFERROR(__xludf.DUMMYFUNCTION("REGEXEXTRACT(C125, ""\d{8}"")"),"20225910")</f>
        <v>20225910</v>
      </c>
      <c r="H125" s="341" t="s">
        <v>408</v>
      </c>
      <c r="I125" s="341">
        <v>1.0</v>
      </c>
      <c r="Q125" s="341" t="s">
        <v>4051</v>
      </c>
    </row>
    <row r="126">
      <c r="B126" s="340">
        <v>126.0</v>
      </c>
      <c r="C126" s="341" t="str">
        <f>IFERROR(__xludf.DUMMYFUNCTION("""COMPUTED_VALUE"""),"Trương Phạm Ngọc Khánh -20225641- khanh.tpn225641@sis.hust.edu.vn")</f>
        <v>Trương Phạm Ngọc Khánh -20225641- khanh.tpn225641@sis.hust.edu.vn</v>
      </c>
      <c r="G126" s="341" t="str">
        <f>IFERROR(__xludf.DUMMYFUNCTION("REGEXEXTRACT(C126, ""\d{8}"")"),"20225641")</f>
        <v>20225641</v>
      </c>
      <c r="H126" s="341" t="s">
        <v>409</v>
      </c>
      <c r="I126" s="341">
        <v>1.0</v>
      </c>
      <c r="Q126" s="341" t="s">
        <v>4051</v>
      </c>
    </row>
    <row r="127">
      <c r="B127" s="340">
        <v>127.0</v>
      </c>
      <c r="C127" s="341" t="str">
        <f>IFERROR(__xludf.DUMMYFUNCTION("""COMPUTED_VALUE"""),"Mạch Ngọc Đức Anh -20225595- anh.mnd225595@sis.hust.edu.vn")</f>
        <v>Mạch Ngọc Đức Anh -20225595- anh.mnd225595@sis.hust.edu.vn</v>
      </c>
      <c r="G127" s="341" t="str">
        <f>IFERROR(__xludf.DUMMYFUNCTION("REGEXEXTRACT(C127, ""\d{8}"")"),"20225595")</f>
        <v>20225595</v>
      </c>
      <c r="H127" s="341" t="s">
        <v>410</v>
      </c>
      <c r="I127" s="341">
        <v>1.0</v>
      </c>
      <c r="Q127" s="341" t="s">
        <v>4051</v>
      </c>
    </row>
    <row r="128">
      <c r="B128" s="340">
        <v>128.0</v>
      </c>
      <c r="C128" s="341" t="str">
        <f>IFERROR(__xludf.DUMMYFUNCTION("""COMPUTED_VALUE"""),"Đỗ Hoàng Đông-20225807-dong.dh225807@sis.hust.edu.vn")</f>
        <v>Đỗ Hoàng Đông-20225807-dong.dh225807@sis.hust.edu.vn</v>
      </c>
      <c r="G128" s="341" t="str">
        <f>IFERROR(__xludf.DUMMYFUNCTION("REGEXEXTRACT(C128, ""\d{8}"")"),"20225807")</f>
        <v>20225807</v>
      </c>
      <c r="H128" s="341" t="s">
        <v>411</v>
      </c>
      <c r="I128" s="341">
        <v>1.0</v>
      </c>
      <c r="Q128" s="341" t="s">
        <v>4051</v>
      </c>
    </row>
    <row r="129">
      <c r="B129" s="340">
        <v>129.0</v>
      </c>
      <c r="C129" s="341" t="str">
        <f>IFERROR(__xludf.DUMMYFUNCTION("""COMPUTED_VALUE"""),"Bùi Quốc Bảo-20225601-bao.bq225601@sis.hust.edu.vn")</f>
        <v>Bùi Quốc Bảo-20225601-bao.bq225601@sis.hust.edu.vn</v>
      </c>
      <c r="G129" s="341" t="str">
        <f>IFERROR(__xludf.DUMMYFUNCTION("REGEXEXTRACT(C129, ""\d{8}"")"),"20225601")</f>
        <v>20225601</v>
      </c>
      <c r="H129" s="341" t="s">
        <v>412</v>
      </c>
      <c r="I129" s="341">
        <v>1.0</v>
      </c>
      <c r="Q129" s="341" t="s">
        <v>4051</v>
      </c>
    </row>
    <row r="130">
      <c r="B130" s="340">
        <v>130.0</v>
      </c>
      <c r="C130" s="341" t="str">
        <f>IFERROR(__xludf.DUMMYFUNCTION("""COMPUTED_VALUE"""),"Trịnh Quốc Hoàng -20225629-hoang.tq225629@sis.hust.edu.vn")</f>
        <v>Trịnh Quốc Hoàng -20225629-hoang.tq225629@sis.hust.edu.vn</v>
      </c>
      <c r="G130" s="341" t="str">
        <f>IFERROR(__xludf.DUMMYFUNCTION("REGEXEXTRACT(C130, ""\d{8}"")"),"20225629")</f>
        <v>20225629</v>
      </c>
      <c r="H130" s="341" t="s">
        <v>413</v>
      </c>
      <c r="I130" s="341">
        <v>1.0</v>
      </c>
      <c r="Q130" s="341" t="s">
        <v>4051</v>
      </c>
    </row>
    <row r="131">
      <c r="B131" s="340">
        <v>131.0</v>
      </c>
      <c r="C131" s="341" t="str">
        <f>IFERROR(__xludf.DUMMYFUNCTION("""COMPUTED_VALUE"""),"#VALUE!")</f>
        <v>#VALUE!</v>
      </c>
      <c r="G131" s="341" t="str">
        <f>IFERROR(__xludf.DUMMYFUNCTION("REGEXEXTRACT(C131, ""\d{8}"")"),"#VALUE!")</f>
        <v>#VALUE!</v>
      </c>
      <c r="H131" s="341" t="e">
        <v>#VALUE!</v>
      </c>
      <c r="I131" s="341" t="e">
        <v>#VALUE!</v>
      </c>
      <c r="Q131" s="341" t="s">
        <v>4051</v>
      </c>
    </row>
    <row r="132">
      <c r="B132" s="340">
        <v>132.0</v>
      </c>
      <c r="C132" s="341" t="str">
        <f>IFERROR(__xludf.DUMMYFUNCTION("""COMPUTED_VALUE"""),"Vũ Đức Anh - 20225257 - Anh.vd225257@sis.hust.edu.vn")</f>
        <v>Vũ Đức Anh - 20225257 - Anh.vd225257@sis.hust.edu.vn</v>
      </c>
      <c r="G132" s="341" t="str">
        <f>IFERROR(__xludf.DUMMYFUNCTION("REGEXEXTRACT(C132, ""\d{8}"")"),"20225257")</f>
        <v>20225257</v>
      </c>
      <c r="H132" s="341" t="s">
        <v>166</v>
      </c>
      <c r="I132" s="341">
        <v>1.0</v>
      </c>
      <c r="Q132" s="341" t="s">
        <v>4051</v>
      </c>
    </row>
    <row r="133">
      <c r="B133" s="340">
        <v>133.0</v>
      </c>
      <c r="C133" s="341" t="str">
        <f>IFERROR(__xludf.DUMMYFUNCTION("""COMPUTED_VALUE"""),"Nguyễn Quốc Anh - 20224919 - Anh.nq224919@sis.hust.edu.vn")</f>
        <v>Nguyễn Quốc Anh - 20224919 - Anh.nq224919@sis.hust.edu.vn</v>
      </c>
      <c r="G133" s="341" t="str">
        <f>IFERROR(__xludf.DUMMYFUNCTION("REGEXEXTRACT(C133, ""\d{8}"")"),"20224919")</f>
        <v>20224919</v>
      </c>
      <c r="H133" s="341" t="s">
        <v>167</v>
      </c>
      <c r="I133" s="341">
        <v>1.0</v>
      </c>
      <c r="Q133" s="341" t="s">
        <v>4051</v>
      </c>
    </row>
    <row r="134">
      <c r="B134" s="340">
        <v>134.0</v>
      </c>
      <c r="C134" s="341" t="str">
        <f>IFERROR(__xludf.DUMMYFUNCTION("""COMPUTED_VALUE"""),"1        Nguyễn Đình Dương        20225966        duong.nd225966@sis.hust.edu.vn")</f>
        <v>1        Nguyễn Đình Dương        20225966        duong.nd225966@sis.hust.edu.vn</v>
      </c>
      <c r="G134" s="341" t="str">
        <f>IFERROR(__xludf.DUMMYFUNCTION("REGEXEXTRACT(C134, ""\d{8}"")"),"20225966")</f>
        <v>20225966</v>
      </c>
      <c r="H134" s="341" t="s">
        <v>416</v>
      </c>
      <c r="I134" s="341">
        <v>1.0</v>
      </c>
      <c r="Q134" s="341" t="s">
        <v>4051</v>
      </c>
    </row>
    <row r="135">
      <c r="B135" s="340">
        <v>135.0</v>
      </c>
      <c r="C135" s="341" t="str">
        <f>IFERROR(__xludf.DUMMYFUNCTION("""COMPUTED_VALUE"""),"2        Nguyễn Lan Nhi        20225991        nhi.nl225991@sis.hust.edu.vn")</f>
        <v>2        Nguyễn Lan Nhi        20225991        nhi.nl225991@sis.hust.edu.vn</v>
      </c>
      <c r="G135" s="341" t="str">
        <f>IFERROR(__xludf.DUMMYFUNCTION("REGEXEXTRACT(C135, ""\d{8}"")"),"20225991")</f>
        <v>20225991</v>
      </c>
      <c r="H135" s="341" t="s">
        <v>417</v>
      </c>
      <c r="I135" s="341">
        <v>1.0</v>
      </c>
      <c r="Q135" s="341" t="s">
        <v>4051</v>
      </c>
    </row>
    <row r="136">
      <c r="B136" s="340">
        <v>136.0</v>
      </c>
      <c r="C136" s="341" t="str">
        <f>IFERROR(__xludf.DUMMYFUNCTION("""COMPUTED_VALUE"""),"3        Nguyễn Trọng Minh Phương        20225992        phuong.ntm225992@sis.hust.edu.vn")</f>
        <v>3        Nguyễn Trọng Minh Phương        20225992        phuong.ntm225992@sis.hust.edu.vn</v>
      </c>
      <c r="G136" s="341" t="str">
        <f>IFERROR(__xludf.DUMMYFUNCTION("REGEXEXTRACT(C136, ""\d{8}"")"),"20225992")</f>
        <v>20225992</v>
      </c>
      <c r="H136" s="341" t="s">
        <v>418</v>
      </c>
      <c r="I136" s="341">
        <v>1.0</v>
      </c>
      <c r="Q136" s="341" t="s">
        <v>4051</v>
      </c>
    </row>
    <row r="137">
      <c r="B137" s="340">
        <v>137.0</v>
      </c>
      <c r="C137" s="341" t="str">
        <f>IFERROR(__xludf.DUMMYFUNCTION("""COMPUTED_VALUE"""),"4        Bùi Hà My        20225987        my.bh225987@sis.hust.edu.vn")</f>
        <v>4        Bùi Hà My        20225987        my.bh225987@sis.hust.edu.vn</v>
      </c>
      <c r="G137" s="341" t="str">
        <f>IFERROR(__xludf.DUMMYFUNCTION("REGEXEXTRACT(C137, ""\d{8}"")"),"20225987")</f>
        <v>20225987</v>
      </c>
      <c r="H137" s="341" t="s">
        <v>419</v>
      </c>
      <c r="I137" s="341">
        <v>1.0</v>
      </c>
      <c r="Q137" s="341" t="s">
        <v>4051</v>
      </c>
    </row>
    <row r="138">
      <c r="B138" s="340">
        <v>138.0</v>
      </c>
      <c r="C138" s="341" t="str">
        <f>IFERROR(__xludf.DUMMYFUNCTION("""COMPUTED_VALUE"""),"5        Nguyễn Mỹ Duyên        20225967        duyen.nm225967@sis.hust.edu.vn")</f>
        <v>5        Nguyễn Mỹ Duyên        20225967        duyen.nm225967@sis.hust.edu.vn</v>
      </c>
      <c r="G138" s="341" t="str">
        <f>IFERROR(__xludf.DUMMYFUNCTION("REGEXEXTRACT(C138, ""\d{8}"")"),"20225967")</f>
        <v>20225967</v>
      </c>
      <c r="H138" s="341" t="s">
        <v>420</v>
      </c>
      <c r="I138" s="341">
        <v>1.0</v>
      </c>
      <c r="Q138" s="341" t="s">
        <v>4051</v>
      </c>
    </row>
    <row r="139">
      <c r="B139" s="340">
        <v>139.0</v>
      </c>
      <c r="C139" s="341" t="str">
        <f>IFERROR(__xludf.DUMMYFUNCTION("""COMPUTED_VALUE"""),"6        Hồ Bảo Thư        20226003        thu.hb226003@sis.hust.edu.vn")</f>
        <v>6        Hồ Bảo Thư        20226003        thu.hb226003@sis.hust.edu.vn</v>
      </c>
      <c r="G139" s="341" t="str">
        <f>IFERROR(__xludf.DUMMYFUNCTION("REGEXEXTRACT(C139, ""\d{8}"")"),"20226003")</f>
        <v>20226003</v>
      </c>
      <c r="H139" s="341" t="s">
        <v>421</v>
      </c>
      <c r="I139" s="341">
        <v>1.0</v>
      </c>
      <c r="Q139" s="341" t="s">
        <v>4051</v>
      </c>
    </row>
    <row r="140">
      <c r="B140" s="340">
        <v>140.0</v>
      </c>
      <c r="C140" s="341" t="str">
        <f>IFERROR(__xludf.DUMMYFUNCTION("""COMPUTED_VALUE"""),"7        Hà Việt Khánh        20225979        khanh.hv225979@sis.hust.edu.vn")</f>
        <v>7        Hà Việt Khánh        20225979        khanh.hv225979@sis.hust.edu.vn</v>
      </c>
      <c r="G140" s="341" t="str">
        <f>IFERROR(__xludf.DUMMYFUNCTION("REGEXEXTRACT(C140, ""\d{8}"")"),"20225979")</f>
        <v>20225979</v>
      </c>
      <c r="H140" s="341" t="s">
        <v>422</v>
      </c>
      <c r="I140" s="341">
        <v>1.0</v>
      </c>
      <c r="Q140" s="341" t="s">
        <v>4051</v>
      </c>
    </row>
    <row r="141">
      <c r="B141" s="340">
        <v>141.0</v>
      </c>
      <c r="C141" s="341" t="str">
        <f>IFERROR(__xludf.DUMMYFUNCTION("""COMPUTED_VALUE"""),"8        Đặng Văn Nhân        20225990        nhan.dv225990@sis.hust.edu.vn")</f>
        <v>8        Đặng Văn Nhân        20225990        nhan.dv225990@sis.hust.edu.vn</v>
      </c>
      <c r="G141" s="341" t="str">
        <f>IFERROR(__xludf.DUMMYFUNCTION("REGEXEXTRACT(C141, ""\d{8}"")"),"20225990")</f>
        <v>20225990</v>
      </c>
      <c r="H141" s="341" t="s">
        <v>423</v>
      </c>
      <c r="I141" s="341">
        <v>1.0</v>
      </c>
      <c r="Q141" s="341" t="s">
        <v>4051</v>
      </c>
    </row>
    <row r="142">
      <c r="B142" s="340">
        <v>142.0</v>
      </c>
      <c r="C142" s="341" t="str">
        <f>IFERROR(__xludf.DUMMYFUNCTION("""COMPUTED_VALUE"""),"1. Nguyễn Thị Thuý Hiền 20224844 - hienntt0401@gmail.com")</f>
        <v>1. Nguyễn Thị Thuý Hiền 20224844 - hienntt0401@gmail.com</v>
      </c>
      <c r="G142" s="341" t="str">
        <f>IFERROR(__xludf.DUMMYFUNCTION("REGEXEXTRACT(C142, ""\d{8}"")"),"20224844")</f>
        <v>20224844</v>
      </c>
      <c r="H142" s="341" t="s">
        <v>303</v>
      </c>
      <c r="I142" s="341">
        <v>1.0</v>
      </c>
      <c r="Q142" s="341" t="s">
        <v>4051</v>
      </c>
    </row>
    <row r="143">
      <c r="B143" s="340">
        <v>143.0</v>
      </c>
      <c r="C143" s="341" t="str">
        <f>IFERROR(__xludf.DUMMYFUNCTION("""COMPUTED_VALUE"""),"2. Cao Thị Ngọc Huyền 20225015 caothingochuyen2609@gmail.com")</f>
        <v>2. Cao Thị Ngọc Huyền 20225015 caothingochuyen2609@gmail.com</v>
      </c>
      <c r="G143" s="341" t="str">
        <f>IFERROR(__xludf.DUMMYFUNCTION("REGEXEXTRACT(C143, ""\d{8}"")"),"20225015")</f>
        <v>20225015</v>
      </c>
      <c r="H143" s="341" t="s">
        <v>304</v>
      </c>
      <c r="I143" s="341">
        <v>1.0</v>
      </c>
      <c r="Q143" s="341" t="s">
        <v>4051</v>
      </c>
    </row>
    <row r="144">
      <c r="B144" s="340">
        <v>144.0</v>
      </c>
      <c r="C144" s="341" t="str">
        <f>IFERROR(__xludf.DUMMYFUNCTION("""COMPUTED_VALUE"""),"Phạm Tuấn Anh        20225542        Anh.PT225542@sis.hust.edu.vn")</f>
        <v>Phạm Tuấn Anh        20225542        Anh.PT225542@sis.hust.edu.vn</v>
      </c>
      <c r="G144" s="341" t="str">
        <f>IFERROR(__xludf.DUMMYFUNCTION("REGEXEXTRACT(C144, ""\d{8}"")"),"20225542")</f>
        <v>20225542</v>
      </c>
      <c r="H144" s="341" t="s">
        <v>426</v>
      </c>
      <c r="I144" s="341">
        <v>1.0</v>
      </c>
      <c r="Q144" s="341" t="s">
        <v>4051</v>
      </c>
    </row>
    <row r="145">
      <c r="B145" s="340">
        <v>145.0</v>
      </c>
      <c r="C145" s="341" t="str">
        <f>IFERROR(__xludf.DUMMYFUNCTION("""COMPUTED_VALUE"""),"Phan Việt Anh        20225566        Anh.PV225566@sis.hust.edu.vn")</f>
        <v>Phan Việt Anh        20225566        Anh.PV225566@sis.hust.edu.vn</v>
      </c>
      <c r="G145" s="341" t="str">
        <f>IFERROR(__xludf.DUMMYFUNCTION("REGEXEXTRACT(C145, ""\d{8}"")"),"20225566")</f>
        <v>20225566</v>
      </c>
      <c r="H145" s="341" t="s">
        <v>427</v>
      </c>
      <c r="I145" s="341">
        <v>1.0</v>
      </c>
      <c r="Q145" s="341" t="s">
        <v>4051</v>
      </c>
    </row>
    <row r="146">
      <c r="B146" s="340">
        <v>146.0</v>
      </c>
      <c r="C146" s="341" t="str">
        <f>IFERROR(__xludf.DUMMYFUNCTION("""COMPUTED_VALUE"""),"Hạ Nhật Duy        20225544        Duy.HN225544@sis.hust.edu.vn")</f>
        <v>Hạ Nhật Duy        20225544        Duy.HN225544@sis.hust.edu.vn</v>
      </c>
      <c r="G146" s="341" t="str">
        <f>IFERROR(__xludf.DUMMYFUNCTION("REGEXEXTRACT(C146, ""\d{8}"")"),"20225544")</f>
        <v>20225544</v>
      </c>
      <c r="H146" s="341" t="s">
        <v>428</v>
      </c>
      <c r="I146" s="341">
        <v>1.0</v>
      </c>
      <c r="Q146" s="341" t="s">
        <v>4051</v>
      </c>
    </row>
    <row r="147">
      <c r="B147" s="340">
        <v>147.0</v>
      </c>
      <c r="C147" s="341" t="str">
        <f>IFERROR(__xludf.DUMMYFUNCTION("""COMPUTED_VALUE"""),"Lê Tiến Đạt        20225543        Dat.LT225543@sis.hust.edu.vn")</f>
        <v>Lê Tiến Đạt        20225543        Dat.LT225543@sis.hust.edu.vn</v>
      </c>
      <c r="G147" s="341" t="str">
        <f>IFERROR(__xludf.DUMMYFUNCTION("REGEXEXTRACT(C147, ""\d{8}"")"),"20225543")</f>
        <v>20225543</v>
      </c>
      <c r="H147" s="341" t="s">
        <v>429</v>
      </c>
      <c r="I147" s="341">
        <v>1.0</v>
      </c>
      <c r="Q147" s="341" t="s">
        <v>4051</v>
      </c>
    </row>
    <row r="148">
      <c r="B148" s="340">
        <v>148.0</v>
      </c>
      <c r="C148" s="341" t="str">
        <f>IFERROR(__xludf.DUMMYFUNCTION("""COMPUTED_VALUE"""),"Nguyễn Minh Đức        20225567        Duc.NM225567@sis.hust.edu.vn")</f>
        <v>Nguyễn Minh Đức        20225567        Duc.NM225567@sis.hust.edu.vn</v>
      </c>
      <c r="G148" s="341" t="str">
        <f>IFERROR(__xludf.DUMMYFUNCTION("REGEXEXTRACT(C148, ""\d{8}"")"),"20225567")</f>
        <v>20225567</v>
      </c>
      <c r="H148" s="341" t="s">
        <v>430</v>
      </c>
      <c r="I148" s="341">
        <v>1.0</v>
      </c>
      <c r="Q148" s="341" t="s">
        <v>4051</v>
      </c>
    </row>
    <row r="149">
      <c r="B149" s="340">
        <v>149.0</v>
      </c>
      <c r="C149" s="341" t="str">
        <f>IFERROR(__xludf.DUMMYFUNCTION("""COMPUTED_VALUE"""),"Trần Đăng Huy        20225575        Huy.TD225575@sis.hust.edu.vn")</f>
        <v>Trần Đăng Huy        20225575        Huy.TD225575@sis.hust.edu.vn</v>
      </c>
      <c r="G149" s="341" t="str">
        <f>IFERROR(__xludf.DUMMYFUNCTION("REGEXEXTRACT(C149, ""\d{8}"")"),"20225575")</f>
        <v>20225575</v>
      </c>
      <c r="H149" s="341" t="s">
        <v>431</v>
      </c>
      <c r="I149" s="341">
        <v>1.0</v>
      </c>
      <c r="Q149" s="341" t="s">
        <v>4051</v>
      </c>
    </row>
    <row r="150">
      <c r="B150" s="340">
        <v>150.0</v>
      </c>
      <c r="C150" s="341" t="str">
        <f>IFERROR(__xludf.DUMMYFUNCTION("""COMPUTED_VALUE"""),"Nguyễn Quang Hưng        20225545        Hung.NQ225545@sis.hust.edu.vn")</f>
        <v>Nguyễn Quang Hưng        20225545        Hung.NQ225545@sis.hust.edu.vn</v>
      </c>
      <c r="G150" s="341" t="str">
        <f>IFERROR(__xludf.DUMMYFUNCTION("REGEXEXTRACT(C150, ""\d{8}"")"),"20225545")</f>
        <v>20225545</v>
      </c>
      <c r="H150" s="341" t="s">
        <v>432</v>
      </c>
      <c r="I150" s="341">
        <v>1.0</v>
      </c>
      <c r="Q150" s="341" t="s">
        <v>4051</v>
      </c>
    </row>
    <row r="151">
      <c r="B151" s="340">
        <v>151.0</v>
      </c>
      <c r="C151" s="341" t="str">
        <f>IFERROR(__xludf.DUMMYFUNCTION("""COMPUTED_VALUE"""),"Phạm Đoàn Phúc Lâm        20225546        Lam.PDP225546@sis.hust.edu.vn")</f>
        <v>Phạm Đoàn Phúc Lâm        20225546        Lam.PDP225546@sis.hust.edu.vn</v>
      </c>
      <c r="G151" s="341" t="str">
        <f>IFERROR(__xludf.DUMMYFUNCTION("REGEXEXTRACT(C151, ""\d{8}"")"),"20225546")</f>
        <v>20225546</v>
      </c>
      <c r="H151" s="341" t="s">
        <v>433</v>
      </c>
      <c r="I151" s="341">
        <v>1.0</v>
      </c>
      <c r="Q151" s="341" t="s">
        <v>4051</v>
      </c>
    </row>
    <row r="152">
      <c r="B152" s="340">
        <v>152.0</v>
      </c>
      <c r="C152" s="341" t="str">
        <f>IFERROR(__xludf.DUMMYFUNCTION("""COMPUTED_VALUE"""),"Lê Hải Nhật        20225583        Nhat.LH225583@sis.hust.edu.vn")</f>
        <v>Lê Hải Nhật        20225583        Nhat.LH225583@sis.hust.edu.vn</v>
      </c>
      <c r="G152" s="341" t="str">
        <f>IFERROR(__xludf.DUMMYFUNCTION("REGEXEXTRACT(C152, ""\d{8}"")"),"20225583")</f>
        <v>20225583</v>
      </c>
      <c r="H152" s="341" t="s">
        <v>434</v>
      </c>
      <c r="I152" s="341">
        <v>1.0</v>
      </c>
      <c r="Q152" s="341" t="s">
        <v>4051</v>
      </c>
    </row>
    <row r="153">
      <c r="B153" s="340">
        <v>153.0</v>
      </c>
      <c r="C153" s="341" t="str">
        <f>IFERROR(__xludf.DUMMYFUNCTION("""COMPUTED_VALUE"""),"Kim Duy Minh        20225578        Minh.KD225578@sis.hust.edu.vn")</f>
        <v>Kim Duy Minh        20225578        Minh.KD225578@sis.hust.edu.vn</v>
      </c>
      <c r="G153" s="341" t="str">
        <f>IFERROR(__xludf.DUMMYFUNCTION("REGEXEXTRACT(C153, ""\d{8}"")"),"20225578")</f>
        <v>20225578</v>
      </c>
      <c r="H153" s="341" t="s">
        <v>435</v>
      </c>
      <c r="I153" s="341">
        <v>1.0</v>
      </c>
      <c r="Q153" s="341" t="s">
        <v>4051</v>
      </c>
    </row>
    <row r="154">
      <c r="B154" s="340">
        <v>154.0</v>
      </c>
      <c r="C154" s="341" t="str">
        <f>IFERROR(__xludf.DUMMYFUNCTION("""COMPUTED_VALUE"""),"Nguyễn Tuấn Minh        20225579        Minh.NT225579@sis.hust.edu.vn")</f>
        <v>Nguyễn Tuấn Minh        20225579        Minh.NT225579@sis.hust.edu.vn</v>
      </c>
      <c r="G154" s="341" t="str">
        <f>IFERROR(__xludf.DUMMYFUNCTION("REGEXEXTRACT(C154, ""\d{8}"")"),"20225579")</f>
        <v>20225579</v>
      </c>
      <c r="H154" s="341" t="s">
        <v>436</v>
      </c>
      <c r="I154" s="341">
        <v>1.0</v>
      </c>
      <c r="Q154" s="341" t="s">
        <v>4051</v>
      </c>
    </row>
    <row r="155">
      <c r="B155" s="340">
        <v>155.0</v>
      </c>
      <c r="C155" s="341" t="str">
        <f>IFERROR(__xludf.DUMMYFUNCTION("""COMPUTED_VALUE"""),"Trương Thảo Nguyên        20220067        Nguyen.TT220067@sis.hust.edu.vn")</f>
        <v>Trương Thảo Nguyên        20220067        Nguyen.TT220067@sis.hust.edu.vn</v>
      </c>
      <c r="G155" s="341" t="str">
        <f>IFERROR(__xludf.DUMMYFUNCTION("REGEXEXTRACT(C155, ""\d{8}"")"),"20220067")</f>
        <v>20220067</v>
      </c>
      <c r="H155" s="341" t="s">
        <v>437</v>
      </c>
      <c r="I155" s="341">
        <v>1.0</v>
      </c>
      <c r="Q155" s="341" t="s">
        <v>4051</v>
      </c>
    </row>
    <row r="156">
      <c r="B156" s="340">
        <v>156.0</v>
      </c>
      <c r="C156" s="341" t="str">
        <f>IFERROR(__xludf.DUMMYFUNCTION("""COMPUTED_VALUE"""),"Phan Thu Hà        20225571        Ha.PT225571@sis.hust.edu.vn")</f>
        <v>Phan Thu Hà        20225571        Ha.PT225571@sis.hust.edu.vn</v>
      </c>
      <c r="G156" s="341" t="str">
        <f>IFERROR(__xludf.DUMMYFUNCTION("REGEXEXTRACT(C156, ""\d{8}"")"),"20225571")</f>
        <v>20225571</v>
      </c>
      <c r="H156" s="341" t="s">
        <v>438</v>
      </c>
      <c r="I156" s="341">
        <v>1.0</v>
      </c>
      <c r="Q156" s="341" t="s">
        <v>4051</v>
      </c>
    </row>
    <row r="157">
      <c r="B157" s="340">
        <v>157.0</v>
      </c>
      <c r="C157" s="341" t="str">
        <f>IFERROR(__xludf.DUMMYFUNCTION("""COMPUTED_VALUE"""),"Nguyễn Phương Linh        20225547        Linh.NP225547@sis.hust.edu.vn")</f>
        <v>Nguyễn Phương Linh        20225547        Linh.NP225547@sis.hust.edu.vn</v>
      </c>
      <c r="G157" s="341" t="str">
        <f>IFERROR(__xludf.DUMMYFUNCTION("REGEXEXTRACT(C157, ""\d{8}"")"),"20225547")</f>
        <v>20225547</v>
      </c>
      <c r="H157" s="341" t="s">
        <v>439</v>
      </c>
      <c r="I157" s="341">
        <v>1.0</v>
      </c>
      <c r="Q157" s="341" t="s">
        <v>4051</v>
      </c>
    </row>
    <row r="158">
      <c r="B158" s="340">
        <v>158.0</v>
      </c>
      <c r="C158" s="341" t="str">
        <f>IFERROR(__xludf.DUMMYFUNCTION("""COMPUTED_VALUE"""),"Phạm Nguyễn Hải Nhi        20225549        Nhi.PNH225549@sis.hust.edu.vn")</f>
        <v>Phạm Nguyễn Hải Nhi        20225549        Nhi.PNH225549@sis.hust.edu.vn</v>
      </c>
      <c r="G158" s="341" t="str">
        <f>IFERROR(__xludf.DUMMYFUNCTION("REGEXEXTRACT(C158, ""\d{8}"")"),"20225549")</f>
        <v>20225549</v>
      </c>
      <c r="H158" s="341" t="s">
        <v>440</v>
      </c>
      <c r="I158" s="341">
        <v>1.0</v>
      </c>
      <c r="Q158" s="341" t="s">
        <v>4051</v>
      </c>
    </row>
    <row r="159">
      <c r="B159" s="340">
        <v>159.0</v>
      </c>
      <c r="C159" s="341" t="str">
        <f>IFERROR(__xludf.DUMMYFUNCTION("""COMPUTED_VALUE"""),"Ngô Anh Quân        20225584        Quan.NA225584@sis.hust.edu.vn")</f>
        <v>Ngô Anh Quân        20225584        Quan.NA225584@sis.hust.edu.vn</v>
      </c>
      <c r="G159" s="341" t="str">
        <f>IFERROR(__xludf.DUMMYFUNCTION("REGEXEXTRACT(C159, ""\d{8}"")"),"20225584")</f>
        <v>20225584</v>
      </c>
      <c r="H159" s="341" t="s">
        <v>441</v>
      </c>
      <c r="I159" s="341">
        <v>1.0</v>
      </c>
      <c r="Q159" s="341" t="s">
        <v>4051</v>
      </c>
    </row>
    <row r="160">
      <c r="B160" s="340">
        <v>160.0</v>
      </c>
      <c r="C160" s="341" t="str">
        <f>IFERROR(__xludf.DUMMYFUNCTION("""COMPUTED_VALUE"""),"Bùi Xuân Sơn        20225586        Son.BX225586@sis.hust.edu.vn")</f>
        <v>Bùi Xuân Sơn        20225586        Son.BX225586@sis.hust.edu.vn</v>
      </c>
      <c r="G160" s="341" t="str">
        <f>IFERROR(__xludf.DUMMYFUNCTION("REGEXEXTRACT(C160, ""\d{8}"")"),"20225586")</f>
        <v>20225586</v>
      </c>
      <c r="H160" s="341" t="s">
        <v>442</v>
      </c>
      <c r="I160" s="341">
        <v>1.0</v>
      </c>
      <c r="Q160" s="341" t="s">
        <v>4051</v>
      </c>
    </row>
    <row r="161">
      <c r="B161" s="340">
        <v>161.0</v>
      </c>
      <c r="C161" s="341" t="str">
        <f>IFERROR(__xludf.DUMMYFUNCTION("""COMPUTED_VALUE"""),"Lê Anh Tuấn        20225559        Tuan.LA225559@sis.hust.edu.vn")</f>
        <v>Lê Anh Tuấn        20225559        Tuan.LA225559@sis.hust.edu.vn</v>
      </c>
      <c r="G161" s="341" t="str">
        <f>IFERROR(__xludf.DUMMYFUNCTION("REGEXEXTRACT(C161, ""\d{8}"")"),"20225559")</f>
        <v>20225559</v>
      </c>
      <c r="H161" s="341" t="s">
        <v>443</v>
      </c>
      <c r="I161" s="341">
        <v>1.0</v>
      </c>
      <c r="Q161" s="341" t="s">
        <v>4051</v>
      </c>
    </row>
    <row r="162">
      <c r="B162" s="340">
        <v>162.0</v>
      </c>
      <c r="C162" s="341" t="str">
        <f>IFERROR(__xludf.DUMMYFUNCTION("""COMPUTED_VALUE"""),"Trần Công Thành        20225554        Thanh.TC225554@sis.hust.edu.vn")</f>
        <v>Trần Công Thành        20225554        Thanh.TC225554@sis.hust.edu.vn</v>
      </c>
      <c r="G162" s="341" t="str">
        <f>IFERROR(__xludf.DUMMYFUNCTION("REGEXEXTRACT(C162, ""\d{8}"")"),"20225554")</f>
        <v>20225554</v>
      </c>
      <c r="H162" s="341" t="s">
        <v>444</v>
      </c>
      <c r="I162" s="341">
        <v>1.0</v>
      </c>
      <c r="Q162" s="341" t="s">
        <v>4051</v>
      </c>
    </row>
    <row r="163">
      <c r="B163" s="340">
        <v>163.0</v>
      </c>
      <c r="C163" s="341" t="str">
        <f>IFERROR(__xludf.DUMMYFUNCTION("""COMPUTED_VALUE"""),"Trần Quốc Trí Trung        20225558        Trung.TQT225558@sis.hust.edu.vn")</f>
        <v>Trần Quốc Trí Trung        20225558        Trung.TQT225558@sis.hust.edu.vn</v>
      </c>
      <c r="G163" s="341" t="str">
        <f>IFERROR(__xludf.DUMMYFUNCTION("REGEXEXTRACT(C163, ""\d{8}"")"),"20225558")</f>
        <v>20225558</v>
      </c>
      <c r="H163" s="341" t="s">
        <v>445</v>
      </c>
      <c r="I163" s="341">
        <v>1.0</v>
      </c>
      <c r="Q163" s="341" t="s">
        <v>4051</v>
      </c>
    </row>
    <row r="164">
      <c r="B164" s="340">
        <v>164.0</v>
      </c>
      <c r="C164" s="341" t="str">
        <f>IFERROR(__xludf.DUMMYFUNCTION("""COMPUTED_VALUE"""),"Trần Thị Tường Vân        20225590        Van.TTT225590@sis.hust.edu.vn")</f>
        <v>Trần Thị Tường Vân        20225590        Van.TTT225590@sis.hust.edu.vn</v>
      </c>
      <c r="G164" s="341" t="str">
        <f>IFERROR(__xludf.DUMMYFUNCTION("REGEXEXTRACT(C164, ""\d{8}"")"),"20225590")</f>
        <v>20225590</v>
      </c>
      <c r="H164" s="341" t="s">
        <v>446</v>
      </c>
      <c r="I164" s="341">
        <v>1.0</v>
      </c>
      <c r="Q164" s="341" t="s">
        <v>4051</v>
      </c>
    </row>
    <row r="165">
      <c r="B165" s="340">
        <v>165.0</v>
      </c>
      <c r="C165" s="341" t="str">
        <f>IFERROR(__xludf.DUMMYFUNCTION("""COMPUTED_VALUE"""),"Nguyễn Quang Trung        20225557        Trung.NQ225557@sis.hust.edu.vn")</f>
        <v>Nguyễn Quang Trung        20225557        Trung.NQ225557@sis.hust.edu.vn</v>
      </c>
      <c r="G165" s="341" t="str">
        <f>IFERROR(__xludf.DUMMYFUNCTION("REGEXEXTRACT(C165, ""\d{8}"")"),"20225557")</f>
        <v>20225557</v>
      </c>
      <c r="H165" s="341" t="s">
        <v>447</v>
      </c>
      <c r="I165" s="341">
        <v>1.0</v>
      </c>
      <c r="Q165" s="341" t="s">
        <v>4051</v>
      </c>
    </row>
    <row r="166">
      <c r="B166" s="340">
        <v>166.0</v>
      </c>
      <c r="C166" s="341" t="str">
        <f>IFERROR(__xludf.DUMMYFUNCTION("""COMPUTED_VALUE"""),"Lê Trần Long        20225577        Long.LT225577@sis.hust.edu.vn")</f>
        <v>Lê Trần Long        20225577        Long.LT225577@sis.hust.edu.vn</v>
      </c>
      <c r="G166" s="341" t="str">
        <f>IFERROR(__xludf.DUMMYFUNCTION("REGEXEXTRACT(C166, ""\d{8}"")"),"20225577")</f>
        <v>20225577</v>
      </c>
      <c r="H166" s="341" t="s">
        <v>448</v>
      </c>
      <c r="I166" s="341">
        <v>1.0</v>
      </c>
      <c r="Q166" s="341" t="s">
        <v>4051</v>
      </c>
    </row>
    <row r="167">
      <c r="B167" s="340">
        <v>167.0</v>
      </c>
      <c r="C167" s="341" t="str">
        <f>IFERROR(__xludf.DUMMYFUNCTION("""COMPUTED_VALUE"""),"Dương Mạnh Kiên        20225576        Kien.DM225576@sis.hust.edu.vn")</f>
        <v>Dương Mạnh Kiên        20225576        Kien.DM225576@sis.hust.edu.vn</v>
      </c>
      <c r="G167" s="341" t="str">
        <f>IFERROR(__xludf.DUMMYFUNCTION("REGEXEXTRACT(C167, ""\d{8}"")"),"20225576")</f>
        <v>20225576</v>
      </c>
      <c r="H167" s="341" t="s">
        <v>449</v>
      </c>
      <c r="I167" s="341">
        <v>1.0</v>
      </c>
      <c r="Q167" s="341" t="s">
        <v>4051</v>
      </c>
    </row>
    <row r="168">
      <c r="B168" s="340">
        <v>168.0</v>
      </c>
      <c r="C168" s="341" t="str">
        <f>IFERROR(__xludf.DUMMYFUNCTION("""COMPUTED_VALUE"""),"Mai Thanh Hương- 20225852 -maithanhhuong2207@gmail.com")</f>
        <v>Mai Thanh Hương- 20225852 -maithanhhuong2207@gmail.com</v>
      </c>
      <c r="G168" s="341" t="str">
        <f>IFERROR(__xludf.DUMMYFUNCTION("REGEXEXTRACT(C168, ""\d{8}"")"),"20225852")</f>
        <v>20225852</v>
      </c>
      <c r="H168" s="341" t="s">
        <v>198</v>
      </c>
      <c r="I168" s="341">
        <v>1.0</v>
      </c>
      <c r="Q168" s="341" t="s">
        <v>4051</v>
      </c>
    </row>
    <row r="169">
      <c r="B169" s="340">
        <v>169.0</v>
      </c>
      <c r="C169" s="341" t="str">
        <f>IFERROR(__xludf.DUMMYFUNCTION("""COMPUTED_VALUE"""),"Trịnh Hữu An - 20225593 - trinhhuuan372@gmail.com")</f>
        <v>Trịnh Hữu An - 20225593 - trinhhuuan372@gmail.com</v>
      </c>
      <c r="G169" s="341" t="str">
        <f>IFERROR(__xludf.DUMMYFUNCTION("REGEXEXTRACT(C169, ""\d{8}"")"),"20225593")</f>
        <v>20225593</v>
      </c>
      <c r="H169" s="341" t="s">
        <v>199</v>
      </c>
      <c r="I169" s="341">
        <v>1.0</v>
      </c>
      <c r="Q169" s="341" t="s">
        <v>4051</v>
      </c>
    </row>
    <row r="170">
      <c r="B170" s="340">
        <v>170.0</v>
      </c>
      <c r="C170" s="341" t="str">
        <f>IFERROR(__xludf.DUMMYFUNCTION("""COMPUTED_VALUE"""),"Trương Ngọc Mai - 20225879 - truongngocmai3@gmail.com")</f>
        <v>Trương Ngọc Mai - 20225879 - truongngocmai3@gmail.com</v>
      </c>
      <c r="G170" s="341" t="str">
        <f>IFERROR(__xludf.DUMMYFUNCTION("REGEXEXTRACT(C170, ""\d{8}"")"),"20225879")</f>
        <v>20225879</v>
      </c>
      <c r="H170" s="341" t="s">
        <v>200</v>
      </c>
      <c r="I170" s="341">
        <v>1.0</v>
      </c>
      <c r="Q170" s="341" t="s">
        <v>4051</v>
      </c>
    </row>
    <row r="171">
      <c r="B171" s="340">
        <v>171.0</v>
      </c>
      <c r="C171" s="341" t="str">
        <f>IFERROR(__xludf.DUMMYFUNCTION("""COMPUTED_VALUE"""),"Bùi Ý Nhi - 20225657 - nhiybui070204@gmail.com")</f>
        <v>Bùi Ý Nhi - 20225657 - nhiybui070204@gmail.com</v>
      </c>
      <c r="G171" s="341" t="str">
        <f>IFERROR(__xludf.DUMMYFUNCTION("REGEXEXTRACT(C171, ""\d{8}"")"),"20225657")</f>
        <v>20225657</v>
      </c>
      <c r="H171" s="341" t="s">
        <v>201</v>
      </c>
      <c r="I171" s="341">
        <v>1.0</v>
      </c>
      <c r="Q171" s="341" t="s">
        <v>4051</v>
      </c>
    </row>
    <row r="172">
      <c r="B172" s="340">
        <v>172.0</v>
      </c>
      <c r="C172" s="341" t="str">
        <f>IFERROR(__xludf.DUMMYFUNCTION("""COMPUTED_VALUE"""),"Trương Anh Đức - 20225814 - Duc.TA225814@sis.hust.edu.vn")</f>
        <v>Trương Anh Đức - 20225814 - Duc.TA225814@sis.hust.edu.vn</v>
      </c>
      <c r="G172" s="341" t="str">
        <f>IFERROR(__xludf.DUMMYFUNCTION("REGEXEXTRACT(C172, ""\d{8}"")"),"20225814")</f>
        <v>20225814</v>
      </c>
      <c r="H172" s="341" t="s">
        <v>208</v>
      </c>
      <c r="I172" s="341">
        <v>1.0</v>
      </c>
      <c r="Q172" s="341" t="s">
        <v>4051</v>
      </c>
    </row>
    <row r="173">
      <c r="B173" s="340">
        <v>173.0</v>
      </c>
      <c r="C173" s="341" t="str">
        <f>IFERROR(__xludf.DUMMYFUNCTION("""COMPUTED_VALUE"""),"Phạm Văn Đồng - 20225702 - Dong.PV225702@sis.hust.edu.vn")</f>
        <v>Phạm Văn Đồng - 20225702 - Dong.PV225702@sis.hust.edu.vn</v>
      </c>
      <c r="G173" s="341" t="str">
        <f>IFERROR(__xludf.DUMMYFUNCTION("REGEXEXTRACT(C173, ""\d{8}"")"),"20225702")</f>
        <v>20225702</v>
      </c>
      <c r="H173" s="341" t="s">
        <v>209</v>
      </c>
      <c r="I173" s="341">
        <v>1.0</v>
      </c>
      <c r="Q173" s="341" t="s">
        <v>4051</v>
      </c>
    </row>
    <row r="174">
      <c r="B174" s="340">
        <v>174.0</v>
      </c>
      <c r="C174" s="341" t="str">
        <f>IFERROR(__xludf.DUMMYFUNCTION("""COMPUTED_VALUE"""),"Lê bá Ngọc Hiểu - 20225627 - Hieu.LBN225627@sis.hust.edu.vn")</f>
        <v>Lê bá Ngọc Hiểu - 20225627 - Hieu.LBN225627@sis.hust.edu.vn</v>
      </c>
      <c r="G174" s="341" t="str">
        <f>IFERROR(__xludf.DUMMYFUNCTION("REGEXEXTRACT(C174, ""\d{8}"")"),"20225627")</f>
        <v>20225627</v>
      </c>
      <c r="H174" s="341" t="s">
        <v>210</v>
      </c>
      <c r="I174" s="341">
        <v>1.0</v>
      </c>
      <c r="Q174" s="341" t="s">
        <v>4051</v>
      </c>
    </row>
    <row r="175">
      <c r="B175" s="340">
        <v>175.0</v>
      </c>
      <c r="C175" s="341" t="str">
        <f>IFERROR(__xludf.DUMMYFUNCTION("""COMPUTED_VALUE"""),"Phan Đức Duy - 20225831 - Duy.PD225831@sis.hust.edu.vn")</f>
        <v>Phan Đức Duy - 20225831 - Duy.PD225831@sis.hust.edu.vn</v>
      </c>
      <c r="G175" s="341" t="str">
        <f>IFERROR(__xludf.DUMMYFUNCTION("REGEXEXTRACT(C175, ""\d{8}"")"),"20225831")</f>
        <v>20225831</v>
      </c>
      <c r="H175" s="341" t="s">
        <v>211</v>
      </c>
      <c r="I175" s="341">
        <v>1.0</v>
      </c>
      <c r="Q175" s="341" t="s">
        <v>4051</v>
      </c>
    </row>
    <row r="176">
      <c r="B176" s="340">
        <v>176.0</v>
      </c>
      <c r="C176" s="341" t="str">
        <f>IFERROR(__xludf.DUMMYFUNCTION("""COMPUTED_VALUE"""),"Lê Quang Khải - 20225638 - Khai.LQ225638@sis.hust.edu.vn")</f>
        <v>Lê Quang Khải - 20225638 - Khai.LQ225638@sis.hust.edu.vn</v>
      </c>
      <c r="G176" s="341" t="str">
        <f>IFERROR(__xludf.DUMMYFUNCTION("REGEXEXTRACT(C176, ""\d{8}"")"),"20225638")</f>
        <v>20225638</v>
      </c>
      <c r="H176" s="341" t="s">
        <v>212</v>
      </c>
      <c r="I176" s="341">
        <v>1.0</v>
      </c>
      <c r="Q176" s="341" t="s">
        <v>4051</v>
      </c>
    </row>
    <row r="177">
      <c r="B177" s="340">
        <v>177.0</v>
      </c>
      <c r="C177" s="341" t="str">
        <f>IFERROR(__xludf.DUMMYFUNCTION("""COMPUTED_VALUE"""),"Phạm Quốc Minh - 20225743 - Minh.PQ225743@sis.hust.edu.vn")</f>
        <v>Phạm Quốc Minh - 20225743 - Minh.PQ225743@sis.hust.edu.vn</v>
      </c>
      <c r="G177" s="341" t="str">
        <f>IFERROR(__xludf.DUMMYFUNCTION("REGEXEXTRACT(C177, ""\d{8}"")"),"20225743")</f>
        <v>20225743</v>
      </c>
      <c r="H177" s="341" t="s">
        <v>213</v>
      </c>
      <c r="I177" s="341">
        <v>1.0</v>
      </c>
      <c r="Q177" s="341" t="s">
        <v>4051</v>
      </c>
    </row>
    <row r="178">
      <c r="B178" s="340">
        <v>178.0</v>
      </c>
      <c r="C178" s="341" t="str">
        <f>IFERROR(__xludf.DUMMYFUNCTION("""COMPUTED_VALUE"""),"Đặng Quang Huy - 20225853 - Huy.DQ225853@sis.hust.edu.vn")</f>
        <v>Đặng Quang Huy - 20225853 - Huy.DQ225853@sis.hust.edu.vn</v>
      </c>
      <c r="G178" s="341" t="str">
        <f>IFERROR(__xludf.DUMMYFUNCTION("REGEXEXTRACT(C178, ""\d{8}"")"),"20225853")</f>
        <v>20225853</v>
      </c>
      <c r="H178" s="341" t="s">
        <v>214</v>
      </c>
      <c r="I178" s="341">
        <v>1.0</v>
      </c>
      <c r="Q178" s="341" t="s">
        <v>4051</v>
      </c>
    </row>
    <row r="179">
      <c r="B179" s="340">
        <v>179.0</v>
      </c>
      <c r="C179" s="341" t="str">
        <f>IFERROR(__xludf.DUMMYFUNCTION("""COMPUTED_VALUE"""),"Phạm Đức Long - 20225737 - Long.PD225737@sis.hust.edu.vn")</f>
        <v>Phạm Đức Long - 20225737 - Long.PD225737@sis.hust.edu.vn</v>
      </c>
      <c r="G179" s="341" t="str">
        <f>IFERROR(__xludf.DUMMYFUNCTION("REGEXEXTRACT(C179, ""\d{8}"")"),"20225737")</f>
        <v>20225737</v>
      </c>
      <c r="H179" s="341" t="s">
        <v>215</v>
      </c>
      <c r="I179" s="341">
        <v>1.0</v>
      </c>
      <c r="Q179" s="341" t="s">
        <v>4051</v>
      </c>
    </row>
    <row r="180">
      <c r="B180" s="340">
        <v>180.0</v>
      </c>
      <c r="C180" s="341" t="str">
        <f>IFERROR(__xludf.DUMMYFUNCTION("""COMPUTED_VALUE"""),"Phạm Tùng Dương - 20225825 - Duong.PT225825@sis.hust.edu.vn")</f>
        <v>Phạm Tùng Dương - 20225825 - Duong.PT225825@sis.hust.edu.vn</v>
      </c>
      <c r="G180" s="341" t="str">
        <f>IFERROR(__xludf.DUMMYFUNCTION("REGEXEXTRACT(C180, ""\d{8}"")"),"20225825")</f>
        <v>20225825</v>
      </c>
      <c r="H180" s="341" t="s">
        <v>2687</v>
      </c>
      <c r="I180" s="341">
        <v>0.0</v>
      </c>
      <c r="J180" s="114" t="s">
        <v>4048</v>
      </c>
      <c r="Q180" s="341" t="s">
        <v>4051</v>
      </c>
    </row>
    <row r="181">
      <c r="B181" s="340">
        <v>181.0</v>
      </c>
      <c r="C181" s="341" t="str">
        <f>IFERROR(__xludf.DUMMYFUNCTION("""COMPUTED_VALUE"""),"Nguyễn Bá Hoàng - 20225844 - Hoang.NB225844@sis.hust.edu.vn")</f>
        <v>Nguyễn Bá Hoàng - 20225844 - Hoang.NB225844@sis.hust.edu.vn</v>
      </c>
      <c r="G181" s="341" t="str">
        <f>IFERROR(__xludf.DUMMYFUNCTION("REGEXEXTRACT(C181, ""\d{8}"")"),"20225844")</f>
        <v>20225844</v>
      </c>
      <c r="H181" s="341" t="s">
        <v>216</v>
      </c>
      <c r="I181" s="341">
        <v>1.0</v>
      </c>
      <c r="Q181" s="341" t="s">
        <v>4051</v>
      </c>
    </row>
    <row r="182">
      <c r="B182" s="340">
        <v>182.0</v>
      </c>
      <c r="C182" s="341" t="str">
        <f>IFERROR(__xludf.DUMMYFUNCTION("""COMPUTED_VALUE"""),"Nhữ Ngọc Minh – 20225046 - nhungocminh2004@gmail.com ; ")</f>
        <v>Nhữ Ngọc Minh – 20225046 - nhungocminh2004@gmail.com ; </v>
      </c>
      <c r="G182" s="341" t="str">
        <f>IFERROR(__xludf.DUMMYFUNCTION("REGEXEXTRACT(C182, ""\d{8}"")"),"20225046")</f>
        <v>20225046</v>
      </c>
      <c r="H182" s="341" t="s">
        <v>218</v>
      </c>
      <c r="I182" s="341">
        <v>1.0</v>
      </c>
      <c r="Q182" s="341" t="s">
        <v>4051</v>
      </c>
    </row>
    <row r="183">
      <c r="B183" s="340">
        <v>183.0</v>
      </c>
      <c r="C183" s="341" t="str">
        <f>IFERROR(__xludf.DUMMYFUNCTION("""COMPUTED_VALUE"""),"Nguyễn Công Phương - 20225069 - congphuongmd2004@gmail.com; ")</f>
        <v>Nguyễn Công Phương - 20225069 - congphuongmd2004@gmail.com; </v>
      </c>
      <c r="G183" s="341" t="str">
        <f>IFERROR(__xludf.DUMMYFUNCTION("REGEXEXTRACT(C183, ""\d{8}"")"),"20225069")</f>
        <v>20225069</v>
      </c>
      <c r="H183" s="341" t="s">
        <v>219</v>
      </c>
      <c r="I183" s="341">
        <v>1.0</v>
      </c>
      <c r="Q183" s="341" t="s">
        <v>4051</v>
      </c>
    </row>
    <row r="184">
      <c r="B184" s="340">
        <v>184.0</v>
      </c>
      <c r="C184" s="341" t="str">
        <f>IFERROR(__xludf.DUMMYFUNCTION("""COMPUTED_VALUE"""),"Nguyễn Thế Anh-20224920-anhnguyenthe2911@gmail.com; ")</f>
        <v>Nguyễn Thế Anh-20224920-anhnguyenthe2911@gmail.com; </v>
      </c>
      <c r="G184" s="341" t="str">
        <f>IFERROR(__xludf.DUMMYFUNCTION("REGEXEXTRACT(C184, ""\d{8}"")"),"20224920")</f>
        <v>20224920</v>
      </c>
      <c r="H184" s="341" t="s">
        <v>220</v>
      </c>
      <c r="I184" s="341">
        <v>1.0</v>
      </c>
      <c r="Q184" s="341" t="s">
        <v>4051</v>
      </c>
    </row>
    <row r="185">
      <c r="B185" s="340">
        <v>185.0</v>
      </c>
      <c r="C185" s="341" t="str">
        <f>IFERROR(__xludf.DUMMYFUNCTION("""COMPUTED_VALUE"""),"Nguyễn Thế Anh-20224921-anhnta2004@gmail.com;")</f>
        <v>Nguyễn Thế Anh-20224921-anhnta2004@gmail.com;</v>
      </c>
      <c r="G185" s="341" t="str">
        <f>IFERROR(__xludf.DUMMYFUNCTION("REGEXEXTRACT(C185, ""\d{8}"")"),"20224921")</f>
        <v>20224921</v>
      </c>
      <c r="H185" s="341" t="s">
        <v>221</v>
      </c>
      <c r="I185" s="341">
        <v>1.0</v>
      </c>
      <c r="Q185" s="341" t="s">
        <v>4051</v>
      </c>
    </row>
    <row r="186">
      <c r="B186" s="340">
        <v>186.0</v>
      </c>
      <c r="C186" s="341" t="str">
        <f>IFERROR(__xludf.DUMMYFUNCTION("""COMPUTED_VALUE"""),"Phạm Văn Thanh - 20220042 - phamvanthanh.csp@gmail.com; ")</f>
        <v>Phạm Văn Thanh - 20220042 - phamvanthanh.csp@gmail.com; </v>
      </c>
      <c r="G186" s="341" t="str">
        <f>IFERROR(__xludf.DUMMYFUNCTION("REGEXEXTRACT(C186, ""\d{8}"")"),"20220042")</f>
        <v>20220042</v>
      </c>
      <c r="H186" s="341" t="s">
        <v>222</v>
      </c>
      <c r="I186" s="341">
        <v>1.0</v>
      </c>
      <c r="Q186" s="341" t="s">
        <v>4051</v>
      </c>
    </row>
    <row r="187">
      <c r="B187" s="340">
        <v>187.0</v>
      </c>
      <c r="C187" s="341" t="str">
        <f>IFERROR(__xludf.DUMMYFUNCTION("""COMPUTED_VALUE"""),"Mai Đức Thịnh - 20220043 - maithinh.lhpnd@gmail.com; ")</f>
        <v>Mai Đức Thịnh - 20220043 - maithinh.lhpnd@gmail.com; </v>
      </c>
      <c r="G187" s="341" t="str">
        <f>IFERROR(__xludf.DUMMYFUNCTION("REGEXEXTRACT(C187, ""\d{8}"")"),"20220043")</f>
        <v>20220043</v>
      </c>
      <c r="H187" s="341" t="s">
        <v>223</v>
      </c>
      <c r="I187" s="341">
        <v>1.0</v>
      </c>
      <c r="Q187" s="341" t="s">
        <v>4051</v>
      </c>
    </row>
    <row r="188">
      <c r="B188" s="340">
        <v>188.0</v>
      </c>
      <c r="C188" s="341" t="str">
        <f>IFERROR(__xludf.DUMMYFUNCTION("""COMPUTED_VALUE"""),"Lê Bá Minh Phúc - 20225065 - phucle435@gmail.com; ")</f>
        <v>Lê Bá Minh Phúc - 20225065 - phucle435@gmail.com; </v>
      </c>
      <c r="G188" s="341" t="str">
        <f>IFERROR(__xludf.DUMMYFUNCTION("REGEXEXTRACT(C188, ""\d{8}"")"),"20225065")</f>
        <v>20225065</v>
      </c>
      <c r="H188" s="341" t="s">
        <v>224</v>
      </c>
      <c r="I188" s="341">
        <v>1.0</v>
      </c>
      <c r="Q188" s="341" t="s">
        <v>4051</v>
      </c>
    </row>
    <row r="189">
      <c r="B189" s="340">
        <v>189.0</v>
      </c>
      <c r="C189" s="341" t="str">
        <f>IFERROR(__xludf.DUMMYFUNCTION("""COMPUTED_VALUE"""),"Nguyễn Xuân Bình- 20224930- xuanbinhhd280204@gmail.com; ")</f>
        <v>Nguyễn Xuân Bình- 20224930- xuanbinhhd280204@gmail.com; </v>
      </c>
      <c r="G189" s="341" t="str">
        <f>IFERROR(__xludf.DUMMYFUNCTION("REGEXEXTRACT(C189, ""\d{8}"")"),"20224930")</f>
        <v>20224930</v>
      </c>
      <c r="H189" s="341" t="s">
        <v>225</v>
      </c>
      <c r="I189" s="341">
        <v>1.0</v>
      </c>
      <c r="Q189" s="341" t="s">
        <v>4051</v>
      </c>
    </row>
    <row r="190">
      <c r="B190" s="340">
        <v>190.0</v>
      </c>
      <c r="C190" s="341" t="str">
        <f>IFERROR(__xludf.DUMMYFUNCTION("""COMPUTED_VALUE"""),"Nguyễn Nam – 20220037 - nam7a3004@gmail.com; ")</f>
        <v>Nguyễn Nam – 20220037 - nam7a3004@gmail.com; </v>
      </c>
      <c r="G190" s="341" t="str">
        <f>IFERROR(__xludf.DUMMYFUNCTION("REGEXEXTRACT(C190, ""\d{8}"")"),"20220037")</f>
        <v>20220037</v>
      </c>
      <c r="H190" s="341" t="s">
        <v>226</v>
      </c>
      <c r="I190" s="341">
        <v>1.0</v>
      </c>
      <c r="Q190" s="341" t="s">
        <v>4051</v>
      </c>
    </row>
    <row r="191">
      <c r="B191" s="340">
        <v>191.0</v>
      </c>
      <c r="C191" s="341" t="str">
        <f>IFERROR(__xludf.DUMMYFUNCTION("""COMPUTED_VALUE"""),"Trần Lê Dũng – 20224964 - tranledung2907@gmail.com")</f>
        <v>Trần Lê Dũng – 20224964 - tranledung2907@gmail.com</v>
      </c>
      <c r="G191" s="341" t="str">
        <f>IFERROR(__xludf.DUMMYFUNCTION("REGEXEXTRACT(C191, ""\d{8}"")"),"20224964")</f>
        <v>20224964</v>
      </c>
      <c r="H191" s="341" t="s">
        <v>227</v>
      </c>
      <c r="I191" s="341">
        <v>1.0</v>
      </c>
      <c r="Q191" s="341" t="s">
        <v>4051</v>
      </c>
    </row>
    <row r="192">
      <c r="B192" s="340">
        <v>192.0</v>
      </c>
      <c r="C192" s="341" t="str">
        <f>IFERROR(__xludf.DUMMYFUNCTION("""COMPUTED_VALUE"""),"Nguyễn Ngọc Phúc - 20220041 - nnphuchust@gmail.com")</f>
        <v>Nguyễn Ngọc Phúc - 20220041 - nnphuchust@gmail.com</v>
      </c>
      <c r="G192" s="341" t="str">
        <f>IFERROR(__xludf.DUMMYFUNCTION("REGEXEXTRACT(C192, ""\d{8}"")"),"20220041")</f>
        <v>20220041</v>
      </c>
      <c r="H192" s="341" t="s">
        <v>450</v>
      </c>
      <c r="I192" s="341">
        <v>1.0</v>
      </c>
      <c r="Q192" s="341" t="s">
        <v>4051</v>
      </c>
    </row>
    <row r="193">
      <c r="B193" s="340">
        <v>193.0</v>
      </c>
      <c r="C193" s="341" t="str">
        <f>IFERROR(__xludf.DUMMYFUNCTION("""COMPUTED_VALUE"""),"Lưu Đức Tài - 20225081 -tailuuduc2004@gmail.com")</f>
        <v>Lưu Đức Tài - 20225081 -tailuuduc2004@gmail.com</v>
      </c>
      <c r="G193" s="341" t="str">
        <f>IFERROR(__xludf.DUMMYFUNCTION("REGEXEXTRACT(C193, ""\d{8}"")"),"20225081")</f>
        <v>20225081</v>
      </c>
      <c r="H193" s="341" t="s">
        <v>451</v>
      </c>
      <c r="I193" s="341">
        <v>1.0</v>
      </c>
      <c r="Q193" s="341" t="s">
        <v>4051</v>
      </c>
    </row>
    <row r="194">
      <c r="B194" s="340">
        <v>194.0</v>
      </c>
      <c r="C194" s="341" t="str">
        <f>IFERROR(__xludf.DUMMYFUNCTION("""COMPUTED_VALUE"""),"Lưu Tuấn Hùng - 20225131 - hung.lt225131@sis.hust.edu.vn")</f>
        <v>Lưu Tuấn Hùng - 20225131 - hung.lt225131@sis.hust.edu.vn</v>
      </c>
      <c r="G194" s="341" t="str">
        <f>IFERROR(__xludf.DUMMYFUNCTION("REGEXEXTRACT(C194, ""\d{8}"")"),"20225131")</f>
        <v>20225131</v>
      </c>
      <c r="H194" s="341" t="s">
        <v>452</v>
      </c>
      <c r="I194" s="341">
        <v>1.0</v>
      </c>
      <c r="Q194" s="341" t="s">
        <v>4051</v>
      </c>
    </row>
    <row r="195">
      <c r="B195" s="340">
        <v>195.0</v>
      </c>
      <c r="C195" s="341" t="str">
        <f>IFERROR(__xludf.DUMMYFUNCTION("""COMPUTED_VALUE"""),"Nguyễn Thành Lâm - 20225139 - lam.nt225139@sis.hust.edu.vn")</f>
        <v>Nguyễn Thành Lâm - 20225139 - lam.nt225139@sis.hust.edu.vn</v>
      </c>
      <c r="G195" s="341" t="str">
        <f>IFERROR(__xludf.DUMMYFUNCTION("REGEXEXTRACT(C195, ""\d{8}"")"),"20225139")</f>
        <v>20225139</v>
      </c>
      <c r="H195" s="341" t="s">
        <v>453</v>
      </c>
      <c r="I195" s="341">
        <v>1.0</v>
      </c>
      <c r="Q195" s="341" t="s">
        <v>4051</v>
      </c>
    </row>
    <row r="196">
      <c r="B196" s="340">
        <v>196.0</v>
      </c>
      <c r="C196" s="341" t="str">
        <f>IFERROR(__xludf.DUMMYFUNCTION("""COMPUTED_VALUE"""),"Vũ Tiến Nam - 20225055 - nam.vt225055@sis.hust.edu.vn")</f>
        <v>Vũ Tiến Nam - 20225055 - nam.vt225055@sis.hust.edu.vn</v>
      </c>
      <c r="G196" s="341" t="str">
        <f>IFERROR(__xludf.DUMMYFUNCTION("REGEXEXTRACT(C196, ""\d{8}"")"),"20225055")</f>
        <v>20225055</v>
      </c>
      <c r="H196" s="341" t="s">
        <v>454</v>
      </c>
      <c r="I196" s="341">
        <v>1.0</v>
      </c>
      <c r="Q196" s="341" t="s">
        <v>4051</v>
      </c>
    </row>
    <row r="197">
      <c r="B197" s="340">
        <v>197.0</v>
      </c>
      <c r="C197" s="341" t="str">
        <f>IFERROR(__xludf.DUMMYFUNCTION("""COMPUTED_VALUE"""),"Trần Quang Huy - 20225201 - huy.tq225201@sis.hust.edu.vn")</f>
        <v>Trần Quang Huy - 20225201 - huy.tq225201@sis.hust.edu.vn</v>
      </c>
      <c r="G197" s="341" t="str">
        <f>IFERROR(__xludf.DUMMYFUNCTION("REGEXEXTRACT(C197, ""\d{8}"")"),"20225201")</f>
        <v>20225201</v>
      </c>
      <c r="H197" s="341" t="s">
        <v>455</v>
      </c>
      <c r="I197" s="341">
        <v>1.0</v>
      </c>
      <c r="Q197" s="341" t="s">
        <v>4051</v>
      </c>
    </row>
    <row r="198">
      <c r="B198" s="340">
        <v>198.0</v>
      </c>
      <c r="C198" s="341" t="str">
        <f>IFERROR(__xludf.DUMMYFUNCTION("""COMPUTED_VALUE"""),"Lê Đại Lâm        20225982        ledailam19112004@gmail.com")</f>
        <v>Lê Đại Lâm        20225982        ledailam19112004@gmail.com</v>
      </c>
      <c r="G198" s="341" t="str">
        <f>IFERROR(__xludf.DUMMYFUNCTION("REGEXEXTRACT(C198, ""\d{8}"")"),"20225982")</f>
        <v>20225982</v>
      </c>
      <c r="H198" s="341" t="s">
        <v>456</v>
      </c>
      <c r="I198" s="341">
        <v>1.0</v>
      </c>
      <c r="Q198" s="341" t="s">
        <v>4051</v>
      </c>
    </row>
    <row r="199">
      <c r="B199" s="340">
        <v>199.0</v>
      </c>
      <c r="C199" s="341" t="str">
        <f>IFERROR(__xludf.DUMMYFUNCTION("""COMPUTED_VALUE"""),"Hoàng Khải Mạnh        20225984        hoanmanh04@gmail.com")</f>
        <v>Hoàng Khải Mạnh        20225984        hoanmanh04@gmail.com</v>
      </c>
      <c r="G199" s="341" t="str">
        <f>IFERROR(__xludf.DUMMYFUNCTION("REGEXEXTRACT(C199, ""\d{8}"")"),"20225984")</f>
        <v>20225984</v>
      </c>
      <c r="H199" s="341" t="s">
        <v>457</v>
      </c>
      <c r="I199" s="341">
        <v>1.0</v>
      </c>
      <c r="Q199" s="341" t="s">
        <v>4051</v>
      </c>
    </row>
    <row r="200">
      <c r="B200" s="340">
        <v>200.0</v>
      </c>
      <c r="C200" s="341" t="str">
        <f>IFERROR(__xludf.DUMMYFUNCTION("""COMPUTED_VALUE"""),"Nguyễn Minh Khôi        20226050        nmkhoi20112004@gmail.com")</f>
        <v>Nguyễn Minh Khôi        20226050        nmkhoi20112004@gmail.com</v>
      </c>
      <c r="G200" s="341" t="str">
        <f>IFERROR(__xludf.DUMMYFUNCTION("REGEXEXTRACT(C200, ""\d{8}"")"),"20226050")</f>
        <v>20226050</v>
      </c>
      <c r="H200" s="341" t="s">
        <v>458</v>
      </c>
      <c r="I200" s="341">
        <v>1.0</v>
      </c>
      <c r="Q200" s="341" t="s">
        <v>4051</v>
      </c>
    </row>
    <row r="201">
      <c r="B201" s="340">
        <v>201.0</v>
      </c>
      <c r="C201" s="341" t="str">
        <f>IFERROR(__xludf.DUMMYFUNCTION("""COMPUTED_VALUE"""),"Vũ Hải Đăng        20225962        dangvu.cspk53@gmail.com")</f>
        <v>Vũ Hải Đăng        20225962        dangvu.cspk53@gmail.com</v>
      </c>
      <c r="G201" s="341" t="str">
        <f>IFERROR(__xludf.DUMMYFUNCTION("REGEXEXTRACT(C201, ""\d{8}"")"),"20225962")</f>
        <v>20225962</v>
      </c>
      <c r="H201" s="341" t="s">
        <v>459</v>
      </c>
      <c r="I201" s="341">
        <v>1.0</v>
      </c>
      <c r="Q201" s="341" t="s">
        <v>4051</v>
      </c>
    </row>
    <row r="202">
      <c r="B202" s="340">
        <v>202.0</v>
      </c>
      <c r="C202" s="341" t="str">
        <f>IFERROR(__xludf.DUMMYFUNCTION("""COMPUTED_VALUE"""),"Đinh Nguyễn Sơn        20225997        sondinh250104@gmail.com")</f>
        <v>Đinh Nguyễn Sơn        20225997        sondinh250104@gmail.com</v>
      </c>
      <c r="G202" s="341" t="str">
        <f>IFERROR(__xludf.DUMMYFUNCTION("REGEXEXTRACT(C202, ""\d{8}"")"),"20225997")</f>
        <v>20225997</v>
      </c>
      <c r="H202" s="341" t="s">
        <v>460</v>
      </c>
      <c r="I202" s="341">
        <v>1.0</v>
      </c>
      <c r="Q202" s="341" t="s">
        <v>4051</v>
      </c>
    </row>
    <row r="203">
      <c r="B203" s="340">
        <v>203.0</v>
      </c>
      <c r="C203" s="341" t="str">
        <f>IFERROR(__xludf.DUMMYFUNCTION("""COMPUTED_VALUE"""),"Vũ Đức Mạnh        20226054        vuducmanhhome@gmail.com")</f>
        <v>Vũ Đức Mạnh        20226054        vuducmanhhome@gmail.com</v>
      </c>
      <c r="G203" s="341" t="str">
        <f>IFERROR(__xludf.DUMMYFUNCTION("REGEXEXTRACT(C203, ""\d{8}"")"),"20226054")</f>
        <v>20226054</v>
      </c>
      <c r="H203" s="341" t="s">
        <v>461</v>
      </c>
      <c r="I203" s="341">
        <v>1.0</v>
      </c>
      <c r="Q203" s="341" t="s">
        <v>4051</v>
      </c>
    </row>
    <row r="204">
      <c r="B204" s="340">
        <v>204.0</v>
      </c>
      <c r="C204" s="341" t="str">
        <f>IFERROR(__xludf.DUMMYFUNCTION("""COMPUTED_VALUE"""),"Luân Quang Minh        20225985        luanminhtoan@gmail.com")</f>
        <v>Luân Quang Minh        20225985        luanminhtoan@gmail.com</v>
      </c>
      <c r="G204" s="341" t="str">
        <f>IFERROR(__xludf.DUMMYFUNCTION("REGEXEXTRACT(C204, ""\d{8}"")"),"20225985")</f>
        <v>20225985</v>
      </c>
      <c r="H204" s="341" t="s">
        <v>462</v>
      </c>
      <c r="I204" s="341">
        <v>1.0</v>
      </c>
      <c r="Q204" s="341" t="s">
        <v>4051</v>
      </c>
    </row>
    <row r="205">
      <c r="B205" s="340">
        <v>205.0</v>
      </c>
      <c r="C205" s="341" t="str">
        <f>IFERROR(__xludf.DUMMYFUNCTION("""COMPUTED_VALUE"""),"Phạm Nguyên Việt -20225776- Viet.PN225776@sis.hust.edu.vn")</f>
        <v>Phạm Nguyên Việt -20225776- Viet.PN225776@sis.hust.edu.vn</v>
      </c>
      <c r="G205" s="341" t="str">
        <f>IFERROR(__xludf.DUMMYFUNCTION("REGEXEXTRACT(C205, ""\d{8}"")"),"20225776")</f>
        <v>20225776</v>
      </c>
      <c r="H205" s="341" t="s">
        <v>401</v>
      </c>
      <c r="I205" s="341">
        <v>1.0</v>
      </c>
      <c r="Q205" s="341" t="s">
        <v>4051</v>
      </c>
    </row>
    <row r="206">
      <c r="B206" s="340">
        <v>206.0</v>
      </c>
      <c r="C206" s="341" t="str">
        <f>IFERROR(__xludf.DUMMYFUNCTION("""COMPUTED_VALUE"""),"Lục Minh Đức - 20225810 - Duc.LM225810@sis.hust.edu.vn")</f>
        <v>Lục Minh Đức - 20225810 - Duc.LM225810@sis.hust.edu.vn</v>
      </c>
      <c r="G206" s="341" t="str">
        <f>IFERROR(__xludf.DUMMYFUNCTION("REGEXEXTRACT(C206, ""\d{8}"")"),"20225810")</f>
        <v>20225810</v>
      </c>
      <c r="H206" s="341" t="s">
        <v>402</v>
      </c>
      <c r="I206" s="341">
        <v>1.0</v>
      </c>
      <c r="Q206" s="341" t="s">
        <v>4051</v>
      </c>
    </row>
    <row r="207">
      <c r="B207" s="340">
        <v>207.0</v>
      </c>
      <c r="C207" s="341" t="str">
        <f>IFERROR(__xludf.DUMMYFUNCTION("""COMPUTED_VALUE"""),"Đỗ Quang Huy -20225854 - Huy.DQ5854@sis.hust.edu.vn")</f>
        <v>Đỗ Quang Huy -20225854 - Huy.DQ5854@sis.hust.edu.vn</v>
      </c>
      <c r="G207" s="341" t="str">
        <f>IFERROR(__xludf.DUMMYFUNCTION("REGEXEXTRACT(C207, ""\d{8}"")"),"20225854")</f>
        <v>20225854</v>
      </c>
      <c r="H207" s="341" t="s">
        <v>403</v>
      </c>
      <c r="I207" s="341">
        <v>1.0</v>
      </c>
      <c r="Q207" s="341" t="s">
        <v>4051</v>
      </c>
    </row>
    <row r="208">
      <c r="B208" s="340">
        <v>208.0</v>
      </c>
      <c r="C208" s="341" t="str">
        <f>IFERROR(__xludf.DUMMYFUNCTION("""COMPUTED_VALUE"""),"Phan Hoàng Long - 20225738 - Long.ph225738@sis.hust.edu.vn")</f>
        <v>Phan Hoàng Long - 20225738 - Long.ph225738@sis.hust.edu.vn</v>
      </c>
      <c r="G208" s="341" t="str">
        <f>IFERROR(__xludf.DUMMYFUNCTION("REGEXEXTRACT(C208, ""\d{8}"")"),"20225738")</f>
        <v>20225738</v>
      </c>
      <c r="H208" s="341" t="s">
        <v>404</v>
      </c>
      <c r="I208" s="341">
        <v>1.0</v>
      </c>
      <c r="Q208" s="341" t="s">
        <v>4051</v>
      </c>
    </row>
    <row r="209">
      <c r="B209" s="340">
        <v>209.0</v>
      </c>
      <c r="C209" s="341" t="str">
        <f>IFERROR(__xludf.DUMMYFUNCTION("""COMPUTED_VALUE"""),"Trương Công Thái Đức -20225815-Duc.TCT225815@sis.edu.vn")</f>
        <v>Trương Công Thái Đức -20225815-Duc.TCT225815@sis.edu.vn</v>
      </c>
      <c r="G209" s="341" t="str">
        <f>IFERROR(__xludf.DUMMYFUNCTION("REGEXEXTRACT(C209, ""\d{8}"")"),"20225815")</f>
        <v>20225815</v>
      </c>
      <c r="H209" s="341" t="s">
        <v>405</v>
      </c>
      <c r="I209" s="341">
        <v>1.0</v>
      </c>
      <c r="Q209" s="341" t="s">
        <v>4051</v>
      </c>
    </row>
    <row r="210">
      <c r="B210" s="340">
        <v>210.0</v>
      </c>
      <c r="C210" s="341" t="str">
        <f>IFERROR(__xludf.DUMMYFUNCTION("""COMPUTED_VALUE"""),"Lý Hiển Long - 20225035 - longhienly112@gmail.com")</f>
        <v>Lý Hiển Long - 20225035 - longhienly112@gmail.com</v>
      </c>
      <c r="G210" s="341" t="str">
        <f>IFERROR(__xludf.DUMMYFUNCTION("REGEXEXTRACT(C210, ""\d{8}"")"),"20225035")</f>
        <v>20225035</v>
      </c>
      <c r="H210" s="341" t="s">
        <v>114</v>
      </c>
      <c r="I210" s="341">
        <v>1.0</v>
      </c>
      <c r="Q210" s="341" t="s">
        <v>4051</v>
      </c>
    </row>
    <row r="211">
      <c r="B211" s="340">
        <v>211.0</v>
      </c>
      <c r="C211" s="341" t="str">
        <f>IFERROR(__xludf.DUMMYFUNCTION("""COMPUTED_VALUE"""),"Nguyễn Đại Dương - 20224966 - Duong.ND224966@sis.hust.edu.vn")</f>
        <v>Nguyễn Đại Dương - 20224966 - Duong.ND224966@sis.hust.edu.vn</v>
      </c>
      <c r="G211" s="341" t="str">
        <f>IFERROR(__xludf.DUMMYFUNCTION("REGEXEXTRACT(C211, ""\d{8}"")"),"20224966")</f>
        <v>20224966</v>
      </c>
      <c r="H211" s="341" t="s">
        <v>116</v>
      </c>
      <c r="I211" s="341">
        <v>1.0</v>
      </c>
      <c r="Q211" s="341" t="s">
        <v>4051</v>
      </c>
    </row>
    <row r="212">
      <c r="B212" s="340">
        <v>212.0</v>
      </c>
      <c r="C212" s="341" t="str">
        <f>IFERROR(__xludf.DUMMYFUNCTION("""COMPUTED_VALUE"""),"Phạm Gia Khiêm - 20225868 - khiem.pg225868@sis.hust.edu.vn")</f>
        <v>Phạm Gia Khiêm - 20225868 - khiem.pg225868@sis.hust.edu.vn</v>
      </c>
      <c r="G212" s="341" t="str">
        <f>IFERROR(__xludf.DUMMYFUNCTION("REGEXEXTRACT(C212, ""\d{8}"")"),"20225868")</f>
        <v>20225868</v>
      </c>
      <c r="H212" s="341" t="s">
        <v>228</v>
      </c>
      <c r="I212" s="341">
        <v>1.0</v>
      </c>
      <c r="Q212" s="341" t="s">
        <v>4051</v>
      </c>
    </row>
    <row r="213">
      <c r="B213" s="340">
        <v>213.0</v>
      </c>
      <c r="C213" s="341" t="str">
        <f>IFERROR(__xludf.DUMMYFUNCTION("""COMPUTED_VALUE"""),"Nguyễn Đức Tấn Sang - 20225664 - sang.ndt225664@sis.hust.edu.vn")</f>
        <v>Nguyễn Đức Tấn Sang - 20225664 - sang.ndt225664@sis.hust.edu.vn</v>
      </c>
      <c r="G213" s="341" t="str">
        <f>IFERROR(__xludf.DUMMYFUNCTION("REGEXEXTRACT(C213, ""\d{8}"")"),"20225664")</f>
        <v>20225664</v>
      </c>
      <c r="H213" s="341" t="s">
        <v>229</v>
      </c>
      <c r="I213" s="341">
        <v>1.0</v>
      </c>
      <c r="Q213" s="341" t="s">
        <v>4051</v>
      </c>
    </row>
    <row r="214">
      <c r="B214" s="340">
        <v>214.0</v>
      </c>
      <c r="C214" s="341" t="str">
        <f>IFERROR(__xludf.DUMMYFUNCTION("""COMPUTED_VALUE"""),"Nguyễn Đình Thành - 20225670 - thanh.nd225670@sis.hust.edu.vn")</f>
        <v>Nguyễn Đình Thành - 20225670 - thanh.nd225670@sis.hust.edu.vn</v>
      </c>
      <c r="G214" s="341" t="str">
        <f>IFERROR(__xludf.DUMMYFUNCTION("REGEXEXTRACT(C214, ""\d{8}"")"),"20225670")</f>
        <v>20225670</v>
      </c>
      <c r="H214" s="341" t="s">
        <v>230</v>
      </c>
      <c r="I214" s="341">
        <v>1.0</v>
      </c>
      <c r="Q214" s="341" t="s">
        <v>4051</v>
      </c>
    </row>
    <row r="215">
      <c r="B215" s="340">
        <v>215.0</v>
      </c>
      <c r="C215" s="341" t="str">
        <f>IFERROR(__xludf.DUMMYFUNCTION("""COMPUTED_VALUE"""),"Vũ Quang Dũng -20225818 - dung.vq225818@sis.hust.edu.vn")</f>
        <v>Vũ Quang Dũng -20225818 - dung.vq225818@sis.hust.edu.vn</v>
      </c>
      <c r="G215" s="341" t="str">
        <f>IFERROR(__xludf.DUMMYFUNCTION("REGEXEXTRACT(C215, ""\d{8}"")"),"20225818")</f>
        <v>20225818</v>
      </c>
      <c r="H215" s="341" t="s">
        <v>231</v>
      </c>
      <c r="I215" s="341">
        <v>1.0</v>
      </c>
      <c r="Q215" s="341" t="s">
        <v>4051</v>
      </c>
    </row>
    <row r="216">
      <c r="B216" s="340">
        <v>216.0</v>
      </c>
      <c r="C216" s="341" t="str">
        <f>IFERROR(__xludf.DUMMYFUNCTION("""COMPUTED_VALUE"""),"Nguyễn Đăng Bảo Lâm - 20225873 - lam.ndb225873@sis.hust.edu.vn")</f>
        <v>Nguyễn Đăng Bảo Lâm - 20225873 - lam.ndb225873@sis.hust.edu.vn</v>
      </c>
      <c r="G216" s="341" t="str">
        <f>IFERROR(__xludf.DUMMYFUNCTION("REGEXEXTRACT(C216, ""\d{8}"")"),"20225873")</f>
        <v>20225873</v>
      </c>
      <c r="H216" s="341" t="s">
        <v>232</v>
      </c>
      <c r="I216" s="341">
        <v>1.0</v>
      </c>
      <c r="Q216" s="341" t="s">
        <v>4051</v>
      </c>
    </row>
    <row r="217">
      <c r="B217" s="340">
        <v>217.0</v>
      </c>
      <c r="C217" s="341" t="str">
        <f>IFERROR(__xludf.DUMMYFUNCTION("""COMPUTED_VALUE"""),"Nguyễn khắc quang - 20225760-quang.nk225760@sis.hust.edu.vn")</f>
        <v>Nguyễn khắc quang - 20225760-quang.nk225760@sis.hust.edu.vn</v>
      </c>
      <c r="G217" s="341" t="str">
        <f>IFERROR(__xludf.DUMMYFUNCTION("REGEXEXTRACT(C217, ""\d{8}"")"),"20225760")</f>
        <v>20225760</v>
      </c>
      <c r="H217" s="341" t="s">
        <v>233</v>
      </c>
      <c r="I217" s="341">
        <v>1.0</v>
      </c>
      <c r="Q217" s="341" t="s">
        <v>4051</v>
      </c>
    </row>
    <row r="218">
      <c r="B218" s="340">
        <v>218.0</v>
      </c>
      <c r="C218" s="341" t="str">
        <f>IFERROR(__xludf.DUMMYFUNCTION("""COMPUTED_VALUE"""),"Bùi Ngọc Hợp- 20225721 -hop.bn225721@sis.hust.edu.vn")</f>
        <v>Bùi Ngọc Hợp- 20225721 -hop.bn225721@sis.hust.edu.vn</v>
      </c>
      <c r="G218" s="341" t="str">
        <f>IFERROR(__xludf.DUMMYFUNCTION("REGEXEXTRACT(C218, ""\d{8}"")"),"20225721")</f>
        <v>20225721</v>
      </c>
      <c r="H218" s="341" t="s">
        <v>234</v>
      </c>
      <c r="I218" s="341">
        <v>1.0</v>
      </c>
      <c r="Q218" s="341" t="s">
        <v>4051</v>
      </c>
    </row>
    <row r="219">
      <c r="B219" s="340">
        <v>219.0</v>
      </c>
      <c r="C219" s="341" t="str">
        <f>IFERROR(__xludf.DUMMYFUNCTION("""COMPUTED_VALUE"""),"Dương Tuấn Nghĩa-20225753-nghiadt225753@sis.hust.edu.vn")</f>
        <v>Dương Tuấn Nghĩa-20225753-nghiadt225753@sis.hust.edu.vn</v>
      </c>
      <c r="G219" s="341" t="str">
        <f>IFERROR(__xludf.DUMMYFUNCTION("REGEXEXTRACT(C219, ""\d{8}"")"),"20225753")</f>
        <v>20225753</v>
      </c>
      <c r="H219" s="341" t="s">
        <v>235</v>
      </c>
      <c r="I219" s="341">
        <v>1.0</v>
      </c>
      <c r="Q219" s="341" t="s">
        <v>4051</v>
      </c>
    </row>
    <row r="220">
      <c r="B220" s="340">
        <v>220.0</v>
      </c>
      <c r="C220" s="341" t="str">
        <f>IFERROR(__xludf.DUMMYFUNCTION("""COMPUTED_VALUE"""),"Nguyễn Đức Nghĩa -20225895 - nghia.nd225895@sis.hust.edu.vn")</f>
        <v>Nguyễn Đức Nghĩa -20225895 - nghia.nd225895@sis.hust.edu.vn</v>
      </c>
      <c r="G220" s="341" t="str">
        <f>IFERROR(__xludf.DUMMYFUNCTION("REGEXEXTRACT(C220, ""\d{8}"")"),"20225895")</f>
        <v>20225895</v>
      </c>
      <c r="H220" s="341" t="s">
        <v>236</v>
      </c>
      <c r="I220" s="341">
        <v>1.0</v>
      </c>
      <c r="Q220" s="341" t="s">
        <v>4051</v>
      </c>
    </row>
    <row r="221">
      <c r="B221" s="340">
        <v>221.0</v>
      </c>
      <c r="C221" s="341" t="str">
        <f>IFERROR(__xludf.DUMMYFUNCTION("""COMPUTED_VALUE"""),"Bùi quang tùng - 20225945 - tung.bq225945@sis.hust.edu.vn")</f>
        <v>Bùi quang tùng - 20225945 - tung.bq225945@sis.hust.edu.vn</v>
      </c>
      <c r="G221" s="341" t="str">
        <f>IFERROR(__xludf.DUMMYFUNCTION("REGEXEXTRACT(C221, ""\d{8}"")"),"20225945")</f>
        <v>20225945</v>
      </c>
      <c r="H221" s="341" t="s">
        <v>237</v>
      </c>
      <c r="I221" s="341">
        <v>1.0</v>
      </c>
      <c r="Q221" s="341" t="s">
        <v>4051</v>
      </c>
    </row>
    <row r="222">
      <c r="B222" s="340">
        <v>222.0</v>
      </c>
      <c r="C222" s="341" t="str">
        <f>IFERROR(__xludf.DUMMYFUNCTION("""COMPUTED_VALUE"""),"Nguyễn Khánh Toàn - 20225936 - Toan.NK225936@sis.hust.edu.vn")</f>
        <v>Nguyễn Khánh Toàn - 20225936 - Toan.NK225936@sis.hust.edu.vn</v>
      </c>
      <c r="G222" s="341" t="str">
        <f>IFERROR(__xludf.DUMMYFUNCTION("REGEXEXTRACT(C222, ""\d{8}"")"),"20225936")</f>
        <v>20225936</v>
      </c>
      <c r="H222" s="341" t="s">
        <v>238</v>
      </c>
      <c r="I222" s="341">
        <v>1.0</v>
      </c>
      <c r="Q222" s="341" t="s">
        <v>4051</v>
      </c>
    </row>
    <row r="223">
      <c r="B223" s="340">
        <v>223.0</v>
      </c>
      <c r="C223" s="341" t="str">
        <f>IFERROR(__xludf.DUMMYFUNCTION("""COMPUTED_VALUE"""),"Nguyễn Bùi Tuấn Linh - 20225732 - Linh.NBT225732@sis.hust.edu.vn")</f>
        <v>Nguyễn Bùi Tuấn Linh - 20225732 - Linh.NBT225732@sis.hust.edu.vn</v>
      </c>
      <c r="G223" s="341" t="str">
        <f>IFERROR(__xludf.DUMMYFUNCTION("REGEXEXTRACT(C223, ""\d{8}"")"),"20225732")</f>
        <v>20225732</v>
      </c>
      <c r="H223" s="341" t="s">
        <v>239</v>
      </c>
      <c r="I223" s="341">
        <v>1.0</v>
      </c>
      <c r="Q223" s="341" t="s">
        <v>4051</v>
      </c>
    </row>
    <row r="224">
      <c r="B224" s="340">
        <v>224.0</v>
      </c>
      <c r="C224" s="341" t="str">
        <f>IFERROR(__xludf.DUMMYFUNCTION("""COMPUTED_VALUE"""),"Phạm Quốc Cường - 20225604 - Cuong.PQ225604@sis.hust.edu.vn")</f>
        <v>Phạm Quốc Cường - 20225604 - Cuong.PQ225604@sis.hust.edu.vn</v>
      </c>
      <c r="G224" s="341" t="str">
        <f>IFERROR(__xludf.DUMMYFUNCTION("REGEXEXTRACT(C224, ""\d{8}"")"),"20225604")</f>
        <v>20225604</v>
      </c>
      <c r="H224" s="341" t="s">
        <v>240</v>
      </c>
      <c r="I224" s="341">
        <v>1.0</v>
      </c>
      <c r="Q224" s="341" t="s">
        <v>4051</v>
      </c>
    </row>
    <row r="225">
      <c r="B225" s="340">
        <v>225.0</v>
      </c>
      <c r="C225" s="341" t="str">
        <f>IFERROR(__xludf.DUMMYFUNCTION("""COMPUTED_VALUE"""),"Hồ Tuấn Huy - 20225856 - Huy.HT225856@sis.hust.edu.vn")</f>
        <v>Hồ Tuấn Huy - 20225856 - Huy.HT225856@sis.hust.edu.vn</v>
      </c>
      <c r="G225" s="341" t="str">
        <f>IFERROR(__xludf.DUMMYFUNCTION("REGEXEXTRACT(C225, ""\d{8}"")"),"20225856")</f>
        <v>20225856</v>
      </c>
      <c r="H225" s="341" t="s">
        <v>241</v>
      </c>
      <c r="I225" s="341">
        <v>1.0</v>
      </c>
      <c r="Q225" s="341" t="s">
        <v>4051</v>
      </c>
    </row>
    <row r="226">
      <c r="B226" s="340">
        <v>226.0</v>
      </c>
      <c r="C226" s="341" t="str">
        <f>IFERROR(__xludf.DUMMYFUNCTION("""COMPUTED_VALUE"""),"Hà Trung Chiến - 20225794 - Chien.HT225794@sis.hust.edu.vn")</f>
        <v>Hà Trung Chiến - 20225794 - Chien.HT225794@sis.hust.edu.vn</v>
      </c>
      <c r="G226" s="341" t="str">
        <f>IFERROR(__xludf.DUMMYFUNCTION("REGEXEXTRACT(C226, ""\d{8}"")"),"20225794")</f>
        <v>20225794</v>
      </c>
      <c r="H226" s="341" t="s">
        <v>242</v>
      </c>
      <c r="I226" s="341">
        <v>1.0</v>
      </c>
      <c r="Q226" s="341" t="s">
        <v>4051</v>
      </c>
    </row>
    <row r="227">
      <c r="B227" s="340">
        <v>227.0</v>
      </c>
      <c r="C227" s="341" t="str">
        <f>IFERROR(__xludf.DUMMYFUNCTION("""COMPUTED_VALUE"""),"Nguyễn Phúc Anh - 20225784 - anh.np225784@sis.hust.edu.vn")</f>
        <v>Nguyễn Phúc Anh - 20225784 - anh.np225784@sis.hust.edu.vn</v>
      </c>
      <c r="G227" s="341" t="str">
        <f>IFERROR(__xludf.DUMMYFUNCTION("REGEXEXTRACT(C227, ""\d{8}"")"),"20225784")</f>
        <v>20225784</v>
      </c>
      <c r="H227" s="341" t="s">
        <v>466</v>
      </c>
      <c r="I227" s="341">
        <v>1.0</v>
      </c>
      <c r="Q227" s="341" t="s">
        <v>4051</v>
      </c>
    </row>
    <row r="228">
      <c r="B228" s="340">
        <v>228.0</v>
      </c>
      <c r="C228" s="341" t="str">
        <f>IFERROR(__xludf.DUMMYFUNCTION("""COMPUTED_VALUE"""),"Nguyễn Bình An  - 20225591 - an.nb225591@sis.hust.edu.vn")</f>
        <v>Nguyễn Bình An  - 20225591 - an.nb225591@sis.hust.edu.vn</v>
      </c>
      <c r="G228" s="341" t="str">
        <f>IFERROR(__xludf.DUMMYFUNCTION("REGEXEXTRACT(C228, ""\d{8}"")"),"20225591")</f>
        <v>20225591</v>
      </c>
      <c r="H228" s="341" t="s">
        <v>467</v>
      </c>
      <c r="I228" s="341">
        <v>1.0</v>
      </c>
      <c r="Q228" s="341" t="s">
        <v>4051</v>
      </c>
    </row>
    <row r="229">
      <c r="B229" s="340">
        <v>229.0</v>
      </c>
      <c r="C229" s="341" t="str">
        <f>IFERROR(__xludf.DUMMYFUNCTION("""COMPUTED_VALUE"""),"Đỗ Mạnh Phương - 20225660 - phuong.dm225660@sis.hust.edu.vn")</f>
        <v>Đỗ Mạnh Phương - 20225660 - phuong.dm225660@sis.hust.edu.vn</v>
      </c>
      <c r="G229" s="341" t="str">
        <f>IFERROR(__xludf.DUMMYFUNCTION("REGEXEXTRACT(C229, ""\d{8}"")"),"20225660")</f>
        <v>20225660</v>
      </c>
      <c r="H229" s="341" t="s">
        <v>468</v>
      </c>
      <c r="I229" s="341">
        <v>1.0</v>
      </c>
      <c r="Q229" s="341" t="s">
        <v>4051</v>
      </c>
    </row>
    <row r="230">
      <c r="B230" s="340">
        <v>230.0</v>
      </c>
      <c r="C230" s="341" t="str">
        <f>IFERROR(__xludf.DUMMYFUNCTION("""COMPUTED_VALUE"""),"Lê Đồng Cảnh Phú - 20225755 - phu.ldc225755@sis.hust.edu.vn")</f>
        <v>Lê Đồng Cảnh Phú - 20225755 - phu.ldc225755@sis.hust.edu.vn</v>
      </c>
      <c r="G230" s="341" t="str">
        <f>IFERROR(__xludf.DUMMYFUNCTION("REGEXEXTRACT(C230, ""\d{8}"")"),"20225755")</f>
        <v>20225755</v>
      </c>
      <c r="H230" s="341" t="s">
        <v>469</v>
      </c>
      <c r="I230" s="341">
        <v>1.0</v>
      </c>
      <c r="Q230" s="341" t="s">
        <v>4051</v>
      </c>
    </row>
    <row r="231">
      <c r="B231" s="340">
        <v>231.0</v>
      </c>
      <c r="C231" s="341" t="str">
        <f>IFERROR(__xludf.DUMMYFUNCTION("""COMPUTED_VALUE"""),"Đàm Thanh Bách - 20225600 - bach.dt225600@sis.hust.edu.vn")</f>
        <v>Đàm Thanh Bách - 20225600 - bach.dt225600@sis.hust.edu.vn</v>
      </c>
      <c r="G231" s="341" t="str">
        <f>IFERROR(__xludf.DUMMYFUNCTION("REGEXEXTRACT(C231, ""\d{8}"")"),"20225600")</f>
        <v>20225600</v>
      </c>
      <c r="H231" s="341" t="s">
        <v>470</v>
      </c>
      <c r="I231" s="341">
        <v>1.0</v>
      </c>
      <c r="Q231" s="341" t="s">
        <v>4051</v>
      </c>
    </row>
    <row r="232">
      <c r="B232" s="340">
        <v>232.0</v>
      </c>
      <c r="C232" s="341" t="str">
        <f>IFERROR(__xludf.DUMMYFUNCTION("""COMPUTED_VALUE"""),"Tô Minh Ánh - 20225787 - minhanhs.2205@gmail.com")</f>
        <v>Tô Minh Ánh - 20225787 - minhanhs.2205@gmail.com</v>
      </c>
      <c r="G232" s="341" t="str">
        <f>IFERROR(__xludf.DUMMYFUNCTION("REGEXEXTRACT(C232, ""\d{8}"")"),"20225787")</f>
        <v>20225787</v>
      </c>
      <c r="H232" s="341" t="s">
        <v>471</v>
      </c>
      <c r="I232" s="341">
        <v>1.0</v>
      </c>
      <c r="Q232" s="341" t="s">
        <v>4051</v>
      </c>
    </row>
    <row r="233">
      <c r="B233" s="340">
        <v>233.0</v>
      </c>
      <c r="C233" s="341" t="str">
        <f>IFERROR(__xludf.DUMMYFUNCTION("""COMPUTED_VALUE"""),"Nguyễn Kim Ngọc - 20225655 - nguyenkimngochtm@gmail.com")</f>
        <v>Nguyễn Kim Ngọc - 20225655 - nguyenkimngochtm@gmail.com</v>
      </c>
      <c r="G233" s="341" t="str">
        <f>IFERROR(__xludf.DUMMYFUNCTION("REGEXEXTRACT(C233, ""\d{8}"")"),"20225655")</f>
        <v>20225655</v>
      </c>
      <c r="H233" s="341" t="s">
        <v>472</v>
      </c>
      <c r="I233" s="341">
        <v>1.0</v>
      </c>
      <c r="Q233" s="341" t="s">
        <v>4051</v>
      </c>
    </row>
    <row r="234">
      <c r="B234" s="340">
        <v>234.0</v>
      </c>
      <c r="C234" s="341" t="str">
        <f>IFERROR(__xludf.DUMMYFUNCTION("""COMPUTED_VALUE"""),"Lê Thị Ngọc Thảo - 20225673 - thao.ltn225673@sis.hust.edu.vn")</f>
        <v>Lê Thị Ngọc Thảo - 20225673 - thao.ltn225673@sis.hust.edu.vn</v>
      </c>
      <c r="G234" s="341" t="str">
        <f>IFERROR(__xludf.DUMMYFUNCTION("REGEXEXTRACT(C234, ""\d{8}"")"),"20225673")</f>
        <v>20225673</v>
      </c>
      <c r="H234" s="341" t="s">
        <v>473</v>
      </c>
      <c r="I234" s="341">
        <v>1.0</v>
      </c>
      <c r="Q234" s="341" t="s">
        <v>4051</v>
      </c>
    </row>
    <row r="235">
      <c r="B235" s="340">
        <v>235.0</v>
      </c>
      <c r="C235" s="341" t="str">
        <f>IFERROR(__xludf.DUMMYFUNCTION("""COMPUTED_VALUE"""),"Vũ Hoàng Nhật Anh - 20225471 - nhatanhvh11@gmail.com")</f>
        <v>Vũ Hoàng Nhật Anh - 20225471 - nhatanhvh11@gmail.com</v>
      </c>
      <c r="G235" s="341" t="str">
        <f>IFERROR(__xludf.DUMMYFUNCTION("REGEXEXTRACT(C235, ""\d{8}"")"),"20225471")</f>
        <v>20225471</v>
      </c>
      <c r="H235" s="341" t="s">
        <v>382</v>
      </c>
      <c r="I235" s="341">
        <v>1.0</v>
      </c>
      <c r="Q235" s="341" t="s">
        <v>4051</v>
      </c>
    </row>
    <row r="236">
      <c r="B236" s="340">
        <v>236.0</v>
      </c>
      <c r="C236" s="341" t="str">
        <f>IFERROR(__xludf.DUMMYFUNCTION("""COMPUTED_VALUE"""),"Trịnh Hoàng Anh - 20225470 - anh.th225470@sis.hust.edu.vn")</f>
        <v>Trịnh Hoàng Anh - 20225470 - anh.th225470@sis.hust.edu.vn</v>
      </c>
      <c r="G236" s="341" t="str">
        <f>IFERROR(__xludf.DUMMYFUNCTION("REGEXEXTRACT(C236, ""\d{8}"")"),"20225470")</f>
        <v>20225470</v>
      </c>
      <c r="H236" s="341" t="s">
        <v>383</v>
      </c>
      <c r="I236" s="341">
        <v>1.0</v>
      </c>
      <c r="Q236" s="341" t="s">
        <v>4051</v>
      </c>
    </row>
    <row r="237">
      <c r="B237" s="340">
        <v>237.0</v>
      </c>
      <c r="C237" s="341" t="str">
        <f>IFERROR(__xludf.DUMMYFUNCTION("""COMPUTED_VALUE"""),"Bùi Khắc Chiến - 20220059 - chien.bk220059@sis.hust.edu.vn")</f>
        <v>Bùi Khắc Chiến - 20220059 - chien.bk220059@sis.hust.edu.vn</v>
      </c>
      <c r="G237" s="341" t="str">
        <f>IFERROR(__xludf.DUMMYFUNCTION("REGEXEXTRACT(C237, ""\d{8}"")"),"20220059")</f>
        <v>20220059</v>
      </c>
      <c r="H237" s="341" t="s">
        <v>384</v>
      </c>
      <c r="I237" s="341">
        <v>1.0</v>
      </c>
      <c r="Q237" s="341" t="s">
        <v>4051</v>
      </c>
    </row>
    <row r="238">
      <c r="B238" s="340">
        <v>238.0</v>
      </c>
      <c r="C238" s="341" t="str">
        <f>IFERROR(__xludf.DUMMYFUNCTION("""COMPUTED_VALUE"""),"Trần Quang Minh - 20225512 - minh.tq225512@sis.hust.edu.vn")</f>
        <v>Trần Quang Minh - 20225512 - minh.tq225512@sis.hust.edu.vn</v>
      </c>
      <c r="G238" s="341" t="str">
        <f>IFERROR(__xludf.DUMMYFUNCTION("REGEXEXTRACT(C238, ""\d{8}"")"),"20225512")</f>
        <v>20225512</v>
      </c>
      <c r="H238" s="341" t="s">
        <v>385</v>
      </c>
      <c r="I238" s="341">
        <v>1.0</v>
      </c>
      <c r="Q238" s="341" t="s">
        <v>4051</v>
      </c>
    </row>
    <row r="239">
      <c r="B239" s="340">
        <v>239.0</v>
      </c>
      <c r="C239" s="341" t="str">
        <f>IFERROR(__xludf.DUMMYFUNCTION("""COMPUTED_VALUE"""),"Nguyễn Kim Cường - 20224939 - kimcuong09102004@gmail.com")</f>
        <v>Nguyễn Kim Cường - 20224939 - kimcuong09102004@gmail.com</v>
      </c>
      <c r="G239" s="341" t="str">
        <f>IFERROR(__xludf.DUMMYFUNCTION("REGEXEXTRACT(C239, ""\d{8}"")"),"20224939")</f>
        <v>20224939</v>
      </c>
      <c r="H239" s="341" t="s">
        <v>476</v>
      </c>
      <c r="I239" s="341">
        <v>1.0</v>
      </c>
      <c r="Q239" s="341" t="s">
        <v>4051</v>
      </c>
    </row>
    <row r="240">
      <c r="B240" s="340">
        <v>240.0</v>
      </c>
      <c r="C240" s="341" t="str">
        <f>IFERROR(__xludf.DUMMYFUNCTION("""COMPUTED_VALUE"""),"Đỗ Huy Đạt - 20220024 - dohuydat79@gmail.com")</f>
        <v>Đỗ Huy Đạt - 20220024 - dohuydat79@gmail.com</v>
      </c>
      <c r="G240" s="341" t="str">
        <f>IFERROR(__xludf.DUMMYFUNCTION("REGEXEXTRACT(C240, ""\d{8}"")"),"20220024")</f>
        <v>20220024</v>
      </c>
      <c r="H240" s="341" t="s">
        <v>477</v>
      </c>
      <c r="I240" s="341">
        <v>1.0</v>
      </c>
      <c r="Q240" s="341" t="s">
        <v>4051</v>
      </c>
    </row>
    <row r="241">
      <c r="B241" s="340">
        <v>241.0</v>
      </c>
      <c r="C241" s="341" t="str">
        <f>IFERROR(__xludf.DUMMYFUNCTION("""COMPUTED_VALUE"""),"Lê Hoàng Anh - 20224918 - lehoanganh12012004@gmail.com")</f>
        <v>Lê Hoàng Anh - 20224918 - lehoanganh12012004@gmail.com</v>
      </c>
      <c r="G241" s="341" t="str">
        <f>IFERROR(__xludf.DUMMYFUNCTION("REGEXEXTRACT(C241, ""\d{8}"")"),"20224918")</f>
        <v>20224918</v>
      </c>
      <c r="H241" s="341" t="s">
        <v>478</v>
      </c>
      <c r="I241" s="341">
        <v>1.0</v>
      </c>
      <c r="Q241" s="341" t="s">
        <v>4051</v>
      </c>
    </row>
    <row r="242">
      <c r="B242" s="340">
        <v>242.0</v>
      </c>
      <c r="C242" s="341" t="str">
        <f>IFERROR(__xludf.DUMMYFUNCTION("""COMPUTED_VALUE"""),"Nguyễn Chí Cường - 20224938 - cuong1532004@gmail.com")</f>
        <v>Nguyễn Chí Cường - 20224938 - cuong1532004@gmail.com</v>
      </c>
      <c r="G242" s="341" t="str">
        <f>IFERROR(__xludf.DUMMYFUNCTION("REGEXEXTRACT(C242, ""\d{8}"")"),"20224938")</f>
        <v>20224938</v>
      </c>
      <c r="H242" s="341" t="s">
        <v>479</v>
      </c>
      <c r="I242" s="341">
        <v>1.0</v>
      </c>
      <c r="Q242" s="341" t="s">
        <v>4051</v>
      </c>
    </row>
    <row r="243">
      <c r="B243" s="340">
        <v>243.0</v>
      </c>
      <c r="C243" s="341" t="str">
        <f>IFERROR(__xludf.DUMMYFUNCTION("""COMPUTED_VALUE"""),"Ngô Trí Cảnh - 20220015 - canhngotri1510@gmail.com")</f>
        <v>Ngô Trí Cảnh - 20220015 - canhngotri1510@gmail.com</v>
      </c>
      <c r="G243" s="341" t="str">
        <f>IFERROR(__xludf.DUMMYFUNCTION("REGEXEXTRACT(C243, ""\d{8}"")"),"20220015")</f>
        <v>20220015</v>
      </c>
      <c r="H243" s="341" t="s">
        <v>480</v>
      </c>
      <c r="I243" s="341">
        <v>1.0</v>
      </c>
      <c r="Q243" s="341" t="s">
        <v>4051</v>
      </c>
    </row>
    <row r="244">
      <c r="B244" s="340">
        <v>244.0</v>
      </c>
      <c r="C244" s="341" t="str">
        <f>IFERROR(__xludf.DUMMYFUNCTION("""COMPUTED_VALUE"""),"Bùi Xuân Tùng - 20224905 - buitung1309@gmail.com")</f>
        <v>Bùi Xuân Tùng - 20224905 - buitung1309@gmail.com</v>
      </c>
      <c r="G244" s="341" t="str">
        <f>IFERROR(__xludf.DUMMYFUNCTION("REGEXEXTRACT(C244, ""\d{8}"")"),"20224905")</f>
        <v>20224905</v>
      </c>
      <c r="H244" s="341" t="s">
        <v>481</v>
      </c>
      <c r="I244" s="341">
        <v>1.0</v>
      </c>
      <c r="Q244" s="341" t="s">
        <v>4051</v>
      </c>
    </row>
    <row r="245">
      <c r="B245" s="340">
        <v>245.0</v>
      </c>
      <c r="C245" s="341" t="str">
        <f>IFERROR(__xludf.DUMMYFUNCTION("""COMPUTED_VALUE"""),"Lại Hoàng Sơn - 20224895 - laihoangson42@gmail.com")</f>
        <v>Lại Hoàng Sơn - 20224895 - laihoangson42@gmail.com</v>
      </c>
      <c r="G245" s="341" t="str">
        <f>IFERROR(__xludf.DUMMYFUNCTION("REGEXEXTRACT(C245, ""\d{8}"")"),"20224895")</f>
        <v>20224895</v>
      </c>
      <c r="H245" s="341" t="s">
        <v>482</v>
      </c>
      <c r="I245" s="341">
        <v>1.0</v>
      </c>
      <c r="Q245" s="341" t="s">
        <v>4051</v>
      </c>
    </row>
    <row r="246">
      <c r="B246" s="340">
        <v>246.0</v>
      </c>
      <c r="C246" s="341" t="str">
        <f>IFERROR(__xludf.DUMMYFUNCTION("""COMPUTED_VALUE"""),"Đinh Công Thái - 20224898 - bong1552004@gmail.com")</f>
        <v>Đinh Công Thái - 20224898 - bong1552004@gmail.com</v>
      </c>
      <c r="G246" s="341" t="str">
        <f>IFERROR(__xludf.DUMMYFUNCTION("REGEXEXTRACT(C246, ""\d{8}"")"),"20224898")</f>
        <v>20224898</v>
      </c>
      <c r="H246" s="341" t="s">
        <v>483</v>
      </c>
      <c r="I246" s="341">
        <v>1.0</v>
      </c>
      <c r="Q246" s="341" t="s">
        <v>4051</v>
      </c>
    </row>
    <row r="247">
      <c r="B247" s="340">
        <v>247.0</v>
      </c>
      <c r="C247" s="341" t="str">
        <f>IFERROR(__xludf.DUMMYFUNCTION("""COMPUTED_VALUE"""),"Nguyễn Trung Long - 20224874 - long.nt270504@gmail.com")</f>
        <v>Nguyễn Trung Long - 20224874 - long.nt270504@gmail.com</v>
      </c>
      <c r="G247" s="341" t="str">
        <f>IFERROR(__xludf.DUMMYFUNCTION("REGEXEXTRACT(C247, ""\d{8}"")"),"20224874")</f>
        <v>20224874</v>
      </c>
      <c r="H247" s="341" t="s">
        <v>484</v>
      </c>
      <c r="I247" s="341">
        <v>1.0</v>
      </c>
      <c r="Q247" s="341" t="s">
        <v>4051</v>
      </c>
    </row>
    <row r="248">
      <c r="B248" s="340">
        <v>248.0</v>
      </c>
      <c r="C248" s="341" t="str">
        <f>IFERROR(__xludf.DUMMYFUNCTION("""COMPUTED_VALUE"""),"Nguyễn Duy Khánh - 20225019 - khanh8a04@gmail.com")</f>
        <v>Nguyễn Duy Khánh - 20225019 - khanh8a04@gmail.com</v>
      </c>
      <c r="G248" s="341" t="str">
        <f>IFERROR(__xludf.DUMMYFUNCTION("REGEXEXTRACT(C248, ""\d{8}"")"),"20225019")</f>
        <v>20225019</v>
      </c>
      <c r="H248" s="341" t="s">
        <v>485</v>
      </c>
      <c r="I248" s="341">
        <v>1.0</v>
      </c>
      <c r="Q248" s="341" t="s">
        <v>4051</v>
      </c>
    </row>
    <row r="249">
      <c r="B249" s="340">
        <v>249.0</v>
      </c>
      <c r="C249" s="341" t="str">
        <f>IFERROR(__xludf.DUMMYFUNCTION("""COMPUTED_VALUE"""),"Phạm Huy Sơn - 20225080 - huyson22092004@gmail.com")</f>
        <v>Phạm Huy Sơn - 20225080 - huyson22092004@gmail.com</v>
      </c>
      <c r="G249" s="341" t="str">
        <f>IFERROR(__xludf.DUMMYFUNCTION("REGEXEXTRACT(C249, ""\d{8}"")"),"20225080")</f>
        <v>20225080</v>
      </c>
      <c r="H249" s="341" t="s">
        <v>248</v>
      </c>
      <c r="I249" s="341">
        <v>1.0</v>
      </c>
      <c r="Q249" s="341" t="s">
        <v>4051</v>
      </c>
    </row>
    <row r="250">
      <c r="B250" s="340">
        <v>250.0</v>
      </c>
      <c r="C250" s="341" t="str">
        <f>IFERROR(__xludf.DUMMYFUNCTION("""COMPUTED_VALUE"""),"Lê Nhật Hoàng - 20224989 - lenhathoang2004@gmail.com")</f>
        <v>Lê Nhật Hoàng - 20224989 - lenhathoang2004@gmail.com</v>
      </c>
      <c r="G250" s="341" t="str">
        <f>IFERROR(__xludf.DUMMYFUNCTION("REGEXEXTRACT(C250, ""\d{8}"")"),"20224989")</f>
        <v>20224989</v>
      </c>
      <c r="H250" s="341" t="s">
        <v>249</v>
      </c>
      <c r="I250" s="341">
        <v>1.0</v>
      </c>
      <c r="Q250" s="341" t="s">
        <v>4051</v>
      </c>
    </row>
    <row r="251">
      <c r="B251" s="340">
        <v>251.0</v>
      </c>
      <c r="C251" s="341" t="str">
        <f>IFERROR(__xludf.DUMMYFUNCTION("""COMPUTED_VALUE"""),"Trần Tuấn Hùng - 20225000 - tranhungtb14@gmail.com")</f>
        <v>Trần Tuấn Hùng - 20225000 - tranhungtb14@gmail.com</v>
      </c>
      <c r="G251" s="341" t="str">
        <f>IFERROR(__xludf.DUMMYFUNCTION("REGEXEXTRACT(C251, ""\d{8}"")"),"20225000")</f>
        <v>20225000</v>
      </c>
      <c r="H251" s="341" t="s">
        <v>250</v>
      </c>
      <c r="I251" s="341">
        <v>1.0</v>
      </c>
      <c r="Q251" s="341" t="s">
        <v>4051</v>
      </c>
    </row>
    <row r="252">
      <c r="B252" s="340">
        <v>252.0</v>
      </c>
      <c r="C252" s="341" t="str">
        <f>IFERROR(__xludf.DUMMYFUNCTION("""COMPUTED_VALUE"""),"Vương Văn Thành - 20225094 - vuongthanhsaovang@gmail.com")</f>
        <v>Vương Văn Thành - 20225094 - vuongthanhsaovang@gmail.com</v>
      </c>
      <c r="G252" s="341" t="str">
        <f>IFERROR(__xludf.DUMMYFUNCTION("REGEXEXTRACT(C252, ""\d{8}"")"),"20225094")</f>
        <v>20225094</v>
      </c>
      <c r="H252" s="341" t="s">
        <v>251</v>
      </c>
      <c r="I252" s="341">
        <v>1.0</v>
      </c>
      <c r="Q252" s="341" t="s">
        <v>4051</v>
      </c>
    </row>
    <row r="253">
      <c r="B253" s="340">
        <v>253.0</v>
      </c>
      <c r="C253" s="341" t="str">
        <f>IFERROR(__xludf.DUMMYFUNCTION("""COMPUTED_VALUE"""),"Đậu Quốc Duy - 20224971 - duy24.it.hust@gmail.com")</f>
        <v>Đậu Quốc Duy - 20224971 - duy24.it.hust@gmail.com</v>
      </c>
      <c r="G253" s="341" t="str">
        <f>IFERROR(__xludf.DUMMYFUNCTION("REGEXEXTRACT(C253, ""\d{8}"")"),"20224971")</f>
        <v>20224971</v>
      </c>
      <c r="H253" s="341" t="s">
        <v>252</v>
      </c>
      <c r="I253" s="341">
        <v>1.0</v>
      </c>
      <c r="Q253" s="341" t="s">
        <v>4051</v>
      </c>
    </row>
    <row r="254">
      <c r="B254" s="340">
        <v>254.0</v>
      </c>
      <c r="C254" s="341" t="str">
        <f>IFERROR(__xludf.DUMMYFUNCTION("""COMPUTED_VALUE"""),"Vũ Anh Huy - 20220029 - huy.va220029@sis.hust.edu.vn")</f>
        <v>Vũ Anh Huy - 20220029 - huy.va220029@sis.hust.edu.vn</v>
      </c>
      <c r="G254" s="341" t="str">
        <f>IFERROR(__xludf.DUMMYFUNCTION("REGEXEXTRACT(C254, ""\d{8}"")"),"20220029")</f>
        <v>20220029</v>
      </c>
      <c r="H254" s="341" t="s">
        <v>253</v>
      </c>
      <c r="I254" s="341">
        <v>1.0</v>
      </c>
      <c r="Q254" s="341" t="s">
        <v>4051</v>
      </c>
    </row>
    <row r="255">
      <c r="B255" s="340">
        <v>255.0</v>
      </c>
      <c r="C255" s="341" t="str">
        <f>IFERROR(__xludf.DUMMYFUNCTION("""COMPUTED_VALUE"""),"Triệu Kinh Quốc - 20225524 - quoc.tk225524@sis.hust.edu.vn")</f>
        <v>Triệu Kinh Quốc - 20225524 - quoc.tk225524@sis.hust.edu.vn</v>
      </c>
      <c r="G255" s="341" t="str">
        <f>IFERROR(__xludf.DUMMYFUNCTION("REGEXEXTRACT(C255, ""\d{8}"")"),"20225524")</f>
        <v>20225524</v>
      </c>
      <c r="H255" s="341" t="s">
        <v>258</v>
      </c>
      <c r="I255" s="341">
        <v>1.0</v>
      </c>
      <c r="Q255" s="341" t="s">
        <v>4051</v>
      </c>
    </row>
    <row r="256">
      <c r="B256" s="340">
        <v>256.0</v>
      </c>
      <c r="C256" s="341" t="str">
        <f>IFERROR(__xludf.DUMMYFUNCTION("""COMPUTED_VALUE"""),"Vũ Quốc Dũng - 20225488 - Dung.VQ225488@sis.hust.edu.vn")</f>
        <v>Vũ Quốc Dũng - 20225488 - Dung.VQ225488@sis.hust.edu.vn</v>
      </c>
      <c r="G256" s="341" t="str">
        <f>IFERROR(__xludf.DUMMYFUNCTION("REGEXEXTRACT(C256, ""\d{8}"")"),"20225488")</f>
        <v>20225488</v>
      </c>
      <c r="H256" s="341" t="s">
        <v>259</v>
      </c>
      <c r="I256" s="341">
        <v>1.0</v>
      </c>
      <c r="Q256" s="341" t="s">
        <v>4051</v>
      </c>
    </row>
    <row r="257">
      <c r="B257" s="340">
        <v>257.0</v>
      </c>
      <c r="C257" s="341" t="str">
        <f>IFERROR(__xludf.DUMMYFUNCTION("""COMPUTED_VALUE"""),"Phạm Long Hải - 20225492 - Hai.PL225492@sis.hust.edu.vn")</f>
        <v>Phạm Long Hải - 20225492 - Hai.PL225492@sis.hust.edu.vn</v>
      </c>
      <c r="G257" s="341" t="str">
        <f>IFERROR(__xludf.DUMMYFUNCTION("REGEXEXTRACT(C257, ""\d{8}"")"),"20225492")</f>
        <v>20225492</v>
      </c>
      <c r="H257" s="341" t="s">
        <v>260</v>
      </c>
      <c r="I257" s="341">
        <v>1.0</v>
      </c>
      <c r="Q257" s="341" t="s">
        <v>4051</v>
      </c>
    </row>
    <row r="258">
      <c r="B258" s="340">
        <v>258.0</v>
      </c>
      <c r="C258" s="341" t="str">
        <f>IFERROR(__xludf.DUMMYFUNCTION("""COMPUTED_VALUE"""),"Lê Minh Hải - 20225491- Hai.LM225491@sis.hust.edu.vn")</f>
        <v>Lê Minh Hải - 20225491- Hai.LM225491@sis.hust.edu.vn</v>
      </c>
      <c r="G258" s="341" t="str">
        <f>IFERROR(__xludf.DUMMYFUNCTION("REGEXEXTRACT(C258, ""\d{8}"")"),"20225491")</f>
        <v>20225491</v>
      </c>
      <c r="H258" s="341" t="s">
        <v>261</v>
      </c>
      <c r="I258" s="341">
        <v>1.0</v>
      </c>
      <c r="Q258" s="341" t="s">
        <v>4051</v>
      </c>
    </row>
    <row r="259">
      <c r="B259" s="340">
        <v>259.0</v>
      </c>
      <c r="C259" s="341" t="str">
        <f>IFERROR(__xludf.DUMMYFUNCTION("""COMPUTED_VALUE"""),"Lại Trí Dũng - 20225486 - Dung.LT225486@sis.hust.edu.vn")</f>
        <v>Lại Trí Dũng - 20225486 - Dung.LT225486@sis.hust.edu.vn</v>
      </c>
      <c r="G259" s="341" t="str">
        <f>IFERROR(__xludf.DUMMYFUNCTION("REGEXEXTRACT(C259, ""\d{8}"")"),"20225486")</f>
        <v>20225486</v>
      </c>
      <c r="H259" s="341" t="s">
        <v>262</v>
      </c>
      <c r="I259" s="341">
        <v>1.0</v>
      </c>
      <c r="Q259" s="341" t="s">
        <v>4051</v>
      </c>
    </row>
    <row r="260">
      <c r="B260" s="340">
        <v>260.0</v>
      </c>
      <c r="C260" s="341" t="str">
        <f>IFERROR(__xludf.DUMMYFUNCTION("""COMPUTED_VALUE"""),"Nguyễn Phan Thắng - 20225529 - Thang.NP225529@sis.hust.edu.vn")</f>
        <v>Nguyễn Phan Thắng - 20225529 - Thang.NP225529@sis.hust.edu.vn</v>
      </c>
      <c r="G260" s="341" t="str">
        <f>IFERROR(__xludf.DUMMYFUNCTION("REGEXEXTRACT(C260, ""\d{8}"")"),"20225529")</f>
        <v>20225529</v>
      </c>
      <c r="H260" s="341" t="s">
        <v>263</v>
      </c>
      <c r="I260" s="341">
        <v>1.0</v>
      </c>
      <c r="Q260" s="341" t="s">
        <v>4051</v>
      </c>
    </row>
    <row r="261">
      <c r="B261" s="340">
        <v>261.0</v>
      </c>
      <c r="C261" s="341" t="str">
        <f>IFERROR(__xludf.DUMMYFUNCTION("""COMPUTED_VALUE"""),"Lưu Thiện Việt Cường - 20225477 - Cuong.LTV225477@sis.hust.edu.vn")</f>
        <v>Lưu Thiện Việt Cường - 20225477 - Cuong.LTV225477@sis.hust.edu.vn</v>
      </c>
      <c r="G261" s="341" t="str">
        <f>IFERROR(__xludf.DUMMYFUNCTION("REGEXEXTRACT(C261, ""\d{8}"")"),"20225477")</f>
        <v>20225477</v>
      </c>
      <c r="H261" s="341" t="s">
        <v>264</v>
      </c>
      <c r="I261" s="341">
        <v>1.0</v>
      </c>
      <c r="Q261" s="341" t="s">
        <v>4051</v>
      </c>
    </row>
    <row r="262">
      <c r="B262" s="340">
        <v>262.0</v>
      </c>
      <c r="C262" s="341" t="str">
        <f>IFERROR(__xludf.DUMMYFUNCTION("""COMPUTED_VALUE"""),"Phùng Tiến Thành - 20225531 - Thanh.PT225531@sis.hust.edu.vn")</f>
        <v>Phùng Tiến Thành - 20225531 - Thanh.PT225531@sis.hust.edu.vn</v>
      </c>
      <c r="G262" s="341" t="str">
        <f>IFERROR(__xludf.DUMMYFUNCTION("REGEXEXTRACT(C262, ""\d{8}"")"),"20225531")</f>
        <v>20225531</v>
      </c>
      <c r="H262" s="341" t="s">
        <v>265</v>
      </c>
      <c r="I262" s="341">
        <v>1.0</v>
      </c>
      <c r="Q262" s="341" t="s">
        <v>4051</v>
      </c>
    </row>
    <row r="263">
      <c r="B263" s="340">
        <v>263.0</v>
      </c>
      <c r="C263" s="341" t="str">
        <f>IFERROR(__xludf.DUMMYFUNCTION("""COMPUTED_VALUE"""),"Bùi Văn Huy - 20225497 - Huy.BV225497@sis.hust.edu.vn")</f>
        <v>Bùi Văn Huy - 20225497 - Huy.BV225497@sis.hust.edu.vn</v>
      </c>
      <c r="G263" s="341" t="str">
        <f>IFERROR(__xludf.DUMMYFUNCTION("REGEXEXTRACT(C263, ""\d{8}"")"),"20225497")</f>
        <v>20225497</v>
      </c>
      <c r="H263" s="341" t="s">
        <v>266</v>
      </c>
      <c r="I263" s="341">
        <v>1.0</v>
      </c>
      <c r="Q263" s="341" t="s">
        <v>4051</v>
      </c>
    </row>
    <row r="264">
      <c r="B264" s="340">
        <v>264.0</v>
      </c>
      <c r="C264" s="341" t="str">
        <f>IFERROR(__xludf.DUMMYFUNCTION("""COMPUTED_VALUE"""),"Trần Tùng Dương - 20226033 - tungduong123q@gmail.com")</f>
        <v>Trần Tùng Dương - 20226033 - tungduong123q@gmail.com</v>
      </c>
      <c r="G264" s="341" t="str">
        <f>IFERROR(__xludf.DUMMYFUNCTION("REGEXEXTRACT(C264, ""\d{8}"")"),"20226033")</f>
        <v>20226033</v>
      </c>
      <c r="H264" s="341" t="s">
        <v>268</v>
      </c>
      <c r="I264" s="341">
        <v>1.0</v>
      </c>
      <c r="Q264" s="341" t="s">
        <v>4051</v>
      </c>
    </row>
    <row r="265">
      <c r="B265" s="340">
        <v>265.0</v>
      </c>
      <c r="C265" s="341" t="str">
        <f>IFERROR(__xludf.DUMMYFUNCTION("""COMPUTED_VALUE"""),"Hoàng Trung Hiếu - 20226039 - hieuhieuhieu12@gmail.com")</f>
        <v>Hoàng Trung Hiếu - 20226039 - hieuhieuhieu12@gmail.com</v>
      </c>
      <c r="G265" s="341" t="str">
        <f>IFERROR(__xludf.DUMMYFUNCTION("REGEXEXTRACT(C265, ""\d{8}"")"),"20226039")</f>
        <v>20226039</v>
      </c>
      <c r="H265" s="341" t="s">
        <v>269</v>
      </c>
      <c r="I265" s="341">
        <v>1.0</v>
      </c>
      <c r="Q265" s="341" t="s">
        <v>4051</v>
      </c>
    </row>
    <row r="266">
      <c r="B266" s="340">
        <v>266.0</v>
      </c>
      <c r="C266" s="341" t="str">
        <f>IFERROR(__xludf.DUMMYFUNCTION("""COMPUTED_VALUE"""),"Ngô Minh Đức - 20226028 - nmductzz@gmail.com")</f>
        <v>Ngô Minh Đức - 20226028 - nmductzz@gmail.com</v>
      </c>
      <c r="G266" s="341" t="str">
        <f>IFERROR(__xludf.DUMMYFUNCTION("REGEXEXTRACT(C266, ""\d{8}"")"),"20226028")</f>
        <v>20226028</v>
      </c>
      <c r="H266" s="341" t="s">
        <v>270</v>
      </c>
      <c r="I266" s="341">
        <v>1.0</v>
      </c>
      <c r="Q266" s="341" t="s">
        <v>4051</v>
      </c>
    </row>
    <row r="267">
      <c r="B267" s="340">
        <v>267.0</v>
      </c>
      <c r="C267" s="341" t="str">
        <f>IFERROR(__xludf.DUMMYFUNCTION("""COMPUTED_VALUE"""),"Nguyễn Huy Hoàng - 20226041 - nhhoang12122004@gmail.com")</f>
        <v>Nguyễn Huy Hoàng - 20226041 - nhhoang12122004@gmail.com</v>
      </c>
      <c r="G267" s="341" t="str">
        <f>IFERROR(__xludf.DUMMYFUNCTION("REGEXEXTRACT(C267, ""\d{8}"")"),"20226041")</f>
        <v>20226041</v>
      </c>
      <c r="H267" s="341" t="s">
        <v>271</v>
      </c>
      <c r="I267" s="341">
        <v>1.0</v>
      </c>
      <c r="Q267" s="341" t="s">
        <v>4051</v>
      </c>
    </row>
    <row r="268">
      <c r="B268" s="340">
        <v>268.0</v>
      </c>
      <c r="C268" s="341" t="str">
        <f>IFERROR(__xludf.DUMMYFUNCTION("""COMPUTED_VALUE"""),"Nguyễn Hữu Nam Hòa - 20226040 - nguyenhuunamhoa2004@gmail.com")</f>
        <v>Nguyễn Hữu Nam Hòa - 20226040 - nguyenhuunamhoa2004@gmail.com</v>
      </c>
      <c r="G268" s="341" t="str">
        <f>IFERROR(__xludf.DUMMYFUNCTION("REGEXEXTRACT(C268, ""\d{8}"")"),"20226040")</f>
        <v>20226040</v>
      </c>
      <c r="H268" s="341" t="s">
        <v>272</v>
      </c>
      <c r="I268" s="341">
        <v>1.0</v>
      </c>
      <c r="Q268" s="341" t="s">
        <v>4051</v>
      </c>
    </row>
    <row r="269">
      <c r="B269" s="340">
        <v>269.0</v>
      </c>
      <c r="C269" s="341" t="str">
        <f>IFERROR(__xludf.DUMMYFUNCTION("""COMPUTED_VALUE"""),"Nguyễn Việt Anh - 20226012 - anh.tv226012@sis.hust.edu.vn")</f>
        <v>Nguyễn Việt Anh - 20226012 - anh.tv226012@sis.hust.edu.vn</v>
      </c>
      <c r="G269" s="341" t="str">
        <f>IFERROR(__xludf.DUMMYFUNCTION("REGEXEXTRACT(C269, ""\d{8}"")"),"20226012")</f>
        <v>20226012</v>
      </c>
      <c r="H269" s="341" t="s">
        <v>273</v>
      </c>
      <c r="I269" s="341">
        <v>1.0</v>
      </c>
      <c r="Q269" s="341" t="s">
        <v>4051</v>
      </c>
    </row>
    <row r="270">
      <c r="B270" s="340">
        <v>270.0</v>
      </c>
      <c r="C270" s="341" t="str">
        <f>IFERROR(__xludf.DUMMYFUNCTION("""COMPUTED_VALUE"""),"Nguyễn Đình An - 20226007 - an.nd226007@sis.hust.edu.vn")</f>
        <v>Nguyễn Đình An - 20226007 - an.nd226007@sis.hust.edu.vn</v>
      </c>
      <c r="G270" s="341" t="str">
        <f>IFERROR(__xludf.DUMMYFUNCTION("REGEXEXTRACT(C270, ""\d{8}"")"),"20226007")</f>
        <v>20226007</v>
      </c>
      <c r="H270" s="341" t="s">
        <v>274</v>
      </c>
      <c r="I270" s="341">
        <v>1.0</v>
      </c>
      <c r="Q270" s="341" t="s">
        <v>4051</v>
      </c>
    </row>
    <row r="271">
      <c r="B271" s="340">
        <v>271.0</v>
      </c>
      <c r="C271" s="341" t="str">
        <f>IFERROR(__xludf.DUMMYFUNCTION("""COMPUTED_VALUE"""),"Lê Hoàng Huy - 20225976 - 13charlottekatakuri@gmail.com")</f>
        <v>Lê Hoàng Huy - 20225976 - 13charlottekatakuri@gmail.com</v>
      </c>
      <c r="G271" s="341" t="str">
        <f>IFERROR(__xludf.DUMMYFUNCTION("REGEXEXTRACT(C271, ""\d{8}"")"),"20225976")</f>
        <v>20225976</v>
      </c>
      <c r="H271" s="341" t="s">
        <v>275</v>
      </c>
      <c r="I271" s="341">
        <v>1.0</v>
      </c>
      <c r="Q271" s="341" t="s">
        <v>4051</v>
      </c>
    </row>
    <row r="272">
      <c r="B272" s="340">
        <v>272.0</v>
      </c>
      <c r="C272" s="341" t="str">
        <f>IFERROR(__xludf.DUMMYFUNCTION("""COMPUTED_VALUE"""),"Dương Hải Anh - 20224915-iamdha0706@gmail.com")</f>
        <v>Dương Hải Anh - 20224915-iamdha0706@gmail.com</v>
      </c>
      <c r="G272" s="341" t="str">
        <f>IFERROR(__xludf.DUMMYFUNCTION("REGEXEXTRACT(C272, ""\d{8}"")"),"20224915")</f>
        <v>20224915</v>
      </c>
      <c r="H272" s="341" t="s">
        <v>368</v>
      </c>
      <c r="I272" s="341">
        <v>1.0</v>
      </c>
      <c r="Q272" s="341" t="s">
        <v>4051</v>
      </c>
    </row>
    <row r="273">
      <c r="B273" s="340">
        <v>273.0</v>
      </c>
      <c r="C273" s="341" t="str">
        <f>IFERROR(__xludf.DUMMYFUNCTION("""COMPUTED_VALUE"""),"Đặng Đình Khải - 20224863-oingucoolname@gmail.com")</f>
        <v>Đặng Đình Khải - 20224863-oingucoolname@gmail.com</v>
      </c>
      <c r="G273" s="341" t="str">
        <f>IFERROR(__xludf.DUMMYFUNCTION("REGEXEXTRACT(C273, ""\d{8}"")"),"20224863")</f>
        <v>20224863</v>
      </c>
      <c r="H273" s="341" t="s">
        <v>369</v>
      </c>
      <c r="I273" s="341">
        <v>1.0</v>
      </c>
      <c r="Q273" s="341" t="s">
        <v>4051</v>
      </c>
    </row>
    <row r="274">
      <c r="B274" s="340">
        <v>274.0</v>
      </c>
      <c r="C274" s="341" t="str">
        <f>IFERROR(__xludf.DUMMYFUNCTION("""COMPUTED_VALUE"""),"Trần Khắc Hồng Đức - 20224835-ductrant1k29@gmail.com")</f>
        <v>Trần Khắc Hồng Đức - 20224835-ductrant1k29@gmail.com</v>
      </c>
      <c r="G274" s="341" t="str">
        <f>IFERROR(__xludf.DUMMYFUNCTION("REGEXEXTRACT(C274, ""\d{8}"")"),"20224835")</f>
        <v>20224835</v>
      </c>
      <c r="H274" s="341" t="s">
        <v>370</v>
      </c>
      <c r="I274" s="341">
        <v>1.0</v>
      </c>
      <c r="Q274" s="341" t="s">
        <v>4051</v>
      </c>
    </row>
    <row r="275">
      <c r="B275" s="340">
        <v>275.0</v>
      </c>
      <c r="C275" s="341" t="str">
        <f>IFERROR(__xludf.DUMMYFUNCTION("""COMPUTED_VALUE"""),"Nguyễn Phi Cường Mạnh - 20224875-npcm752004t2k29@gmail.com")</f>
        <v>Nguyễn Phi Cường Mạnh - 20224875-npcm752004t2k29@gmail.com</v>
      </c>
      <c r="G275" s="341" t="str">
        <f>IFERROR(__xludf.DUMMYFUNCTION("REGEXEXTRACT(C275, ""\d{8}"")"),"20224875")</f>
        <v>20224875</v>
      </c>
      <c r="H275" s="341" t="s">
        <v>371</v>
      </c>
      <c r="I275" s="341">
        <v>1.0</v>
      </c>
      <c r="Q275" s="341" t="s">
        <v>4051</v>
      </c>
    </row>
    <row r="276">
      <c r="B276" s="340">
        <v>276.0</v>
      </c>
      <c r="C276" s="341" t="str">
        <f>IFERROR(__xludf.DUMMYFUNCTION("""COMPUTED_VALUE"""),"Nguyễn Văn An -20220013- an.nv220013@sis.hust.edu.vn")</f>
        <v>Nguyễn Văn An -20220013- an.nv220013@sis.hust.edu.vn</v>
      </c>
      <c r="G276" s="341" t="str">
        <f>IFERROR(__xludf.DUMMYFUNCTION("REGEXEXTRACT(C276, ""\d{8}"")"),"20220013")</f>
        <v>20220013</v>
      </c>
      <c r="H276" s="341" t="s">
        <v>278</v>
      </c>
      <c r="I276" s="341">
        <v>1.0</v>
      </c>
      <c r="Q276" s="341" t="s">
        <v>4051</v>
      </c>
    </row>
    <row r="277">
      <c r="B277" s="340">
        <v>277.0</v>
      </c>
      <c r="C277" s="341" t="str">
        <f>IFERROR(__xludf.DUMMYFUNCTION("""COMPUTED_VALUE"""),"Nguyễn Hồng Đăng - 20220025 - dang.nh220025@sis.hust.edu.vn")</f>
        <v>Nguyễn Hồng Đăng - 20220025 - dang.nh220025@sis.hust.edu.vn</v>
      </c>
      <c r="G277" s="341" t="str">
        <f>IFERROR(__xludf.DUMMYFUNCTION("REGEXEXTRACT(C277, ""\d{8}"")"),"20220025")</f>
        <v>20220025</v>
      </c>
      <c r="H277" s="341" t="s">
        <v>279</v>
      </c>
      <c r="I277" s="341">
        <v>1.0</v>
      </c>
      <c r="Q277" s="341" t="s">
        <v>4051</v>
      </c>
    </row>
    <row r="278">
      <c r="B278" s="340">
        <v>278.0</v>
      </c>
      <c r="C278" s="341" t="str">
        <f>IFERROR(__xludf.DUMMYFUNCTION("""COMPUTED_VALUE"""),"Văn Đức Cường - 20220021- cuong.vd220021@sis.hust.edu.vn")</f>
        <v>Văn Đức Cường - 20220021- cuong.vd220021@sis.hust.edu.vn</v>
      </c>
      <c r="G278" s="341" t="str">
        <f>IFERROR(__xludf.DUMMYFUNCTION("REGEXEXTRACT(C278, ""\d{8}"")"),"20220021")</f>
        <v>20220021</v>
      </c>
      <c r="H278" s="341" t="s">
        <v>280</v>
      </c>
      <c r="I278" s="341">
        <v>1.0</v>
      </c>
      <c r="Q278" s="341" t="s">
        <v>4051</v>
      </c>
    </row>
    <row r="279">
      <c r="B279" s="340">
        <v>279.0</v>
      </c>
      <c r="C279" s="341" t="str">
        <f>IFERROR(__xludf.DUMMYFUNCTION("""COMPUTED_VALUE"""),"Nguyễn Thị Hà Chi-20220016- chi.nth220016@sis.hust.edu.vn")</f>
        <v>Nguyễn Thị Hà Chi-20220016- chi.nth220016@sis.hust.edu.vn</v>
      </c>
      <c r="G279" s="341" t="str">
        <f>IFERROR(__xludf.DUMMYFUNCTION("REGEXEXTRACT(C279, ""\d{8}"")"),"20220016")</f>
        <v>20220016</v>
      </c>
      <c r="H279" s="341" t="s">
        <v>281</v>
      </c>
      <c r="I279" s="341">
        <v>1.0</v>
      </c>
      <c r="Q279" s="341" t="s">
        <v>4051</v>
      </c>
    </row>
    <row r="280">
      <c r="B280" s="340">
        <v>280.0</v>
      </c>
      <c r="C280" s="341" t="str">
        <f>IFERROR(__xludf.DUMMYFUNCTION("""COMPUTED_VALUE"""),"Hà Minh Hiếu - 20220026 - haminhhieu1005@gmail.com")</f>
        <v>Hà Minh Hiếu - 20220026 - haminhhieu1005@gmail.com</v>
      </c>
      <c r="G280" s="341" t="str">
        <f>IFERROR(__xludf.DUMMYFUNCTION("REGEXEXTRACT(C280, ""\d{8}"")"),"20220026")</f>
        <v>20220026</v>
      </c>
      <c r="H280" s="341" t="s">
        <v>282</v>
      </c>
      <c r="I280" s="341">
        <v>1.0</v>
      </c>
      <c r="Q280" s="341" t="s">
        <v>4051</v>
      </c>
    </row>
    <row r="281">
      <c r="B281" s="340">
        <v>281.0</v>
      </c>
      <c r="C281" s="341" t="str">
        <f>IFERROR(__xludf.DUMMYFUNCTION("""COMPUTED_VALUE"""),"Trương Xuân Thông -20220044- thong.tx220044@sis.hust.edu.vn")</f>
        <v>Trương Xuân Thông -20220044- thong.tx220044@sis.hust.edu.vn</v>
      </c>
      <c r="G281" s="341" t="str">
        <f>IFERROR(__xludf.DUMMYFUNCTION("REGEXEXTRACT(C281, ""\d{8}"")"),"20220044")</f>
        <v>20220044</v>
      </c>
      <c r="H281" s="341" t="s">
        <v>283</v>
      </c>
      <c r="I281" s="341">
        <v>1.0</v>
      </c>
      <c r="Q281" s="341" t="s">
        <v>4051</v>
      </c>
    </row>
    <row r="282">
      <c r="B282" s="340">
        <v>282.0</v>
      </c>
      <c r="C282" s="341" t="str">
        <f>IFERROR(__xludf.DUMMYFUNCTION("""COMPUTED_VALUE"""),"Đoàn Duy Tùng - 20224906- tung.dd224906@sis.hust.edu.vn")</f>
        <v>Đoàn Duy Tùng - 20224906- tung.dd224906@sis.hust.edu.vn</v>
      </c>
      <c r="G282" s="341" t="str">
        <f>IFERROR(__xludf.DUMMYFUNCTION("REGEXEXTRACT(C282, ""\d{8}"")"),"20224906")</f>
        <v>20224906</v>
      </c>
      <c r="H282" s="341" t="s">
        <v>284</v>
      </c>
      <c r="I282" s="341">
        <v>1.0</v>
      </c>
      <c r="Q282" s="341" t="s">
        <v>4051</v>
      </c>
    </row>
    <row r="283">
      <c r="B283" s="340">
        <v>283.0</v>
      </c>
      <c r="C283" s="341" t="str">
        <f>IFERROR(__xludf.DUMMYFUNCTION("""COMPUTED_VALUE"""),"Trần Đức Chính - 20224935 - chinhtran2004@gmail.com")</f>
        <v>Trần Đức Chính - 20224935 - chinhtran2004@gmail.com</v>
      </c>
      <c r="G283" s="341" t="str">
        <f>IFERROR(__xludf.DUMMYFUNCTION("REGEXEXTRACT(C283, ""\d{8}"")"),"20224935")</f>
        <v>20224935</v>
      </c>
      <c r="H283" s="114">
        <v>2.0224936E7</v>
      </c>
      <c r="I283" s="341">
        <v>1.0</v>
      </c>
      <c r="Q283" s="341" t="s">
        <v>4051</v>
      </c>
    </row>
    <row r="284">
      <c r="B284" s="340">
        <v>284.0</v>
      </c>
      <c r="C284" s="341" t="str">
        <f>IFERROR(__xludf.DUMMYFUNCTION("""COMPUTED_VALUE"""),"Nguyễn Hữu Kiên - 20225024 - nkien6827@gmail.com")</f>
        <v>Nguyễn Hữu Kiên - 20225024 - nkien6827@gmail.com</v>
      </c>
      <c r="G284" s="341" t="str">
        <f>IFERROR(__xludf.DUMMYFUNCTION("REGEXEXTRACT(C284, ""\d{8}"")"),"20225024")</f>
        <v>20225024</v>
      </c>
      <c r="H284" s="341" t="s">
        <v>474</v>
      </c>
      <c r="I284" s="341">
        <v>1.0</v>
      </c>
      <c r="Q284" s="341" t="s">
        <v>4051</v>
      </c>
    </row>
    <row r="285">
      <c r="B285" s="340">
        <v>285.0</v>
      </c>
      <c r="C285" s="341" t="str">
        <f>IFERROR(__xludf.DUMMYFUNCTION("""COMPUTED_VALUE"""),"Kha Minh Bảo - 20210098 - Khaminhbao17082003@gmail.com")</f>
        <v>Kha Minh Bảo - 20210098 - Khaminhbao17082003@gmail.com</v>
      </c>
      <c r="G285" s="341" t="str">
        <f>IFERROR(__xludf.DUMMYFUNCTION("REGEXEXTRACT(C285, ""\d{8}"")"),"20210098")</f>
        <v>20210098</v>
      </c>
      <c r="H285" s="341" t="s">
        <v>475</v>
      </c>
      <c r="I285" s="341">
        <v>1.0</v>
      </c>
      <c r="Q285" s="341" t="s">
        <v>4051</v>
      </c>
    </row>
    <row r="286">
      <c r="B286" s="340">
        <v>286.0</v>
      </c>
      <c r="C286" s="341" t="str">
        <f>IFERROR(__xludf.DUMMYFUNCTION("""COMPUTED_VALUE"""),"1. Lê Thị Quỳnh - 20225917 - quynh.lt225917@sis.hust.edu.vn")</f>
        <v>1. Lê Thị Quỳnh - 20225917 - quynh.lt225917@sis.hust.edu.vn</v>
      </c>
      <c r="G286" s="341" t="str">
        <f>IFERROR(__xludf.DUMMYFUNCTION("REGEXEXTRACT(C286, ""\d{8}"")"),"20225917")</f>
        <v>20225917</v>
      </c>
      <c r="H286" s="341" t="s">
        <v>486</v>
      </c>
      <c r="I286" s="341">
        <v>1.0</v>
      </c>
      <c r="Q286" s="341" t="s">
        <v>4051</v>
      </c>
    </row>
    <row r="287">
      <c r="B287" s="340">
        <v>287.0</v>
      </c>
      <c r="C287" s="341" t="str">
        <f>IFERROR(__xludf.DUMMYFUNCTION("""COMPUTED_VALUE"""),"2. Vũ Ngọc Đức - 20225816 - duc.vn225816@sis.hust.edu.vn")</f>
        <v>2. Vũ Ngọc Đức - 20225816 - duc.vn225816@sis.hust.edu.vn</v>
      </c>
      <c r="G287" s="341" t="str">
        <f>IFERROR(__xludf.DUMMYFUNCTION("REGEXEXTRACT(C287, ""\d{8}"")"),"20225816")</f>
        <v>20225816</v>
      </c>
      <c r="H287" s="341" t="s">
        <v>487</v>
      </c>
      <c r="I287" s="341">
        <v>1.0</v>
      </c>
      <c r="Q287" s="341" t="s">
        <v>4051</v>
      </c>
    </row>
    <row r="288">
      <c r="B288" s="340">
        <v>288.0</v>
      </c>
      <c r="C288" s="341" t="str">
        <f>IFERROR(__xludf.DUMMYFUNCTION("""COMPUTED_VALUE"""),"3. Phạm Duy Đông - 20225608 - dong.pd225608@sis.hust.edu.vn")</f>
        <v>3. Phạm Duy Đông - 20225608 - dong.pd225608@sis.hust.edu.vn</v>
      </c>
      <c r="G288" s="341" t="str">
        <f>IFERROR(__xludf.DUMMYFUNCTION("REGEXEXTRACT(C288, ""\d{8}"")"),"20225608")</f>
        <v>20225608</v>
      </c>
      <c r="H288" s="341" t="s">
        <v>488</v>
      </c>
      <c r="I288" s="341">
        <v>1.0</v>
      </c>
      <c r="Q288" s="341" t="s">
        <v>4051</v>
      </c>
    </row>
    <row r="289">
      <c r="B289" s="340">
        <v>289.0</v>
      </c>
      <c r="C289" s="341" t="str">
        <f>IFERROR(__xludf.DUMMYFUNCTION("""COMPUTED_VALUE"""),"4. Đoàn Nhật Quang - 20225911 - quang.dn225911@sis.hust.edu.vn")</f>
        <v>4. Đoàn Nhật Quang - 20225911 - quang.dn225911@sis.hust.edu.vn</v>
      </c>
      <c r="G289" s="341" t="str">
        <f>IFERROR(__xludf.DUMMYFUNCTION("REGEXEXTRACT(C289, ""\d{8}"")"),"20225911")</f>
        <v>20225911</v>
      </c>
      <c r="H289" s="341" t="s">
        <v>489</v>
      </c>
      <c r="I289" s="341">
        <v>1.0</v>
      </c>
      <c r="Q289" s="341" t="s">
        <v>4051</v>
      </c>
    </row>
    <row r="290">
      <c r="B290" s="340">
        <v>290.0</v>
      </c>
      <c r="C290" s="341" t="str">
        <f>IFERROR(__xludf.DUMMYFUNCTION("""COMPUTED_VALUE"""),"5. Đặng Hải Anh - 20225688 - anh.dh225688@sis.hust.edu.vn")</f>
        <v>5. Đặng Hải Anh - 20225688 - anh.dh225688@sis.hust.edu.vn</v>
      </c>
      <c r="G290" s="341" t="str">
        <f>IFERROR(__xludf.DUMMYFUNCTION("REGEXEXTRACT(C290, ""\d{8}"")"),"20225688")</f>
        <v>20225688</v>
      </c>
      <c r="H290" s="341" t="s">
        <v>490</v>
      </c>
      <c r="I290" s="341">
        <v>1.0</v>
      </c>
      <c r="Q290" s="341" t="s">
        <v>4051</v>
      </c>
    </row>
    <row r="291">
      <c r="B291" s="340">
        <v>291.0</v>
      </c>
      <c r="C291" s="341" t="str">
        <f>IFERROR(__xludf.DUMMYFUNCTION("""COMPUTED_VALUE"""),"6. Trần Xuân Tú - 20225677 - tu.tx225677@sis.hust.edu.vn")</f>
        <v>6. Trần Xuân Tú - 20225677 - tu.tx225677@sis.hust.edu.vn</v>
      </c>
      <c r="G291" s="341" t="str">
        <f>IFERROR(__xludf.DUMMYFUNCTION("REGEXEXTRACT(C291, ""\d{8}"")"),"20225677")</f>
        <v>20225677</v>
      </c>
      <c r="H291" s="341" t="s">
        <v>491</v>
      </c>
      <c r="I291" s="341">
        <v>1.0</v>
      </c>
      <c r="Q291" s="341" t="s">
        <v>4051</v>
      </c>
    </row>
    <row r="292">
      <c r="B292" s="340">
        <v>292.0</v>
      </c>
      <c r="C292" s="341" t="str">
        <f>IFERROR(__xludf.DUMMYFUNCTION("""COMPUTED_VALUE"""),"Phạm Quốc Khánh - 20225345- khanh.pq225345@sis.hust.edu.vn")</f>
        <v>Phạm Quốc Khánh - 20225345- khanh.pq225345@sis.hust.edu.vn</v>
      </c>
      <c r="G292" s="341" t="str">
        <f>IFERROR(__xludf.DUMMYFUNCTION("REGEXEXTRACT(C292, ""\d{8}"")"),"20225345")</f>
        <v>20225345</v>
      </c>
      <c r="H292" s="341" t="s">
        <v>506</v>
      </c>
      <c r="I292" s="341">
        <v>1.0</v>
      </c>
      <c r="Q292" s="341" t="s">
        <v>4051</v>
      </c>
    </row>
    <row r="293">
      <c r="B293" s="340">
        <v>293.0</v>
      </c>
      <c r="C293" s="341" t="str">
        <f>IFERROR(__xludf.DUMMYFUNCTION("""COMPUTED_VALUE"""),"Nguyễn Tuấn Đạt - 20225278-dat.nt225278@sis.hust.edu.vn")</f>
        <v>Nguyễn Tuấn Đạt - 20225278-dat.nt225278@sis.hust.edu.vn</v>
      </c>
      <c r="G293" s="341" t="str">
        <f>IFERROR(__xludf.DUMMYFUNCTION("REGEXEXTRACT(C293, ""\d{8}"")"),"20225278")</f>
        <v>20225278</v>
      </c>
      <c r="H293" s="341" t="s">
        <v>507</v>
      </c>
      <c r="I293" s="341">
        <v>1.0</v>
      </c>
      <c r="Q293" s="341" t="s">
        <v>4051</v>
      </c>
    </row>
    <row r="294">
      <c r="B294" s="340">
        <v>294.0</v>
      </c>
      <c r="C294" s="341" t="str">
        <f>IFERROR(__xludf.DUMMYFUNCTION("""COMPUTED_VALUE"""),"Ngô Hùng Phúc - 20225376- phuc.nh225376@sis.hust.edu.vn")</f>
        <v>Ngô Hùng Phúc - 20225376- phuc.nh225376@sis.hust.edu.vn</v>
      </c>
      <c r="G294" s="341" t="str">
        <f>IFERROR(__xludf.DUMMYFUNCTION("REGEXEXTRACT(C294, ""\d{8}"")"),"20225376")</f>
        <v>20225376</v>
      </c>
      <c r="H294" s="341" t="s">
        <v>508</v>
      </c>
      <c r="I294" s="341">
        <v>1.0</v>
      </c>
      <c r="Q294" s="341" t="s">
        <v>4051</v>
      </c>
    </row>
    <row r="295">
      <c r="B295" s="340">
        <v>295.0</v>
      </c>
      <c r="C295" s="341" t="str">
        <f>IFERROR(__xludf.DUMMYFUNCTION("""COMPUTED_VALUE"""),"Nguyễn Văn Việt - 20225237- viet.nv225237@sis.hust.edu.vn")</f>
        <v>Nguyễn Văn Việt - 20225237- viet.nv225237@sis.hust.edu.vn</v>
      </c>
      <c r="G295" s="341" t="str">
        <f>IFERROR(__xludf.DUMMYFUNCTION("REGEXEXTRACT(C295, ""\d{8}"")"),"20225237")</f>
        <v>20225237</v>
      </c>
      <c r="H295" s="341" t="s">
        <v>509</v>
      </c>
      <c r="I295" s="341">
        <v>1.0</v>
      </c>
      <c r="Q295" s="341" t="s">
        <v>4051</v>
      </c>
    </row>
    <row r="296">
      <c r="B296" s="340">
        <v>296.0</v>
      </c>
      <c r="C296" s="341" t="str">
        <f>IFERROR(__xludf.DUMMYFUNCTION("""COMPUTED_VALUE"""),"Hà Huy Dương - 20225183 - duong.hh225183@sis.hust.edu.vn")</f>
        <v>Hà Huy Dương - 20225183 - duong.hh225183@sis.hust.edu.vn</v>
      </c>
      <c r="G296" s="341" t="str">
        <f>IFERROR(__xludf.DUMMYFUNCTION("REGEXEXTRACT(C296, ""\d{8}"")"),"20225183")</f>
        <v>20225183</v>
      </c>
      <c r="H296" s="341" t="s">
        <v>510</v>
      </c>
      <c r="I296" s="341">
        <v>1.0</v>
      </c>
      <c r="Q296" s="341" t="s">
        <v>4051</v>
      </c>
    </row>
    <row r="297">
      <c r="B297" s="340">
        <v>297.0</v>
      </c>
      <c r="C297" s="341" t="str">
        <f>IFERROR(__xludf.DUMMYFUNCTION("""COMPUTED_VALUE"""),"Cao Văn Bảo - 20225166 - bao.cv225166@sis.hust.edu.vn")</f>
        <v>Cao Văn Bảo - 20225166 - bao.cv225166@sis.hust.edu.vn</v>
      </c>
      <c r="G297" s="341" t="str">
        <f>IFERROR(__xludf.DUMMYFUNCTION("REGEXEXTRACT(C297, ""\d{8}"")"),"20225166")</f>
        <v>20225166</v>
      </c>
      <c r="H297" s="341" t="s">
        <v>511</v>
      </c>
      <c r="I297" s="341">
        <v>1.0</v>
      </c>
      <c r="Q297" s="341" t="s">
        <v>4051</v>
      </c>
    </row>
    <row r="298">
      <c r="B298" s="340">
        <v>298.0</v>
      </c>
      <c r="C298" s="341" t="str">
        <f>IFERROR(__xludf.DUMMYFUNCTION("""COMPUTED_VALUE"""),"Bùi Chí Thức - 20225230 - thuc.bc225230@sis.hust.edu.vn")</f>
        <v>Bùi Chí Thức - 20225230 - thuc.bc225230@sis.hust.edu.vn</v>
      </c>
      <c r="G298" s="341" t="str">
        <f>IFERROR(__xludf.DUMMYFUNCTION("REGEXEXTRACT(C298, ""\d{8}"")"),"20225230")</f>
        <v>20225230</v>
      </c>
      <c r="H298" s="341" t="s">
        <v>512</v>
      </c>
      <c r="I298" s="341">
        <v>1.0</v>
      </c>
      <c r="Q298" s="341" t="s">
        <v>4051</v>
      </c>
    </row>
    <row r="299">
      <c r="B299" s="340">
        <v>299.0</v>
      </c>
      <c r="C299" s="341" t="str">
        <f>IFERROR(__xludf.DUMMYFUNCTION("""COMPUTED_VALUE"""),"Đỗ Sơn Tùng - 20225425-tung.ds225425@sis.hust.edu.vn")</f>
        <v>Đỗ Sơn Tùng - 20225425-tung.ds225425@sis.hust.edu.vn</v>
      </c>
      <c r="G299" s="341" t="str">
        <f>IFERROR(__xludf.DUMMYFUNCTION("REGEXEXTRACT(C299, ""\d{8}"")"),"20225425")</f>
        <v>20225425</v>
      </c>
      <c r="H299" s="341" t="s">
        <v>513</v>
      </c>
      <c r="I299" s="341">
        <v>1.0</v>
      </c>
      <c r="Q299" s="341" t="s">
        <v>4051</v>
      </c>
    </row>
    <row r="300">
      <c r="B300" s="340">
        <v>300.0</v>
      </c>
      <c r="C300" s="341" t="str">
        <f>IFERROR(__xludf.DUMMYFUNCTION("""COMPUTED_VALUE"""),"Hoàng Đức Khải - 20225341-khai.hd225341@sis.hust.edu.vn")</f>
        <v>Hoàng Đức Khải - 20225341-khai.hd225341@sis.hust.edu.vn</v>
      </c>
      <c r="G300" s="341" t="str">
        <f>IFERROR(__xludf.DUMMYFUNCTION("REGEXEXTRACT(C300, ""\d{8}"")"),"20225341")</f>
        <v>20225341</v>
      </c>
      <c r="H300" s="341" t="s">
        <v>514</v>
      </c>
      <c r="I300" s="341">
        <v>1.0</v>
      </c>
      <c r="Q300" s="341" t="s">
        <v>4051</v>
      </c>
    </row>
    <row r="301">
      <c r="B301" s="340">
        <v>301.0</v>
      </c>
      <c r="C301" s="341" t="str">
        <f>IFERROR(__xludf.DUMMYFUNCTION("""COMPUTED_VALUE"""),"Ngô Minh Quân - 20225383-quan.m225383@sis.hust.edu.vn")</f>
        <v>Ngô Minh Quân - 20225383-quan.m225383@sis.hust.edu.vn</v>
      </c>
      <c r="G301" s="341" t="str">
        <f>IFERROR(__xludf.DUMMYFUNCTION("REGEXEXTRACT(C301, ""\d{8}"")"),"20225383")</f>
        <v>20225383</v>
      </c>
      <c r="H301" s="341" t="s">
        <v>515</v>
      </c>
      <c r="I301" s="341">
        <v>1.0</v>
      </c>
      <c r="Q301" s="341" t="s">
        <v>4051</v>
      </c>
    </row>
    <row r="302">
      <c r="B302" s="340">
        <v>302.0</v>
      </c>
      <c r="C302" s="341" t="str">
        <f>IFERROR(__xludf.DUMMYFUNCTION("""COMPUTED_VALUE"""),"Phan Hà Quyên - 20225224 - quyenphanhaaoy@gmail.com")</f>
        <v>Phan Hà Quyên - 20225224 - quyenphanhaaoy@gmail.com</v>
      </c>
      <c r="G302" s="341" t="str">
        <f>IFERROR(__xludf.DUMMYFUNCTION("REGEXEXTRACT(C302, ""\d{8}"")"),"20225224")</f>
        <v>20225224</v>
      </c>
      <c r="H302" s="341" t="s">
        <v>516</v>
      </c>
      <c r="I302" s="341">
        <v>1.0</v>
      </c>
      <c r="Q302" s="341" t="s">
        <v>4051</v>
      </c>
    </row>
    <row r="303">
      <c r="B303" s="340">
        <v>303.0</v>
      </c>
      <c r="C303" s="341" t="str">
        <f>IFERROR(__xludf.DUMMYFUNCTION("""COMPUTED_VALUE"""),"Nguyễn Minh Ngọc - 20225057 - ngocminhgb123@gmail.com")</f>
        <v>Nguyễn Minh Ngọc - 20225057 - ngocminhgb123@gmail.com</v>
      </c>
      <c r="G303" s="341" t="str">
        <f>IFERROR(__xludf.DUMMYFUNCTION("REGEXEXTRACT(C303, ""\d{8}"")"),"20225057")</f>
        <v>20225057</v>
      </c>
      <c r="H303" s="341" t="s">
        <v>517</v>
      </c>
      <c r="I303" s="341">
        <v>1.0</v>
      </c>
      <c r="Q303" s="341" t="s">
        <v>4051</v>
      </c>
    </row>
    <row r="304">
      <c r="B304" s="340">
        <v>304.0</v>
      </c>
      <c r="C304" s="341" t="str">
        <f>IFERROR(__xludf.DUMMYFUNCTION("""COMPUTED_VALUE"""),"Nguyễn Huy Mạnh - 20225143 - huymanh19px@gmail.com")</f>
        <v>Nguyễn Huy Mạnh - 20225143 - huymanh19px@gmail.com</v>
      </c>
      <c r="G304" s="341" t="str">
        <f>IFERROR(__xludf.DUMMYFUNCTION("REGEXEXTRACT(C304, ""\d{8}"")"),"20225143")</f>
        <v>20225143</v>
      </c>
      <c r="H304" s="341" t="s">
        <v>518</v>
      </c>
      <c r="I304" s="341">
        <v>1.0</v>
      </c>
      <c r="Q304" s="341" t="s">
        <v>4051</v>
      </c>
    </row>
    <row r="305">
      <c r="B305" s="340">
        <v>305.0</v>
      </c>
      <c r="C305" s="341" t="str">
        <f>IFERROR(__xludf.DUMMYFUNCTION("""COMPUTED_VALUE"""),"Phan Thế Toàn - 20225415 - phantoan3009@gmail.com")</f>
        <v>Phan Thế Toàn - 20225415 - phantoan3009@gmail.com</v>
      </c>
      <c r="G305" s="341" t="str">
        <f>IFERROR(__xludf.DUMMYFUNCTION("REGEXEXTRACT(C305, ""\d{8}"")"),"20225415")</f>
        <v>20225415</v>
      </c>
      <c r="H305" s="341" t="s">
        <v>519</v>
      </c>
      <c r="I305" s="341">
        <v>1.0</v>
      </c>
      <c r="Q305" s="341" t="s">
        <v>4051</v>
      </c>
    </row>
    <row r="306">
      <c r="B306" s="340">
        <v>306.0</v>
      </c>
      <c r="C306" s="341" t="str">
        <f>IFERROR(__xludf.DUMMYFUNCTION("""COMPUTED_VALUE"""),"Phạm Việt Hoà - 20225128 - phamviethoa2416@gmail.com")</f>
        <v>Phạm Việt Hoà - 20225128 - phamviethoa2416@gmail.com</v>
      </c>
      <c r="G306" s="341" t="str">
        <f>IFERROR(__xludf.DUMMYFUNCTION("REGEXEXTRACT(C306, ""\d{8}"")"),"20225128")</f>
        <v>20225128</v>
      </c>
      <c r="H306" s="341" t="s">
        <v>520</v>
      </c>
      <c r="I306" s="341">
        <v>1.0</v>
      </c>
      <c r="Q306" s="341" t="s">
        <v>4051</v>
      </c>
    </row>
    <row r="307">
      <c r="B307" s="340">
        <v>307.0</v>
      </c>
      <c r="C307" s="341" t="str">
        <f>IFERROR(__xludf.DUMMYFUNCTION("""COMPUTED_VALUE"""),"Nguyễn Bùi Đức Anh - 20220070 - anh.nbd220070@sis.hust.edu.vn")</f>
        <v>Nguyễn Bùi Đức Anh - 20220070 - anh.nbd220070@sis.hust.edu.vn</v>
      </c>
      <c r="G307" s="341" t="str">
        <f>IFERROR(__xludf.DUMMYFUNCTION("REGEXEXTRACT(C307, ""\d{8}"")"),"20220070")</f>
        <v>20220070</v>
      </c>
      <c r="H307" s="341" t="s">
        <v>288</v>
      </c>
      <c r="I307" s="341">
        <v>1.0</v>
      </c>
      <c r="Q307" s="341" t="s">
        <v>4051</v>
      </c>
    </row>
    <row r="308">
      <c r="B308" s="340">
        <v>308.0</v>
      </c>
      <c r="C308" s="341" t="str">
        <f>IFERROR(__xludf.DUMMYFUNCTION("""COMPUTED_VALUE"""),"Khuất Thế Anh - 20226008 - anh.kt226008@sis.hust.edu.vn")</f>
        <v>Khuất Thế Anh - 20226008 - anh.kt226008@sis.hust.edu.vn</v>
      </c>
      <c r="G308" s="341" t="str">
        <f>IFERROR(__xludf.DUMMYFUNCTION("REGEXEXTRACT(C308, ""\d{8}"")"),"20226008")</f>
        <v>20226008</v>
      </c>
      <c r="H308" s="341" t="s">
        <v>289</v>
      </c>
      <c r="I308" s="341">
        <v>1.0</v>
      </c>
      <c r="Q308" s="341" t="s">
        <v>4051</v>
      </c>
    </row>
    <row r="309">
      <c r="B309" s="340">
        <v>309.0</v>
      </c>
      <c r="C309" s="341" t="str">
        <f>IFERROR(__xludf.DUMMYFUNCTION("""COMPUTED_VALUE"""),"Nguyễn Đình Phúc - 20226062 - phuc.nd226062@sis.hust.edu.vn")</f>
        <v>Nguyễn Đình Phúc - 20226062 - phuc.nd226062@sis.hust.edu.vn</v>
      </c>
      <c r="G309" s="341" t="str">
        <f>IFERROR(__xludf.DUMMYFUNCTION("REGEXEXTRACT(C309, ""\d{8}"")"),"20226062")</f>
        <v>20226062</v>
      </c>
      <c r="H309" s="341" t="s">
        <v>290</v>
      </c>
      <c r="I309" s="341">
        <v>1.0</v>
      </c>
      <c r="Q309" s="341" t="s">
        <v>4051</v>
      </c>
    </row>
    <row r="310">
      <c r="B310" s="340">
        <v>310.0</v>
      </c>
      <c r="C310" s="341" t="str">
        <f>IFERROR(__xludf.DUMMYFUNCTION("""COMPUTED_VALUE"""),"Nguyễn Trần Ngân Hà - 20225969 - ha.ntn225969@sis.hust.edu.vn")</f>
        <v>Nguyễn Trần Ngân Hà - 20225969 - ha.ntn225969@sis.hust.edu.vn</v>
      </c>
      <c r="G310" s="341" t="str">
        <f>IFERROR(__xludf.DUMMYFUNCTION("REGEXEXTRACT(C310, ""\d{8}"")"),"20225969")</f>
        <v>20225969</v>
      </c>
      <c r="H310" s="341" t="s">
        <v>291</v>
      </c>
      <c r="I310" s="341">
        <v>1.0</v>
      </c>
      <c r="Q310" s="341" t="s">
        <v>4051</v>
      </c>
    </row>
    <row r="311">
      <c r="B311" s="340">
        <v>311.0</v>
      </c>
      <c r="C311" s="341" t="str">
        <f>IFERROR(__xludf.DUMMYFUNCTION("""COMPUTED_VALUE"""),"Trương Linh Duyên - 20225968 - duyen.tl225968@sis.hust.edu.vn")</f>
        <v>Trương Linh Duyên - 20225968 - duyen.tl225968@sis.hust.edu.vn</v>
      </c>
      <c r="G311" s="341" t="str">
        <f>IFERROR(__xludf.DUMMYFUNCTION("REGEXEXTRACT(C311, ""\d{8}"")"),"20225968")</f>
        <v>20225968</v>
      </c>
      <c r="H311" s="341" t="s">
        <v>292</v>
      </c>
      <c r="I311" s="341">
        <v>1.0</v>
      </c>
      <c r="Q311" s="341" t="s">
        <v>4051</v>
      </c>
    </row>
    <row r="312">
      <c r="B312" s="340">
        <v>312.0</v>
      </c>
      <c r="C312" s="341" t="str">
        <f>IFERROR(__xludf.DUMMYFUNCTION("""COMPUTED_VALUE"""),"Vũ Thái Hưng - 20226046 - hung.vt226046@sis.hust.edu.vn")</f>
        <v>Vũ Thái Hưng - 20226046 - hung.vt226046@sis.hust.edu.vn</v>
      </c>
      <c r="G312" s="341" t="str">
        <f>IFERROR(__xludf.DUMMYFUNCTION("REGEXEXTRACT(C312, ""\d{8}"")"),"20226046")</f>
        <v>20226046</v>
      </c>
      <c r="H312" s="341" t="s">
        <v>293</v>
      </c>
      <c r="I312" s="341">
        <v>1.0</v>
      </c>
      <c r="Q312" s="341" t="s">
        <v>4051</v>
      </c>
    </row>
    <row r="313">
      <c r="B313" s="340">
        <v>313.0</v>
      </c>
      <c r="C313" s="341" t="str">
        <f>IFERROR(__xludf.DUMMYFUNCTION("""COMPUTED_VALUE"""),"Trần Anh Khôi - 20225981 - khoi.ta225984@sis.hust.edu.vn")</f>
        <v>Trần Anh Khôi - 20225981 - khoi.ta225984@sis.hust.edu.vn</v>
      </c>
      <c r="G313" s="341" t="str">
        <f>IFERROR(__xludf.DUMMYFUNCTION("REGEXEXTRACT(C313, ""\d{8}"")"),"20225981")</f>
        <v>20225981</v>
      </c>
      <c r="H313" s="341" t="s">
        <v>294</v>
      </c>
      <c r="I313" s="341">
        <v>1.0</v>
      </c>
      <c r="Q313" s="341" t="s">
        <v>4051</v>
      </c>
    </row>
    <row r="314">
      <c r="B314" s="340">
        <v>314.0</v>
      </c>
      <c r="C314" s="341" t="str">
        <f>IFERROR(__xludf.DUMMYFUNCTION("""COMPUTED_VALUE"""),"Hoàng Quốc Hưng - 20226043 - hung.hq226043@sis.hust.edu.vn ")</f>
        <v>Hoàng Quốc Hưng - 20226043 - hung.hq226043@sis.hust.edu.vn </v>
      </c>
      <c r="G314" s="341" t="str">
        <f>IFERROR(__xludf.DUMMYFUNCTION("REGEXEXTRACT(C314, ""\d{8}"")"),"20226043")</f>
        <v>20226043</v>
      </c>
      <c r="H314" s="341" t="s">
        <v>295</v>
      </c>
      <c r="I314" s="341">
        <v>1.0</v>
      </c>
      <c r="Q314" s="341" t="s">
        <v>4051</v>
      </c>
    </row>
    <row r="315">
      <c r="B315" s="340">
        <v>315.0</v>
      </c>
      <c r="C315" s="341" t="str">
        <f>IFERROR(__xludf.DUMMYFUNCTION("""COMPUTED_VALUE"""),"Vương Lê Bình Dương - 20226035 - duong.vlb226035@sis.hust.edu.vn")</f>
        <v>Vương Lê Bình Dương - 20226035 - duong.vlb226035@sis.hust.edu.vn</v>
      </c>
      <c r="G315" s="341" t="str">
        <f>IFERROR(__xludf.DUMMYFUNCTION("REGEXEXTRACT(C315, ""\d{8}"")"),"20226035")</f>
        <v>20226035</v>
      </c>
      <c r="H315" s="341" t="s">
        <v>296</v>
      </c>
      <c r="I315" s="341">
        <v>1.0</v>
      </c>
      <c r="Q315" s="341" t="s">
        <v>4051</v>
      </c>
    </row>
    <row r="316">
      <c r="B316" s="340">
        <v>316.0</v>
      </c>
      <c r="C316" s="341" t="str">
        <f>IFERROR(__xludf.DUMMYFUNCTION("""COMPUTED_VALUE"""),"Nguyễn Việt Phong - 20225901 - phongviet2912@gmail.com")</f>
        <v>Nguyễn Việt Phong - 20225901 - phongviet2912@gmail.com</v>
      </c>
      <c r="G316" s="341" t="str">
        <f>IFERROR(__xludf.DUMMYFUNCTION("REGEXEXTRACT(C316, ""\d{8}"")"),"20225901")</f>
        <v>20225901</v>
      </c>
      <c r="H316" s="341" t="s">
        <v>297</v>
      </c>
      <c r="I316" s="341">
        <v>1.0</v>
      </c>
      <c r="Q316" s="341" t="s">
        <v>4051</v>
      </c>
    </row>
    <row r="317">
      <c r="B317" s="340">
        <v>317.0</v>
      </c>
      <c r="C317" s="341" t="str">
        <f>IFERROR(__xludf.DUMMYFUNCTION("""COMPUTED_VALUE"""),"Đặng Minh Hoàng - 20225719 - minhhoang.working137@gmail.com")</f>
        <v>Đặng Minh Hoàng - 20225719 - minhhoang.working137@gmail.com</v>
      </c>
      <c r="G317" s="341" t="str">
        <f>IFERROR(__xludf.DUMMYFUNCTION("REGEXEXTRACT(C317, ""\d{8}"")"),"20225719")</f>
        <v>20225719</v>
      </c>
      <c r="H317" s="341" t="s">
        <v>298</v>
      </c>
      <c r="I317" s="341">
        <v>1.0</v>
      </c>
      <c r="Q317" s="341" t="s">
        <v>4051</v>
      </c>
    </row>
    <row r="318">
      <c r="B318" s="340">
        <v>318.0</v>
      </c>
      <c r="C318" s="341" t="str">
        <f>IFERROR(__xludf.DUMMYFUNCTION("""COMPUTED_VALUE"""),"Nguyễn Lê Minh - 20225651 - leminhnguyen1924@gmail.com")</f>
        <v>Nguyễn Lê Minh - 20225651 - leminhnguyen1924@gmail.com</v>
      </c>
      <c r="G318" s="341" t="str">
        <f>IFERROR(__xludf.DUMMYFUNCTION("REGEXEXTRACT(C318, ""\d{8}"")"),"20225651")</f>
        <v>20225651</v>
      </c>
      <c r="H318" s="341" t="s">
        <v>299</v>
      </c>
      <c r="I318" s="341">
        <v>1.0</v>
      </c>
      <c r="Q318" s="341" t="s">
        <v>4051</v>
      </c>
    </row>
    <row r="319">
      <c r="B319" s="340">
        <v>319.0</v>
      </c>
      <c r="C319" s="341" t="str">
        <f>IFERROR(__xludf.DUMMYFUNCTION("""COMPUTED_VALUE"""),"Phan Hoàng Hải - 20225715 - hp0876543219@gmail.com")</f>
        <v>Phan Hoàng Hải - 20225715 - hp0876543219@gmail.com</v>
      </c>
      <c r="G319" s="341" t="str">
        <f>IFERROR(__xludf.DUMMYFUNCTION("REGEXEXTRACT(C319, ""\d{8}"")"),"20225715")</f>
        <v>20225715</v>
      </c>
      <c r="H319" s="341" t="s">
        <v>300</v>
      </c>
      <c r="I319" s="341">
        <v>1.0</v>
      </c>
      <c r="Q319" s="341" t="s">
        <v>4051</v>
      </c>
    </row>
    <row r="320">
      <c r="B320" s="340">
        <v>320.0</v>
      </c>
      <c r="C320" s="341" t="str">
        <f>IFERROR(__xludf.DUMMYFUNCTION("""COMPUTED_VALUE"""),"Đặng Phương Nam - 20225892 - namdang4004@gmail.com")</f>
        <v>Đặng Phương Nam - 20225892 - namdang4004@gmail.com</v>
      </c>
      <c r="G320" s="341" t="str">
        <f>IFERROR(__xludf.DUMMYFUNCTION("REGEXEXTRACT(C320, ""\d{8}"")"),"20225892")</f>
        <v>20225892</v>
      </c>
      <c r="H320" s="341" t="s">
        <v>301</v>
      </c>
      <c r="I320" s="341">
        <v>1.0</v>
      </c>
      <c r="Q320" s="341" t="s">
        <v>4051</v>
      </c>
    </row>
    <row r="321">
      <c r="B321" s="340">
        <v>321.0</v>
      </c>
      <c r="C321" s="341" t="str">
        <f>IFERROR(__xludf.DUMMYFUNCTION("""COMPUTED_VALUE"""),"Hoàng Đức Tấn - 20225924 - hoangductan733@gmail.com")</f>
        <v>Hoàng Đức Tấn - 20225924 - hoangductan733@gmail.com</v>
      </c>
      <c r="G321" s="341" t="str">
        <f>IFERROR(__xludf.DUMMYFUNCTION("REGEXEXTRACT(C321, ""\d{8}"")"),"20225924")</f>
        <v>20225924</v>
      </c>
      <c r="H321" s="341" t="s">
        <v>302</v>
      </c>
      <c r="I321" s="341">
        <v>1.0</v>
      </c>
      <c r="Q321" s="341" t="s">
        <v>4051</v>
      </c>
    </row>
    <row r="322">
      <c r="B322" s="340">
        <v>322.0</v>
      </c>
      <c r="C322" s="341" t="str">
        <f>IFERROR(__xludf.DUMMYFUNCTION("""COMPUTED_VALUE"""),"Vũ Như Đức - 20225485 - Duc.VN225485@sis.hust.edu.vn")</f>
        <v>Vũ Như Đức - 20225485 - Duc.VN225485@sis.hust.edu.vn</v>
      </c>
      <c r="G322" s="341" t="str">
        <f>IFERROR(__xludf.DUMMYFUNCTION("REGEXEXTRACT(C322, ""\d{8}"")"),"20225485")</f>
        <v>20225485</v>
      </c>
      <c r="H322" s="341" t="s">
        <v>307</v>
      </c>
      <c r="I322" s="341">
        <v>1.0</v>
      </c>
      <c r="Q322" s="341" t="s">
        <v>4051</v>
      </c>
    </row>
    <row r="323">
      <c r="B323" s="340">
        <v>323.0</v>
      </c>
      <c r="C323" s="341" t="str">
        <f>IFERROR(__xludf.DUMMYFUNCTION("""COMPUTED_VALUE"""),"Bùi Nguyên Khải - 20225501 - Khai.BN225501@sis.hust.edu.vn")</f>
        <v>Bùi Nguyên Khải - 20225501 - Khai.BN225501@sis.hust.edu.vn</v>
      </c>
      <c r="G323" s="341" t="str">
        <f>IFERROR(__xludf.DUMMYFUNCTION("REGEXEXTRACT(C323, ""\d{8}"")"),"20225501")</f>
        <v>20225501</v>
      </c>
      <c r="H323" s="341" t="s">
        <v>308</v>
      </c>
      <c r="I323" s="341">
        <v>1.0</v>
      </c>
      <c r="Q323" s="341" t="s">
        <v>4051</v>
      </c>
    </row>
    <row r="324">
      <c r="B324" s="340">
        <v>324.0</v>
      </c>
      <c r="C324" s="341" t="str">
        <f>IFERROR(__xludf.DUMMYFUNCTION("""COMPUTED_VALUE"""),"Nguyễn Trọng Phương Bách - 20225473 - Bach.NTP225473@sis.hust.edu.vn")</f>
        <v>Nguyễn Trọng Phương Bách - 20225473 - Bach.NTP225473@sis.hust.edu.vn</v>
      </c>
      <c r="G324" s="341" t="str">
        <f>IFERROR(__xludf.DUMMYFUNCTION("REGEXEXTRACT(C324, ""\d{8}"")"),"20225473")</f>
        <v>20225473</v>
      </c>
      <c r="H324" s="341" t="s">
        <v>309</v>
      </c>
      <c r="I324" s="341">
        <v>1.0</v>
      </c>
      <c r="Q324" s="341" t="s">
        <v>4051</v>
      </c>
    </row>
    <row r="325">
      <c r="B325" s="340">
        <v>325.0</v>
      </c>
      <c r="C325" s="341" t="str">
        <f>IFERROR(__xludf.DUMMYFUNCTION("""COMPUTED_VALUE"""),"Trần Ngọc Quang - 20225523 - Quang.TN225523@sis.hust.edu.vn")</f>
        <v>Trần Ngọc Quang - 20225523 - Quang.TN225523@sis.hust.edu.vn</v>
      </c>
      <c r="G325" s="341" t="str">
        <f>IFERROR(__xludf.DUMMYFUNCTION("REGEXEXTRACT(C325, ""\d{8}"")"),"20225523")</f>
        <v>20225523</v>
      </c>
      <c r="H325" s="341" t="s">
        <v>310</v>
      </c>
      <c r="I325" s="341">
        <v>1.0</v>
      </c>
      <c r="Q325" s="341" t="s">
        <v>4051</v>
      </c>
    </row>
    <row r="326">
      <c r="B326" s="340">
        <v>326.0</v>
      </c>
      <c r="C326" s="341" t="str">
        <f>IFERROR(__xludf.DUMMYFUNCTION("""COMPUTED_VALUE"""),"Nguyễn Việt Tiến - 20225533 - Tien.NV225533@sis.hust.edu.vn")</f>
        <v>Nguyễn Việt Tiến - 20225533 - Tien.NV225533@sis.hust.edu.vn</v>
      </c>
      <c r="G326" s="341" t="str">
        <f>IFERROR(__xludf.DUMMYFUNCTION("REGEXEXTRACT(C326, ""\d{8}"")"),"20225533")</f>
        <v>20225533</v>
      </c>
      <c r="H326" s="341" t="s">
        <v>311</v>
      </c>
      <c r="I326" s="341">
        <v>1.0</v>
      </c>
      <c r="Q326" s="341" t="s">
        <v>4051</v>
      </c>
    </row>
    <row r="327">
      <c r="B327" s="340">
        <v>327.0</v>
      </c>
      <c r="C327" s="341" t="str">
        <f>IFERROR(__xludf.DUMMYFUNCTION("""COMPUTED_VALUE"""),"Vũ Minh Hiếu - 20225494 - Hieu.VM225494@sis.hust.edu.vn")</f>
        <v>Vũ Minh Hiếu - 20225494 - Hieu.VM225494@sis.hust.edu.vn</v>
      </c>
      <c r="G327" s="341" t="str">
        <f>IFERROR(__xludf.DUMMYFUNCTION("REGEXEXTRACT(C327, ""\d{8}"")"),"20225494")</f>
        <v>20225494</v>
      </c>
      <c r="H327" s="341" t="s">
        <v>312</v>
      </c>
      <c r="I327" s="341">
        <v>1.0</v>
      </c>
      <c r="Q327" s="341" t="s">
        <v>4051</v>
      </c>
    </row>
    <row r="328">
      <c r="B328" s="340">
        <v>328.0</v>
      </c>
      <c r="C328" s="341" t="str">
        <f>IFERROR(__xludf.DUMMYFUNCTION("""COMPUTED_VALUE"""),"Đoàn Anh Vũ - 20225465 - Vu.DA225465@sis.hust.edu.vn")</f>
        <v>Đoàn Anh Vũ - 20225465 - Vu.DA225465@sis.hust.edu.vn</v>
      </c>
      <c r="G328" s="341" t="str">
        <f>IFERROR(__xludf.DUMMYFUNCTION("REGEXEXTRACT(C328, ""\d{8}"")"),"20225465")</f>
        <v>20225465</v>
      </c>
      <c r="H328" s="341" t="s">
        <v>313</v>
      </c>
      <c r="I328" s="341">
        <v>1.0</v>
      </c>
      <c r="Q328" s="341" t="s">
        <v>4051</v>
      </c>
    </row>
    <row r="329">
      <c r="B329" s="340">
        <v>329.0</v>
      </c>
      <c r="C329" s="341" t="str">
        <f>IFERROR(__xludf.DUMMYFUNCTION("""COMPUTED_VALUE"""),"Vũ Trung Thành - 20220066 - Thanh.VT220066@sis.hust.edu.vn")</f>
        <v>Vũ Trung Thành - 20220066 - Thanh.VT220066@sis.hust.edu.vn</v>
      </c>
      <c r="G329" s="341" t="str">
        <f>IFERROR(__xludf.DUMMYFUNCTION("REGEXEXTRACT(C329, ""\d{8}"")"),"20220066")</f>
        <v>20220066</v>
      </c>
      <c r="H329" s="341" t="s">
        <v>314</v>
      </c>
      <c r="I329" s="341">
        <v>1.0</v>
      </c>
      <c r="Q329" s="341" t="s">
        <v>4051</v>
      </c>
    </row>
    <row r="330">
      <c r="B330" s="340">
        <v>330.0</v>
      </c>
      <c r="C330" s="341" t="str">
        <f>IFERROR(__xludf.DUMMYFUNCTION("""COMPUTED_VALUE"""),"Đỗ Minh Tâm - 20225668-dominhtam2912@gmail.com")</f>
        <v>Đỗ Minh Tâm - 20225668-dominhtam2912@gmail.com</v>
      </c>
      <c r="G330" s="341" t="str">
        <f>IFERROR(__xludf.DUMMYFUNCTION("REGEXEXTRACT(C330, ""\d{8}"")"),"20225668")</f>
        <v>20225668</v>
      </c>
      <c r="H330" s="341" t="s">
        <v>186</v>
      </c>
      <c r="I330" s="341">
        <v>1.0</v>
      </c>
      <c r="Q330" s="341" t="s">
        <v>4051</v>
      </c>
    </row>
    <row r="331">
      <c r="B331" s="340">
        <v>331.0</v>
      </c>
      <c r="C331" s="341" t="str">
        <f>IFERROR(__xludf.DUMMYFUNCTION("""COMPUTED_VALUE"""),"Trần Thị Phương Thảo - 20225766-vuongtuanphong53@gmail.com")</f>
        <v>Trần Thị Phương Thảo - 20225766-vuongtuanphong53@gmail.com</v>
      </c>
      <c r="G331" s="341" t="str">
        <f>IFERROR(__xludf.DUMMYFUNCTION("REGEXEXTRACT(C331, ""\d{8}"")"),"20225766")</f>
        <v>20225766</v>
      </c>
      <c r="H331" s="341" t="s">
        <v>187</v>
      </c>
      <c r="I331" s="341">
        <v>1.0</v>
      </c>
      <c r="Q331" s="341" t="s">
        <v>4051</v>
      </c>
    </row>
    <row r="332">
      <c r="B332" s="340">
        <v>332.0</v>
      </c>
      <c r="C332" s="341" t="str">
        <f>IFERROR(__xludf.DUMMYFUNCTION("""COMPUTED_VALUE"""),"Nguyễn Quang Huy 20225007 huy.nq225007@sis.hust.edu.vn")</f>
        <v>Nguyễn Quang Huy 20225007 huy.nq225007@sis.hust.edu.vn</v>
      </c>
      <c r="G332" s="341" t="str">
        <f>IFERROR(__xludf.DUMMYFUNCTION("REGEXEXTRACT(C332, ""\d{8}"")"),"20225007")</f>
        <v>20225007</v>
      </c>
      <c r="H332" s="341" t="s">
        <v>492</v>
      </c>
      <c r="I332" s="341">
        <v>1.0</v>
      </c>
      <c r="Q332" s="341" t="s">
        <v>4051</v>
      </c>
    </row>
    <row r="333">
      <c r="B333" s="340">
        <v>333.0</v>
      </c>
      <c r="C333" s="341" t="str">
        <f>IFERROR(__xludf.DUMMYFUNCTION("""COMPUTED_VALUE"""),"Nguyễn Minh Hiếu 20224983 hieu.nm224983@sis.hust.edu.vn")</f>
        <v>Nguyễn Minh Hiếu 20224983 hieu.nm224983@sis.hust.edu.vn</v>
      </c>
      <c r="G333" s="341" t="str">
        <f>IFERROR(__xludf.DUMMYFUNCTION("REGEXEXTRACT(C333, ""\d{8}"")"),"20224983")</f>
        <v>20224983</v>
      </c>
      <c r="H333" s="341" t="s">
        <v>493</v>
      </c>
      <c r="I333" s="341">
        <v>1.0</v>
      </c>
      <c r="Q333" s="341" t="s">
        <v>4051</v>
      </c>
    </row>
    <row r="334">
      <c r="B334" s="340">
        <v>334.0</v>
      </c>
      <c r="C334" s="341" t="str">
        <f>IFERROR(__xludf.DUMMYFUNCTION("""COMPUTED_VALUE"""),"Nguyễn Khánh Duy - 20225830 - duy.nk225830@sis.hust.edu.vn")</f>
        <v>Nguyễn Khánh Duy - 20225830 - duy.nk225830@sis.hust.edu.vn</v>
      </c>
      <c r="G334" s="341" t="str">
        <f>IFERROR(__xludf.DUMMYFUNCTION("REGEXEXTRACT(C334, ""\d{8}"")"),"20225830")</f>
        <v>20225830</v>
      </c>
      <c r="H334" s="341" t="s">
        <v>317</v>
      </c>
      <c r="I334" s="341">
        <v>1.0</v>
      </c>
      <c r="Q334" s="341" t="s">
        <v>4051</v>
      </c>
    </row>
    <row r="335">
      <c r="B335" s="340">
        <v>335.0</v>
      </c>
      <c r="C335" s="341" t="str">
        <f>IFERROR(__xludf.DUMMYFUNCTION("""COMPUTED_VALUE"""),"Lê Minh Nghĩa - 20225894 - nghia.lm225894@sis.hust.edu.vn")</f>
        <v>Lê Minh Nghĩa - 20225894 - nghia.lm225894@sis.hust.edu.vn</v>
      </c>
      <c r="G335" s="341" t="str">
        <f>IFERROR(__xludf.DUMMYFUNCTION("REGEXEXTRACT(C335, ""\d{8}"")"),"20225894")</f>
        <v>20225894</v>
      </c>
      <c r="H335" s="341" t="s">
        <v>318</v>
      </c>
      <c r="I335" s="341">
        <v>1.0</v>
      </c>
      <c r="Q335" s="341" t="s">
        <v>4051</v>
      </c>
    </row>
    <row r="336">
      <c r="B336" s="340">
        <v>336.0</v>
      </c>
      <c r="C336" s="341" t="str">
        <f>IFERROR(__xludf.DUMMYFUNCTION("""COMPUTED_VALUE"""),"Nguyễn Hoài Nam - 20225748 - nam.nh225748@sis.hust.edu.vn")</f>
        <v>Nguyễn Hoài Nam - 20225748 - nam.nh225748@sis.hust.edu.vn</v>
      </c>
      <c r="G336" s="341" t="str">
        <f>IFERROR(__xludf.DUMMYFUNCTION("REGEXEXTRACT(C336, ""\d{8}"")"),"20225748")</f>
        <v>20225748</v>
      </c>
      <c r="H336" s="341" t="s">
        <v>319</v>
      </c>
      <c r="I336" s="341">
        <v>1.0</v>
      </c>
      <c r="Q336" s="341" t="s">
        <v>4051</v>
      </c>
    </row>
    <row r="337">
      <c r="B337" s="340">
        <v>337.0</v>
      </c>
      <c r="C337" s="341" t="str">
        <f>IFERROR(__xludf.DUMMYFUNCTION("""COMPUTED_VALUE"""),"Nguyễn Văn Phú - 20225658 - phu.nv225658@sis.hust.edu.vn")</f>
        <v>Nguyễn Văn Phú - 20225658 - phu.nv225658@sis.hust.edu.vn</v>
      </c>
      <c r="G337" s="341" t="str">
        <f>IFERROR(__xludf.DUMMYFUNCTION("REGEXEXTRACT(C337, ""\d{8}"")"),"20225658")</f>
        <v>20225658</v>
      </c>
      <c r="H337" s="341" t="s">
        <v>320</v>
      </c>
      <c r="I337" s="341">
        <v>1.0</v>
      </c>
      <c r="Q337" s="341" t="s">
        <v>4051</v>
      </c>
    </row>
    <row r="338">
      <c r="B338" s="340">
        <v>338.0</v>
      </c>
      <c r="C338" s="341" t="str">
        <f>IFERROR(__xludf.DUMMYFUNCTION("""COMPUTED_VALUE"""),"Ngô Việt Bách - 20225789 - bach.nv225789@sis.hust.edu.vn")</f>
        <v>Ngô Việt Bách - 20225789 - bach.nv225789@sis.hust.edu.vn</v>
      </c>
      <c r="G338" s="341" t="str">
        <f>IFERROR(__xludf.DUMMYFUNCTION("REGEXEXTRACT(C338, ""\d{8}"")"),"20225789")</f>
        <v>20225789</v>
      </c>
      <c r="H338" s="341" t="s">
        <v>321</v>
      </c>
      <c r="I338" s="341">
        <v>1.0</v>
      </c>
      <c r="Q338" s="341" t="s">
        <v>4051</v>
      </c>
    </row>
    <row r="339">
      <c r="B339" s="340">
        <v>339.0</v>
      </c>
      <c r="C339" s="341" t="str">
        <f>IFERROR(__xludf.DUMMYFUNCTION("""COMPUTED_VALUE"""),"Vũ Hoàng Việt - 20225777 - viet.vh225777@sis.hust.edu.vn")</f>
        <v>Vũ Hoàng Việt - 20225777 - viet.vh225777@sis.hust.edu.vn</v>
      </c>
      <c r="G339" s="341" t="str">
        <f>IFERROR(__xludf.DUMMYFUNCTION("REGEXEXTRACT(C339, ""\d{8}"")"),"20225777")</f>
        <v>20225777</v>
      </c>
      <c r="H339" s="341" t="s">
        <v>322</v>
      </c>
      <c r="I339" s="341">
        <v>1.0</v>
      </c>
      <c r="Q339" s="341" t="s">
        <v>4051</v>
      </c>
    </row>
    <row r="340">
      <c r="B340" s="340">
        <v>340.0</v>
      </c>
      <c r="C340" s="341" t="str">
        <f>IFERROR(__xludf.DUMMYFUNCTION("""COMPUTED_VALUE"""),"Hoàng Yến Nhi - 20225898 - nhi.hy225898@sis.hust.edu.vn")</f>
        <v>Hoàng Yến Nhi - 20225898 - nhi.hy225898@sis.hust.edu.vn</v>
      </c>
      <c r="G340" s="341" t="str">
        <f>IFERROR(__xludf.DUMMYFUNCTION("REGEXEXTRACT(C340, ""\d{8}"")"),"20225898")</f>
        <v>20225898</v>
      </c>
      <c r="H340" s="341" t="s">
        <v>323</v>
      </c>
      <c r="I340" s="341">
        <v>1.0</v>
      </c>
      <c r="Q340" s="341" t="s">
        <v>4051</v>
      </c>
    </row>
    <row r="341">
      <c r="B341" s="340">
        <v>341.0</v>
      </c>
      <c r="C341" s="341" t="str">
        <f>IFERROR(__xludf.DUMMYFUNCTION("""COMPUTED_VALUE"""),"Nguyễn Quỳnh Anh - 20225785 - anh.nq225785@sis.hust.edu.vn")</f>
        <v>Nguyễn Quỳnh Anh - 20225785 - anh.nq225785@sis.hust.edu.vn</v>
      </c>
      <c r="G341" s="341" t="str">
        <f>IFERROR(__xludf.DUMMYFUNCTION("REGEXEXTRACT(C341, ""\d{8}"")"),"20225785")</f>
        <v>20225785</v>
      </c>
      <c r="H341" s="341" t="s">
        <v>324</v>
      </c>
      <c r="I341" s="341">
        <v>1.0</v>
      </c>
      <c r="Q341" s="341" t="s">
        <v>4051</v>
      </c>
    </row>
    <row r="342">
      <c r="B342" s="340">
        <v>342.0</v>
      </c>
      <c r="C342" s="341" t="str">
        <f>IFERROR(__xludf.DUMMYFUNCTION("""COMPUTED_VALUE"""),"Nguyễn Bùi Việt Linh - 20225733 - linh.nbv225733@sis.hust.edu.vn")</f>
        <v>Nguyễn Bùi Việt Linh - 20225733 - linh.nbv225733@sis.hust.edu.vn</v>
      </c>
      <c r="G342" s="341" t="str">
        <f>IFERROR(__xludf.DUMMYFUNCTION("REGEXEXTRACT(C342, ""\d{8}"")"),"20225733")</f>
        <v>20225733</v>
      </c>
      <c r="H342" s="341" t="s">
        <v>325</v>
      </c>
      <c r="I342" s="341">
        <v>1.0</v>
      </c>
      <c r="Q342" s="341" t="s">
        <v>4051</v>
      </c>
    </row>
    <row r="343">
      <c r="B343" s="340">
        <v>343.0</v>
      </c>
      <c r="C343" s="341" t="str">
        <f>IFERROR(__xludf.DUMMYFUNCTION("""COMPUTED_VALUE"""),"Trần Lê Anh Minh - 20225652 - minh.tla225652@sis.hust.edu.vn")</f>
        <v>Trần Lê Anh Minh - 20225652 - minh.tla225652@sis.hust.edu.vn</v>
      </c>
      <c r="G343" s="341" t="str">
        <f>IFERROR(__xludf.DUMMYFUNCTION("REGEXEXTRACT(C343, ""\d{8}"")"),"20225652")</f>
        <v>20225652</v>
      </c>
      <c r="H343" s="341" t="s">
        <v>326</v>
      </c>
      <c r="I343" s="341">
        <v>1.0</v>
      </c>
      <c r="Q343" s="341" t="s">
        <v>4051</v>
      </c>
    </row>
    <row r="344">
      <c r="B344" s="340">
        <v>344.0</v>
      </c>
      <c r="C344" s="341" t="str">
        <f>IFERROR(__xludf.DUMMYFUNCTION("""COMPUTED_VALUE"""),"Lê Minh Đức - 20225610 - duc.lm225610@sis.hust.edu.vn")</f>
        <v>Lê Minh Đức - 20225610 - duc.lm225610@sis.hust.edu.vn</v>
      </c>
      <c r="G344" s="341" t="str">
        <f>IFERROR(__xludf.DUMMYFUNCTION("REGEXEXTRACT(C344, ""\d{8}"")"),"20225610")</f>
        <v>20225610</v>
      </c>
      <c r="H344" s="341" t="s">
        <v>327</v>
      </c>
      <c r="I344" s="341">
        <v>1.0</v>
      </c>
      <c r="Q344" s="341" t="s">
        <v>4051</v>
      </c>
    </row>
    <row r="345">
      <c r="B345" s="340">
        <v>345.0</v>
      </c>
      <c r="C345" s="341" t="str">
        <f>IFERROR(__xludf.DUMMYFUNCTION("""COMPUTED_VALUE"""),"Nguyễn Kiến Quốc - 20225153 - 0329657727 - kquocat@gmail.com")</f>
        <v>Nguyễn Kiến Quốc - 20225153 - 0329657727 - kquocat@gmail.com</v>
      </c>
      <c r="G345" s="341" t="str">
        <f>IFERROR(__xludf.DUMMYFUNCTION("REGEXEXTRACT(C345, ""\d{8}"")"),"20225153")</f>
        <v>20225153</v>
      </c>
      <c r="H345" s="341" t="s">
        <v>328</v>
      </c>
      <c r="I345" s="341">
        <v>1.0</v>
      </c>
      <c r="Q345" s="341" t="s">
        <v>4051</v>
      </c>
    </row>
    <row r="346">
      <c r="B346" s="340">
        <v>346.0</v>
      </c>
      <c r="C346" s="341" t="str">
        <f>IFERROR(__xludf.DUMMYFUNCTION("""COMPUTED_VALUE"""),"Bùi Xuân Đạt  - 20225274 - 0353287980 - buixuandat1802@gmail.com")</f>
        <v>Bùi Xuân Đạt  - 20225274 - 0353287980 - buixuandat1802@gmail.com</v>
      </c>
      <c r="G346" s="341" t="str">
        <f>IFERROR(__xludf.DUMMYFUNCTION("REGEXEXTRACT(C346, ""\d{8}"")"),"20225274")</f>
        <v>20225274</v>
      </c>
      <c r="H346" s="341" t="s">
        <v>329</v>
      </c>
      <c r="I346" s="341">
        <v>1.0</v>
      </c>
      <c r="Q346" s="341" t="s">
        <v>4051</v>
      </c>
    </row>
    <row r="347">
      <c r="B347" s="340">
        <v>347.0</v>
      </c>
      <c r="C347" s="341" t="str">
        <f>IFERROR(__xludf.DUMMYFUNCTION("""COMPUTED_VALUE"""),"Vũ Tiến An Nguyên - 20225148 - 0359581210 - vutienannguyen1210@gmail.com")</f>
        <v>Vũ Tiến An Nguyên - 20225148 - 0359581210 - vutienannguyen1210@gmail.com</v>
      </c>
      <c r="G347" s="341" t="str">
        <f>IFERROR(__xludf.DUMMYFUNCTION("REGEXEXTRACT(C347, ""\d{8}"")"),"20225148")</f>
        <v>20225148</v>
      </c>
      <c r="H347" s="341" t="s">
        <v>330</v>
      </c>
      <c r="I347" s="341">
        <v>1.0</v>
      </c>
      <c r="Q347" s="341" t="s">
        <v>4051</v>
      </c>
    </row>
    <row r="348">
      <c r="B348" s="340">
        <v>348.0</v>
      </c>
      <c r="C348" s="341" t="str">
        <f>IFERROR(__xludf.DUMMYFUNCTION("""COMPUTED_VALUE"""),"Vũ Việt Cường - 20225270 - 0932227324 - cuongvu513@gmail.com")</f>
        <v>Vũ Việt Cường - 20225270 - 0932227324 - cuongvu513@gmail.com</v>
      </c>
      <c r="G348" s="341" t="str">
        <f>IFERROR(__xludf.DUMMYFUNCTION("REGEXEXTRACT(C348, ""\d{8}"")"),"20225270")</f>
        <v>20225270</v>
      </c>
      <c r="H348" s="341" t="s">
        <v>3311</v>
      </c>
      <c r="I348" s="341">
        <v>0.0</v>
      </c>
      <c r="J348" s="114" t="s">
        <v>4048</v>
      </c>
      <c r="Q348" s="341" t="s">
        <v>4051</v>
      </c>
    </row>
    <row r="349">
      <c r="B349" s="340">
        <v>349.0</v>
      </c>
      <c r="C349" s="341" t="str">
        <f>IFERROR(__xludf.DUMMYFUNCTION("""COMPUTED_VALUE"""),"Vũ Hữu Tiến - 20225231 - 0904689042 - vutien858@gmail.com")</f>
        <v>Vũ Hữu Tiến - 20225231 - 0904689042 - vutien858@gmail.com</v>
      </c>
      <c r="G349" s="341" t="str">
        <f>IFERROR(__xludf.DUMMYFUNCTION("REGEXEXTRACT(C349, ""\d{8}"")"),"20225231")</f>
        <v>20225231</v>
      </c>
      <c r="H349" s="341" t="s">
        <v>331</v>
      </c>
      <c r="I349" s="341">
        <v>1.0</v>
      </c>
      <c r="Q349" s="341" t="s">
        <v>4051</v>
      </c>
    </row>
    <row r="350">
      <c r="B350" s="340">
        <v>350.0</v>
      </c>
      <c r="C350" s="341" t="str">
        <f>IFERROR(__xludf.DUMMYFUNCTION("""COMPUTED_VALUE"""),"Phan Đức Dũng - 20225294 - 0779303169 - dung.pd225294@sis.hust.edu.vn")</f>
        <v>Phan Đức Dũng - 20225294 - 0779303169 - dung.pd225294@sis.hust.edu.vn</v>
      </c>
      <c r="G350" s="341" t="str">
        <f>IFERROR(__xludf.DUMMYFUNCTION("REGEXEXTRACT(C350, ""\d{8}"")"),"20225294")</f>
        <v>20225294</v>
      </c>
      <c r="H350" s="341" t="s">
        <v>2723</v>
      </c>
      <c r="I350" s="341">
        <v>0.0</v>
      </c>
      <c r="J350" s="114" t="s">
        <v>4048</v>
      </c>
      <c r="Q350" s="341" t="s">
        <v>4051</v>
      </c>
    </row>
    <row r="351">
      <c r="B351" s="340">
        <v>351.0</v>
      </c>
      <c r="C351" s="341" t="str">
        <f>IFERROR(__xludf.DUMMYFUNCTION("""COMPUTED_VALUE"""),"Nguyễn Trung Hiếu - 20225188 - 0961890489 - hieu07062004@gmail.com")</f>
        <v>Nguyễn Trung Hiếu - 20225188 - 0961890489 - hieu07062004@gmail.com</v>
      </c>
      <c r="G351" s="341" t="str">
        <f>IFERROR(__xludf.DUMMYFUNCTION("REGEXEXTRACT(C351, ""\d{8}"")"),"20225188")</f>
        <v>20225188</v>
      </c>
      <c r="H351" s="341" t="s">
        <v>332</v>
      </c>
      <c r="I351" s="341">
        <v>1.0</v>
      </c>
      <c r="Q351" s="341" t="s">
        <v>4051</v>
      </c>
    </row>
    <row r="352">
      <c r="B352" s="340">
        <v>352.0</v>
      </c>
      <c r="C352" s="341" t="str">
        <f>IFERROR(__xludf.DUMMYFUNCTION("""COMPUTED_VALUE"""),"Nguyễn Văn Hoàng - 20225323 - 0971015032 - nguyenvanhoanghust@gmail.com")</f>
        <v>Nguyễn Văn Hoàng - 20225323 - 0971015032 - nguyenvanhoanghust@gmail.com</v>
      </c>
      <c r="G352" s="341" t="str">
        <f>IFERROR(__xludf.DUMMYFUNCTION("REGEXEXTRACT(C352, ""\d{8}"")"),"20225323")</f>
        <v>20225323</v>
      </c>
      <c r="H352" s="341" t="s">
        <v>333</v>
      </c>
      <c r="I352" s="341">
        <v>1.0</v>
      </c>
      <c r="Q352" s="341" t="s">
        <v>4051</v>
      </c>
    </row>
    <row r="353">
      <c r="B353" s="340">
        <v>353.0</v>
      </c>
      <c r="C353" s="341" t="str">
        <f>IFERROR(__xludf.DUMMYFUNCTION("""COMPUTED_VALUE"""),"Đỗ Nhật Minh - 20225209 - 0366091667 - minhblcute26102004@gmail.com")</f>
        <v>Đỗ Nhật Minh - 20225209 - 0366091667 - minhblcute26102004@gmail.com</v>
      </c>
      <c r="G353" s="341" t="str">
        <f>IFERROR(__xludf.DUMMYFUNCTION("REGEXEXTRACT(C353, ""\d{8}"")"),"20225209")</f>
        <v>20225209</v>
      </c>
      <c r="H353" s="341" t="s">
        <v>1093</v>
      </c>
      <c r="I353" s="341">
        <v>0.0</v>
      </c>
      <c r="J353" s="114" t="s">
        <v>4050</v>
      </c>
      <c r="Q353" s="341" t="s">
        <v>4051</v>
      </c>
    </row>
    <row r="354">
      <c r="B354" s="340">
        <v>354.0</v>
      </c>
      <c r="C354" s="341" t="str">
        <f>IFERROR(__xludf.DUMMYFUNCTION("""COMPUTED_VALUE"""),"Vũ Đức Trung - 20225161 - 0775207257 - trungvd2011@gmail.com")</f>
        <v>Vũ Đức Trung - 20225161 - 0775207257 - trungvd2011@gmail.com</v>
      </c>
      <c r="G354" s="341" t="str">
        <f>IFERROR(__xludf.DUMMYFUNCTION("REGEXEXTRACT(C354, ""\d{8}"")"),"20225161")</f>
        <v>20225161</v>
      </c>
      <c r="H354" s="341" t="s">
        <v>334</v>
      </c>
      <c r="I354" s="341">
        <v>1.0</v>
      </c>
      <c r="Q354" s="341" t="s">
        <v>4051</v>
      </c>
    </row>
    <row r="355">
      <c r="B355" s="340">
        <v>355.0</v>
      </c>
      <c r="C355" s="341" t="str">
        <f>IFERROR(__xludf.DUMMYFUNCTION("""COMPUTED_VALUE"""),"Nguyễn Chí Quân - 20225385 - 0375929607 - chiquannguyen363@gmail.com")</f>
        <v>Nguyễn Chí Quân - 20225385 - 0375929607 - chiquannguyen363@gmail.com</v>
      </c>
      <c r="G355" s="341" t="str">
        <f>IFERROR(__xludf.DUMMYFUNCTION("REGEXEXTRACT(C355, ""\d{8}"")"),"20225385")</f>
        <v>20225385</v>
      </c>
      <c r="H355" s="341" t="s">
        <v>335</v>
      </c>
      <c r="I355" s="341">
        <v>1.0</v>
      </c>
      <c r="Q355" s="341" t="s">
        <v>4051</v>
      </c>
    </row>
    <row r="356">
      <c r="B356" s="340">
        <v>356.0</v>
      </c>
      <c r="C356" s="341" t="str">
        <f>IFERROR(__xludf.DUMMYFUNCTION("""COMPUTED_VALUE"""),"Nguyễn Vũ Thành - 20225403 - 0961515419 - thanh14704@gmail.com")</f>
        <v>Nguyễn Vũ Thành - 20225403 - 0961515419 - thanh14704@gmail.com</v>
      </c>
      <c r="G356" s="341" t="str">
        <f>IFERROR(__xludf.DUMMYFUNCTION("REGEXEXTRACT(C356, ""\d{8}"")"),"20225403")</f>
        <v>20225403</v>
      </c>
      <c r="H356" s="341" t="s">
        <v>336</v>
      </c>
      <c r="I356" s="341">
        <v>1.0</v>
      </c>
      <c r="Q356" s="341" t="s">
        <v>4051</v>
      </c>
    </row>
    <row r="357">
      <c r="B357" s="340">
        <v>357.0</v>
      </c>
      <c r="C357" s="341" t="str">
        <f>IFERROR(__xludf.DUMMYFUNCTION("""COMPUTED_VALUE"""),"Hoàng Bá Bảo - 20226015")</f>
        <v>Hoàng Bá Bảo - 20226015</v>
      </c>
      <c r="G357" s="341" t="str">
        <f>IFERROR(__xludf.DUMMYFUNCTION("REGEXEXTRACT(C357, ""\d{8}"")"),"20226015")</f>
        <v>20226015</v>
      </c>
      <c r="H357" s="341" t="s">
        <v>584</v>
      </c>
      <c r="I357" s="341">
        <v>1.0</v>
      </c>
      <c r="Q357" s="341" t="s">
        <v>4051</v>
      </c>
    </row>
    <row r="358">
      <c r="B358" s="340">
        <v>358.0</v>
      </c>
      <c r="C358" s="341" t="str">
        <f>IFERROR(__xludf.DUMMYFUNCTION("""COMPUTED_VALUE"""),"Đinh Ngọc Cầm - 20226016")</f>
        <v>Đinh Ngọc Cầm - 20226016</v>
      </c>
      <c r="G358" s="341" t="str">
        <f>IFERROR(__xludf.DUMMYFUNCTION("REGEXEXTRACT(C358, ""\d{8}"")"),"20226016")</f>
        <v>20226016</v>
      </c>
      <c r="H358" s="341" t="s">
        <v>588</v>
      </c>
      <c r="I358" s="341">
        <v>1.0</v>
      </c>
      <c r="Q358" s="341" t="s">
        <v>4051</v>
      </c>
    </row>
    <row r="359">
      <c r="B359" s="340">
        <v>359.0</v>
      </c>
      <c r="C359" s="341" t="str">
        <f>IFERROR(__xludf.DUMMYFUNCTION("""COMPUTED_VALUE"""),"Trần Quang Hưng - 20226045")</f>
        <v>Trần Quang Hưng - 20226045</v>
      </c>
      <c r="G359" s="341" t="str">
        <f>IFERROR(__xludf.DUMMYFUNCTION("REGEXEXTRACT(C359, ""\d{8}"")"),"20226045")</f>
        <v>20226045</v>
      </c>
      <c r="H359" s="341" t="s">
        <v>592</v>
      </c>
      <c r="I359" s="341">
        <v>1.0</v>
      </c>
      <c r="Q359" s="341" t="s">
        <v>4051</v>
      </c>
    </row>
    <row r="360">
      <c r="B360" s="340">
        <v>360.0</v>
      </c>
      <c r="C360" s="341" t="str">
        <f>IFERROR(__xludf.DUMMYFUNCTION("""COMPUTED_VALUE"""),"Nguyễn Xuân Thành - 20225460 - Thanh.NX225460@sis.hust.edu.vn")</f>
        <v>Nguyễn Xuân Thành - 20225460 - Thanh.NX225460@sis.hust.edu.vn</v>
      </c>
      <c r="G360" s="341" t="str">
        <f>IFERROR(__xludf.DUMMYFUNCTION("REGEXEXTRACT(C360, ""\d{8}"")"),"20225460")</f>
        <v>20225460</v>
      </c>
      <c r="H360" s="341" t="s">
        <v>337</v>
      </c>
      <c r="I360" s="341">
        <v>1.0</v>
      </c>
      <c r="Q360" s="341" t="s">
        <v>4051</v>
      </c>
    </row>
    <row r="361">
      <c r="B361" s="340">
        <v>361.0</v>
      </c>
      <c r="C361" s="341" t="str">
        <f>IFERROR(__xludf.DUMMYFUNCTION("""COMPUTED_VALUE"""),"Nguyễn Trí Thanh - 20225457 - Thanh.NT225457@sis.hust.edu.vn")</f>
        <v>Nguyễn Trí Thanh - 20225457 - Thanh.NT225457@sis.hust.edu.vn</v>
      </c>
      <c r="G361" s="341" t="str">
        <f>IFERROR(__xludf.DUMMYFUNCTION("REGEXEXTRACT(C361, ""\d{8}"")"),"20225457")</f>
        <v>20225457</v>
      </c>
      <c r="H361" s="341" t="s">
        <v>338</v>
      </c>
      <c r="I361" s="341">
        <v>1.0</v>
      </c>
      <c r="Q361" s="341" t="s">
        <v>4051</v>
      </c>
    </row>
    <row r="362">
      <c r="B362" s="340">
        <v>362.0</v>
      </c>
      <c r="C362" s="341" t="str">
        <f>IFERROR(__xludf.DUMMYFUNCTION("""COMPUTED_VALUE"""),"Nguyễn Hoàng Sơn - 20225525 - Son.NH225525@sis.hust.edu.vn")</f>
        <v>Nguyễn Hoàng Sơn - 20225525 - Son.NH225525@sis.hust.edu.vn</v>
      </c>
      <c r="G362" s="341" t="str">
        <f>IFERROR(__xludf.DUMMYFUNCTION("REGEXEXTRACT(C362, ""\d{8}"")"),"20225525")</f>
        <v>20225525</v>
      </c>
      <c r="H362" s="341" t="s">
        <v>339</v>
      </c>
      <c r="I362" s="341">
        <v>1.0</v>
      </c>
      <c r="Q362" s="341" t="s">
        <v>4051</v>
      </c>
    </row>
    <row r="363">
      <c r="B363" s="340">
        <v>363.0</v>
      </c>
      <c r="C363" s="341" t="str">
        <f>IFERROR(__xludf.DUMMYFUNCTION("""COMPUTED_VALUE"""),"Phan Trần Việt Bách - 20225435 - Bach.PTV225435@sis.hust.edu.vn")</f>
        <v>Phan Trần Việt Bách - 20225435 - Bach.PTV225435@sis.hust.edu.vn</v>
      </c>
      <c r="G363" s="341" t="str">
        <f>IFERROR(__xludf.DUMMYFUNCTION("REGEXEXTRACT(C363, ""\d{8}"")"),"20225435")</f>
        <v>20225435</v>
      </c>
      <c r="H363" s="341" t="s">
        <v>340</v>
      </c>
      <c r="I363" s="341">
        <v>1.0</v>
      </c>
      <c r="Q363" s="341" t="s">
        <v>4051</v>
      </c>
    </row>
    <row r="364">
      <c r="B364" s="340">
        <v>364.0</v>
      </c>
      <c r="C364" s="341" t="str">
        <f>IFERROR(__xludf.DUMMYFUNCTION("""COMPUTED_VALUE"""),"Nguyễn Hoàng Nam - 20225213")</f>
        <v>Nguyễn Hoàng Nam - 20225213</v>
      </c>
      <c r="G364" s="341" t="str">
        <f>IFERROR(__xludf.DUMMYFUNCTION("REGEXEXTRACT(C364, ""\d{8}"")"),"20225213")</f>
        <v>20225213</v>
      </c>
      <c r="H364" s="341" t="s">
        <v>341</v>
      </c>
      <c r="I364" s="341">
        <v>1.0</v>
      </c>
      <c r="Q364" s="341" t="s">
        <v>4051</v>
      </c>
    </row>
    <row r="365">
      <c r="B365" s="340">
        <v>365.0</v>
      </c>
      <c r="C365" s="341" t="str">
        <f>IFERROR(__xludf.DUMMYFUNCTION("""COMPUTED_VALUE"""),"Nguyễn Đức Long - 20225036")</f>
        <v>Nguyễn Đức Long - 20225036</v>
      </c>
      <c r="G365" s="341" t="str">
        <f>IFERROR(__xludf.DUMMYFUNCTION("REGEXEXTRACT(C365, ""\d{8}"")"),"20225036")</f>
        <v>20225036</v>
      </c>
      <c r="H365" s="341" t="s">
        <v>342</v>
      </c>
      <c r="I365" s="341">
        <v>1.0</v>
      </c>
      <c r="Q365" s="341" t="s">
        <v>4051</v>
      </c>
    </row>
    <row r="366">
      <c r="B366" s="340">
        <v>366.0</v>
      </c>
      <c r="C366" s="341" t="str">
        <f>IFERROR(__xludf.DUMMYFUNCTION("""COMPUTED_VALUE"""),"Trần Hoàng Nhật Minh - 20225366")</f>
        <v>Trần Hoàng Nhật Minh - 20225366</v>
      </c>
      <c r="G366" s="341" t="str">
        <f>IFERROR(__xludf.DUMMYFUNCTION("REGEXEXTRACT(C366, ""\d{8}"")"),"20225366")</f>
        <v>20225366</v>
      </c>
      <c r="H366" s="341" t="s">
        <v>343</v>
      </c>
      <c r="I366" s="341">
        <v>1.0</v>
      </c>
      <c r="Q366" s="341" t="s">
        <v>4051</v>
      </c>
    </row>
    <row r="367">
      <c r="B367" s="340">
        <v>367.0</v>
      </c>
      <c r="C367" s="341" t="str">
        <f>IFERROR(__xludf.DUMMYFUNCTION("""COMPUTED_VALUE"""),"Phí Hoàng Việt - 20225429 - coc14012004@gmail.com")</f>
        <v>Phí Hoàng Việt - 20225429 - coc14012004@gmail.com</v>
      </c>
      <c r="G367" s="341" t="str">
        <f>IFERROR(__xludf.DUMMYFUNCTION("REGEXEXTRACT(C367, ""\d{8}"")"),"20225429")</f>
        <v>20225429</v>
      </c>
      <c r="H367" s="341" t="s">
        <v>286</v>
      </c>
      <c r="I367" s="341">
        <v>1.0</v>
      </c>
      <c r="Q367" s="341" t="s">
        <v>4051</v>
      </c>
    </row>
    <row r="368">
      <c r="B368" s="340">
        <v>368.0</v>
      </c>
      <c r="C368" s="341" t="str">
        <f>IFERROR(__xludf.DUMMYFUNCTION("""COMPUTED_VALUE"""),"Vũ Mạnh Hưng - 20225198 - manhhungyb177@gmail.com")</f>
        <v>Vũ Mạnh Hưng - 20225198 - manhhungyb177@gmail.com</v>
      </c>
      <c r="G368" s="341" t="str">
        <f>IFERROR(__xludf.DUMMYFUNCTION("REGEXEXTRACT(C368, ""\d{8}"")"),"20225198")</f>
        <v>20225198</v>
      </c>
      <c r="H368" s="341" t="s">
        <v>287</v>
      </c>
      <c r="I368" s="341">
        <v>1.0</v>
      </c>
      <c r="Q368" s="341" t="s">
        <v>4051</v>
      </c>
    </row>
    <row r="369">
      <c r="B369" s="340">
        <v>369.0</v>
      </c>
      <c r="C369" s="341" t="str">
        <f>IFERROR(__xludf.DUMMYFUNCTION("""COMPUTED_VALUE"""),"Ong Xuân Sơn-20224897-xsdz974@gmail.com")</f>
        <v>Ong Xuân Sơn-20224897-xsdz974@gmail.com</v>
      </c>
      <c r="G369" s="341" t="str">
        <f>IFERROR(__xludf.DUMMYFUNCTION("REGEXEXTRACT(C369, ""\d{8}"")"),"20224897")</f>
        <v>20224897</v>
      </c>
      <c r="H369" s="341" t="s">
        <v>347</v>
      </c>
      <c r="I369" s="341">
        <v>1.0</v>
      </c>
      <c r="Q369" s="341" t="s">
        <v>4051</v>
      </c>
    </row>
    <row r="370">
      <c r="B370" s="340">
        <v>370.0</v>
      </c>
      <c r="C370" s="341" t="str">
        <f>IFERROR(__xludf.DUMMYFUNCTION("""COMPUTED_VALUE"""),"Nguyễn Đức Danh-20224947-uydanh214@gmail.com")</f>
        <v>Nguyễn Đức Danh-20224947-uydanh214@gmail.com</v>
      </c>
      <c r="G370" s="341" t="str">
        <f>IFERROR(__xludf.DUMMYFUNCTION("REGEXEXTRACT(C370, ""\d{8}"")"),"20224947")</f>
        <v>20224947</v>
      </c>
      <c r="H370" s="341" t="s">
        <v>348</v>
      </c>
      <c r="I370" s="341">
        <v>1.0</v>
      </c>
      <c r="Q370" s="341" t="s">
        <v>4051</v>
      </c>
    </row>
    <row r="371">
      <c r="B371" s="340">
        <v>371.0</v>
      </c>
      <c r="C371" s="341" t="str">
        <f>IFERROR(__xludf.DUMMYFUNCTION("""COMPUTED_VALUE"""),"Đỗ Đức Long-20225034-long3172004@gmail.com")</f>
        <v>Đỗ Đức Long-20225034-long3172004@gmail.com</v>
      </c>
      <c r="G371" s="341" t="str">
        <f>IFERROR(__xludf.DUMMYFUNCTION("REGEXEXTRACT(C371, ""\d{8}"")"),"20225034")</f>
        <v>20225034</v>
      </c>
      <c r="H371" s="341" t="s">
        <v>349</v>
      </c>
      <c r="I371" s="341">
        <v>1.0</v>
      </c>
      <c r="Q371" s="341" t="s">
        <v>4051</v>
      </c>
    </row>
    <row r="372">
      <c r="B372" s="340">
        <v>372.0</v>
      </c>
      <c r="C372" s="341" t="str">
        <f>IFERROR(__xludf.DUMMYFUNCTION("""COMPUTED_VALUE"""),"Bùi Vũ Đức Nghĩa-20224883-nghiabui5981@gmail.com")</f>
        <v>Bùi Vũ Đức Nghĩa-20224883-nghiabui5981@gmail.com</v>
      </c>
      <c r="G372" s="341" t="str">
        <f>IFERROR(__xludf.DUMMYFUNCTION("REGEXEXTRACT(C372, ""\d{8}"")"),"20224883")</f>
        <v>20224883</v>
      </c>
      <c r="H372" s="341" t="s">
        <v>350</v>
      </c>
      <c r="I372" s="341">
        <v>1.0</v>
      </c>
      <c r="Q372" s="341" t="s">
        <v>4051</v>
      </c>
    </row>
    <row r="373">
      <c r="B373" s="340">
        <v>373.0</v>
      </c>
      <c r="C373" s="341" t="str">
        <f>IFERROR(__xludf.DUMMYFUNCTION("""COMPUTED_VALUE"""),"Nguyễn Duy Dũng-20224961-dgx3811@gmail.com")</f>
        <v>Nguyễn Duy Dũng-20224961-dgx3811@gmail.com</v>
      </c>
      <c r="G373" s="341" t="str">
        <f>IFERROR(__xludf.DUMMYFUNCTION("REGEXEXTRACT(C373, ""\d{8}"")"),"20224961")</f>
        <v>20224961</v>
      </c>
      <c r="H373" s="341" t="s">
        <v>351</v>
      </c>
      <c r="I373" s="341">
        <v>1.0</v>
      </c>
      <c r="Q373" s="341" t="s">
        <v>4051</v>
      </c>
    </row>
    <row r="374">
      <c r="B374" s="340">
        <v>374.0</v>
      </c>
      <c r="C374" s="341" t="str">
        <f>IFERROR(__xludf.DUMMYFUNCTION("""COMPUTED_VALUE"""),"Chu Thành Thông-20225096-thongphil18@gmail.com")</f>
        <v>Chu Thành Thông-20225096-thongphil18@gmail.com</v>
      </c>
      <c r="G374" s="341" t="str">
        <f>IFERROR(__xludf.DUMMYFUNCTION("REGEXEXTRACT(C374, ""\d{8}"")"),"20225096")</f>
        <v>20225096</v>
      </c>
      <c r="H374" s="341" t="s">
        <v>352</v>
      </c>
      <c r="I374" s="341">
        <v>1.0</v>
      </c>
      <c r="Q374" s="341" t="s">
        <v>4051</v>
      </c>
    </row>
    <row r="375">
      <c r="B375" s="340">
        <v>375.0</v>
      </c>
      <c r="C375" s="341" t="str">
        <f>IFERROR(__xludf.DUMMYFUNCTION("""COMPUTED_VALUE"""),"Lê Phan Việt Cường-20224829-cuongthenao@gmail.com")</f>
        <v>Lê Phan Việt Cường-20224829-cuongthenao@gmail.com</v>
      </c>
      <c r="G375" s="341" t="str">
        <f>IFERROR(__xludf.DUMMYFUNCTION("REGEXEXTRACT(C375, ""\d{8}"")"),"20224829")</f>
        <v>20224829</v>
      </c>
      <c r="H375" s="341" t="s">
        <v>353</v>
      </c>
      <c r="I375" s="341">
        <v>1.0</v>
      </c>
      <c r="Q375" s="341" t="s">
        <v>4051</v>
      </c>
    </row>
    <row r="376">
      <c r="B376" s="340">
        <v>376.0</v>
      </c>
      <c r="C376" s="341" t="str">
        <f>IFERROR(__xludf.DUMMYFUNCTION("""COMPUTED_VALUE"""),"Trần Quang Minh-20225047-minh.tq225047@sis.hust.edu.vn")</f>
        <v>Trần Quang Minh-20225047-minh.tq225047@sis.hust.edu.vn</v>
      </c>
      <c r="G376" s="341" t="str">
        <f>IFERROR(__xludf.DUMMYFUNCTION("REGEXEXTRACT(C376, ""\d{8}"")"),"20225047")</f>
        <v>20225047</v>
      </c>
      <c r="H376" s="341" t="s">
        <v>354</v>
      </c>
      <c r="I376" s="341">
        <v>1.0</v>
      </c>
      <c r="Q376" s="341" t="s">
        <v>4051</v>
      </c>
    </row>
    <row r="377">
      <c r="B377" s="340">
        <v>377.0</v>
      </c>
      <c r="C377" s="341" t="str">
        <f>IFERROR(__xludf.DUMMYFUNCTION("""COMPUTED_VALUE"""),"Phùng Công Hiếu - 20224848 - hieu.pc224848@sis.hust.edu.vn")</f>
        <v>Phùng Công Hiếu - 20224848 - hieu.pc224848@sis.hust.edu.vn</v>
      </c>
      <c r="G377" s="341" t="str">
        <f>IFERROR(__xludf.DUMMYFUNCTION("REGEXEXTRACT(C377, ""\d{8}"")"),"20224848")</f>
        <v>20224848</v>
      </c>
      <c r="H377" s="341" t="s">
        <v>546</v>
      </c>
      <c r="I377" s="341">
        <v>1.0</v>
      </c>
      <c r="Q377" s="341" t="s">
        <v>4051</v>
      </c>
    </row>
    <row r="378">
      <c r="B378" s="340">
        <v>378.0</v>
      </c>
      <c r="C378" s="341" t="str">
        <f>IFERROR(__xludf.DUMMYFUNCTION("""COMPUTED_VALUE"""),"Lê Danh Vinh - 20220051 - vinh.ld220051@sis.hust.edu.vn")</f>
        <v>Lê Danh Vinh - 20220051 - vinh.ld220051@sis.hust.edu.vn</v>
      </c>
      <c r="G378" s="341" t="str">
        <f>IFERROR(__xludf.DUMMYFUNCTION("REGEXEXTRACT(C378, ""\d{8}"")"),"20220051")</f>
        <v>20220051</v>
      </c>
      <c r="H378" s="341" t="s">
        <v>547</v>
      </c>
      <c r="I378" s="341">
        <v>1.0</v>
      </c>
      <c r="Q378" s="341" t="s">
        <v>4051</v>
      </c>
    </row>
    <row r="379">
      <c r="B379" s="340">
        <v>379.0</v>
      </c>
      <c r="C379" s="341" t="str">
        <f>IFERROR(__xludf.DUMMYFUNCTION("""COMPUTED_VALUE"""),"Vũ Trường An - 20220058 - an.vt220058@sis.hust.edu.vn")</f>
        <v>Vũ Trường An - 20220058 - an.vt220058@sis.hust.edu.vn</v>
      </c>
      <c r="G379" s="341" t="str">
        <f>IFERROR(__xludf.DUMMYFUNCTION("REGEXEXTRACT(C379, ""\d{8}"")"),"20220058")</f>
        <v>20220058</v>
      </c>
      <c r="H379" s="341" t="s">
        <v>548</v>
      </c>
      <c r="I379" s="341">
        <v>1.0</v>
      </c>
      <c r="Q379" s="341" t="s">
        <v>4051</v>
      </c>
    </row>
    <row r="380">
      <c r="B380" s="340">
        <v>380.0</v>
      </c>
      <c r="C380" s="341" t="str">
        <f>IFERROR(__xludf.DUMMYFUNCTION("""COMPUTED_VALUE"""),"Trần Sơn Tùng - 20220048 - tung.ts220048@sis.hust.edu.vn")</f>
        <v>Trần Sơn Tùng - 20220048 - tung.ts220048@sis.hust.edu.vn</v>
      </c>
      <c r="G380" s="341" t="str">
        <f>IFERROR(__xludf.DUMMYFUNCTION("REGEXEXTRACT(C380, ""\d{8}"")"),"20220048")</f>
        <v>20220048</v>
      </c>
      <c r="H380" s="341" t="s">
        <v>549</v>
      </c>
      <c r="I380" s="341">
        <v>1.0</v>
      </c>
      <c r="Q380" s="341" t="s">
        <v>4051</v>
      </c>
    </row>
    <row r="381">
      <c r="B381" s="340">
        <v>381.0</v>
      </c>
      <c r="C381" s="341" t="str">
        <f>IFERROR(__xludf.DUMMYFUNCTION("""COMPUTED_VALUE"""),"Nguyễn Hoàng Việt - 20220050 - viet.nh220050@sis.hust.edu.vn ")</f>
        <v>Nguyễn Hoàng Việt - 20220050 - viet.nh220050@sis.hust.edu.vn </v>
      </c>
      <c r="G381" s="341" t="str">
        <f>IFERROR(__xludf.DUMMYFUNCTION("REGEXEXTRACT(C381, ""\d{8}"")"),"20220050")</f>
        <v>20220050</v>
      </c>
      <c r="H381" s="341" t="s">
        <v>550</v>
      </c>
      <c r="I381" s="341">
        <v>1.0</v>
      </c>
      <c r="Q381" s="341" t="s">
        <v>4051</v>
      </c>
    </row>
    <row r="382">
      <c r="B382" s="340">
        <v>382.0</v>
      </c>
      <c r="C382" s="341" t="str">
        <f>IFERROR(__xludf.DUMMYFUNCTION("""COMPUTED_VALUE"""),"Nguyễn Đức Triệu - 20224903 - trieu.nd224903@sis.hust.edu.vn ")</f>
        <v>Nguyễn Đức Triệu - 20224903 - trieu.nd224903@sis.hust.edu.vn </v>
      </c>
      <c r="G382" s="341" t="str">
        <f>IFERROR(__xludf.DUMMYFUNCTION("REGEXEXTRACT(C382, ""\d{8}"")"),"20224903")</f>
        <v>20224903</v>
      </c>
      <c r="H382" s="341" t="s">
        <v>551</v>
      </c>
      <c r="I382" s="341">
        <v>1.0</v>
      </c>
      <c r="Q382" s="341" t="s">
        <v>4051</v>
      </c>
    </row>
    <row r="383">
      <c r="B383" s="340">
        <v>383.0</v>
      </c>
      <c r="C383" s="341" t="str">
        <f>IFERROR(__xludf.DUMMYFUNCTION("""COMPUTED_VALUE"""),"Trần Vương Hoàng - 20224855 - hoang.tv224855@sis.hust.edu.vn ")</f>
        <v>Trần Vương Hoàng - 20224855 - hoang.tv224855@sis.hust.edu.vn </v>
      </c>
      <c r="G383" s="341" t="str">
        <f>IFERROR(__xludf.DUMMYFUNCTION("REGEXEXTRACT(C383, ""\d{8}"")"),"20224855")</f>
        <v>20224855</v>
      </c>
      <c r="H383" s="341" t="s">
        <v>552</v>
      </c>
      <c r="I383" s="341">
        <v>1.0</v>
      </c>
      <c r="Q383" s="341" t="s">
        <v>4051</v>
      </c>
    </row>
    <row r="384">
      <c r="B384" s="340">
        <v>384.0</v>
      </c>
      <c r="C384" s="341" t="str">
        <f>IFERROR(__xludf.DUMMYFUNCTION("""COMPUTED_VALUE"""),"Phạm Quang Hưng - 20220030 - hung.pq220030@sis.hust.edu.vn ")</f>
        <v>Phạm Quang Hưng - 20220030 - hung.pq220030@sis.hust.edu.vn </v>
      </c>
      <c r="G384" s="341" t="str">
        <f>IFERROR(__xludf.DUMMYFUNCTION("REGEXEXTRACT(C384, ""\d{8}"")"),"20220030")</f>
        <v>20220030</v>
      </c>
      <c r="H384" s="341" t="s">
        <v>553</v>
      </c>
      <c r="I384" s="341">
        <v>1.0</v>
      </c>
      <c r="Q384" s="341" t="s">
        <v>4051</v>
      </c>
    </row>
    <row r="385">
      <c r="B385" s="340">
        <v>385.0</v>
      </c>
      <c r="C385" s="341" t="str">
        <f>IFERROR(__xludf.DUMMYFUNCTION("""COMPUTED_VALUE"""),"Nguyễn Đăng Phúc - 20220040 - phuc.nd220040@sis.hust.edu.vn ")</f>
        <v>Nguyễn Đăng Phúc - 20220040 - phuc.nd220040@sis.hust.edu.vn </v>
      </c>
      <c r="G385" s="341" t="str">
        <f>IFERROR(__xludf.DUMMYFUNCTION("REGEXEXTRACT(C385, ""\d{8}"")"),"20220040")</f>
        <v>20220040</v>
      </c>
      <c r="H385" s="341" t="s">
        <v>554</v>
      </c>
      <c r="I385" s="341">
        <v>1.0</v>
      </c>
      <c r="Q385" s="341" t="s">
        <v>4051</v>
      </c>
    </row>
    <row r="386">
      <c r="B386" s="340">
        <v>386.0</v>
      </c>
      <c r="C386" s="341" t="str">
        <f>IFERROR(__xludf.DUMMYFUNCTION("""COMPUTED_VALUE"""),"Hoàng Quốc Hùng - 20224857 - hung.hq224857@sis.hust.edu.vn")</f>
        <v>Hoàng Quốc Hùng - 20224857 - hung.hq224857@sis.hust.edu.vn</v>
      </c>
      <c r="G386" s="341" t="str">
        <f>IFERROR(__xludf.DUMMYFUNCTION("REGEXEXTRACT(C386, ""\d{8}"")"),"20224857")</f>
        <v>20224857</v>
      </c>
      <c r="H386" s="341" t="s">
        <v>555</v>
      </c>
      <c r="I386" s="341">
        <v>1.0</v>
      </c>
      <c r="Q386" s="341" t="s">
        <v>4051</v>
      </c>
    </row>
    <row r="387">
      <c r="B387" s="340">
        <v>387.0</v>
      </c>
      <c r="C387" s="341" t="str">
        <f>IFERROR(__xludf.DUMMYFUNCTION("""COMPUTED_VALUE"""),"Quản Tuấn Huy - 20225014 - huy.qt225014@sis.hust.edu.vn")</f>
        <v>Quản Tuấn Huy - 20225014 - huy.qt225014@sis.hust.edu.vn</v>
      </c>
      <c r="G387" s="341" t="str">
        <f>IFERROR(__xludf.DUMMYFUNCTION("REGEXEXTRACT(C387, ""\d{8}"")"),"20225014")</f>
        <v>20225014</v>
      </c>
      <c r="H387" s="341" t="s">
        <v>526</v>
      </c>
      <c r="I387" s="341">
        <v>1.0</v>
      </c>
      <c r="Q387" s="341" t="s">
        <v>4051</v>
      </c>
    </row>
    <row r="388">
      <c r="B388" s="340">
        <v>388.0</v>
      </c>
      <c r="C388" s="341" t="str">
        <f>IFERROR(__xludf.DUMMYFUNCTION("""COMPUTED_VALUE"""),"Nguyễn Hải Nam - 20225051 - nam.nh225051@sis.hust.edu.vn")</f>
        <v>Nguyễn Hải Nam - 20225051 - nam.nh225051@sis.hust.edu.vn</v>
      </c>
      <c r="G388" s="341" t="str">
        <f>IFERROR(__xludf.DUMMYFUNCTION("REGEXEXTRACT(C388, ""\d{8}"")"),"20225051")</f>
        <v>20225051</v>
      </c>
      <c r="H388" s="341" t="s">
        <v>527</v>
      </c>
      <c r="I388" s="341">
        <v>1.0</v>
      </c>
      <c r="Q388" s="341" t="s">
        <v>4051</v>
      </c>
    </row>
    <row r="389">
      <c r="B389" s="340">
        <v>389.0</v>
      </c>
      <c r="C389" s="341" t="str">
        <f>IFERROR(__xludf.DUMMYFUNCTION("""COMPUTED_VALUE"""),"Trần Thế Anh - 20224927 - anh.tt224927@sis.hust.edu.vn")</f>
        <v>Trần Thế Anh - 20224927 - anh.tt224927@sis.hust.edu.vn</v>
      </c>
      <c r="G389" s="341" t="str">
        <f>IFERROR(__xludf.DUMMYFUNCTION("REGEXEXTRACT(C389, ""\d{8}"")"),"20224927")</f>
        <v>20224927</v>
      </c>
      <c r="H389" s="341" t="s">
        <v>528</v>
      </c>
      <c r="I389" s="341">
        <v>1.0</v>
      </c>
      <c r="Q389" s="341" t="s">
        <v>4051</v>
      </c>
    </row>
    <row r="390">
      <c r="B390" s="340">
        <v>390.0</v>
      </c>
      <c r="C390" s="341" t="str">
        <f>IFERROR(__xludf.DUMMYFUNCTION("""COMPUTED_VALUE"""),"Dương Quang Anh - 20224916 - anh.dq224916@sis.hust.edu.vn")</f>
        <v>Dương Quang Anh - 20224916 - anh.dq224916@sis.hust.edu.vn</v>
      </c>
      <c r="G390" s="341" t="str">
        <f>IFERROR(__xludf.DUMMYFUNCTION("REGEXEXTRACT(C390, ""\d{8}"")"),"20224916")</f>
        <v>20224916</v>
      </c>
      <c r="H390" s="341" t="s">
        <v>529</v>
      </c>
      <c r="I390" s="341">
        <v>1.0</v>
      </c>
      <c r="Q390" s="341" t="s">
        <v>4051</v>
      </c>
    </row>
    <row r="391">
      <c r="B391" s="340">
        <v>391.0</v>
      </c>
      <c r="C391" s="341" t="str">
        <f>IFERROR(__xludf.DUMMYFUNCTION("""COMPUTED_VALUE"""),"Phạm Trung Kiên - 20225026 - kienpham1392004@gmail.com")</f>
        <v>Phạm Trung Kiên - 20225026 - kienpham1392004@gmail.com</v>
      </c>
      <c r="G391" s="341" t="str">
        <f>IFERROR(__xludf.DUMMYFUNCTION("REGEXEXTRACT(C391, ""\d{8}"")"),"20225026")</f>
        <v>20225026</v>
      </c>
      <c r="H391" s="341" t="s">
        <v>530</v>
      </c>
      <c r="I391" s="341">
        <v>1.0</v>
      </c>
      <c r="Q391" s="341" t="s">
        <v>4051</v>
      </c>
    </row>
    <row r="392">
      <c r="B392" s="340">
        <v>392.0</v>
      </c>
      <c r="C392" s="341" t="str">
        <f>IFERROR(__xludf.DUMMYFUNCTION("""COMPUTED_VALUE"""),"Liễu Bảo Bảo - 20224929 - bao.lb224929@sis.hust.edu.vn")</f>
        <v>Liễu Bảo Bảo - 20224929 - bao.lb224929@sis.hust.edu.vn</v>
      </c>
      <c r="G392" s="341" t="str">
        <f>IFERROR(__xludf.DUMMYFUNCTION("REGEXEXTRACT(C392, ""\d{8}"")"),"20224929")</f>
        <v>20224929</v>
      </c>
      <c r="H392" s="341" t="s">
        <v>536</v>
      </c>
      <c r="I392" s="341">
        <v>1.0</v>
      </c>
      <c r="Q392" s="341" t="s">
        <v>4051</v>
      </c>
    </row>
    <row r="393">
      <c r="B393" s="340">
        <v>393.0</v>
      </c>
      <c r="C393" s="341" t="str">
        <f>IFERROR(__xludf.DUMMYFUNCTION("""COMPUTED_VALUE"""),"Trần Anh Đức - 20220120 - duc.ta220120@sis.hust.edu.vn")</f>
        <v>Trần Anh Đức - 20220120 - duc.ta220120@sis.hust.edu.vn</v>
      </c>
      <c r="G393" s="341" t="str">
        <f>IFERROR(__xludf.DUMMYFUNCTION("REGEXEXTRACT(C393, ""\d{8}"")"),"20220120")</f>
        <v>20220120</v>
      </c>
      <c r="H393" s="341" t="s">
        <v>537</v>
      </c>
      <c r="I393" s="341">
        <v>1.0</v>
      </c>
      <c r="Q393" s="341" t="s">
        <v>4051</v>
      </c>
    </row>
    <row r="394">
      <c r="B394" s="340">
        <v>394.0</v>
      </c>
      <c r="C394" s="341" t="str">
        <f>IFERROR(__xludf.DUMMYFUNCTION("""COMPUTED_VALUE"""),"Nguyễn Công Hùng - 20224858 - hung.nc224858@sis.hust.edu.vn")</f>
        <v>Nguyễn Công Hùng - 20224858 - hung.nc224858@sis.hust.edu.vn</v>
      </c>
      <c r="G394" s="341" t="str">
        <f>IFERROR(__xludf.DUMMYFUNCTION("REGEXEXTRACT(C394, ""\d{8}"")"),"20224858")</f>
        <v>20224858</v>
      </c>
      <c r="H394" s="341" t="s">
        <v>538</v>
      </c>
      <c r="I394" s="341">
        <v>1.0</v>
      </c>
      <c r="Q394" s="341" t="s">
        <v>4051</v>
      </c>
    </row>
    <row r="395">
      <c r="B395" s="340">
        <v>395.0</v>
      </c>
      <c r="C395" s="341" t="str">
        <f>IFERROR(__xludf.DUMMYFUNCTION("""COMPUTED_VALUE"""),"Nguyễn Việt Long - 20225037 - long.nv225037@sis.hust.edu.vn")</f>
        <v>Nguyễn Việt Long - 20225037 - long.nv225037@sis.hust.edu.vn</v>
      </c>
      <c r="G395" s="341" t="str">
        <f>IFERROR(__xludf.DUMMYFUNCTION("REGEXEXTRACT(C395, ""\d{8}"")"),"20225037")</f>
        <v>20225037</v>
      </c>
      <c r="H395" s="341" t="s">
        <v>539</v>
      </c>
      <c r="I395" s="341">
        <v>1.0</v>
      </c>
      <c r="Q395" s="341" t="s">
        <v>4051</v>
      </c>
    </row>
    <row r="396">
      <c r="B396" s="340">
        <v>396.0</v>
      </c>
      <c r="C396" s="341" t="str">
        <f>IFERROR(__xludf.DUMMYFUNCTION("""COMPUTED_VALUE"""),"Chu Tuấn Nghĩa - 20225056 - nghia.ct225056@sis.hust.edu.vn")</f>
        <v>Chu Tuấn Nghĩa - 20225056 - nghia.ct225056@sis.hust.edu.vn</v>
      </c>
      <c r="G396" s="341" t="str">
        <f>IFERROR(__xludf.DUMMYFUNCTION("REGEXEXTRACT(C396, ""\d{8}"")"),"20225056")</f>
        <v>20225056</v>
      </c>
      <c r="H396" s="341" t="s">
        <v>540</v>
      </c>
      <c r="I396" s="341">
        <v>1.0</v>
      </c>
      <c r="Q396" s="341" t="s">
        <v>4051</v>
      </c>
    </row>
    <row r="397">
      <c r="B397" s="340">
        <v>397.0</v>
      </c>
      <c r="C397" s="341" t="str">
        <f>IFERROR(__xludf.DUMMYFUNCTION("""COMPUTED_VALUE"""),"Nguyễn Thành Trung - 20225105 - trung.nt225105@sis.hust.edu.vn")</f>
        <v>Nguyễn Thành Trung - 20225105 - trung.nt225105@sis.hust.edu.vn</v>
      </c>
      <c r="G397" s="341" t="str">
        <f>IFERROR(__xludf.DUMMYFUNCTION("REGEXEXTRACT(C397, ""\d{8}"")"),"20225105")</f>
        <v>20225105</v>
      </c>
      <c r="H397" s="341" t="s">
        <v>541</v>
      </c>
      <c r="I397" s="341">
        <v>1.0</v>
      </c>
      <c r="Q397" s="341" t="s">
        <v>4051</v>
      </c>
    </row>
    <row r="398">
      <c r="B398" s="340">
        <v>398.0</v>
      </c>
      <c r="C398" s="341" t="str">
        <f>IFERROR(__xludf.DUMMYFUNCTION("""COMPUTED_VALUE"""),"Dương Vũ Hoàng - 20224987 - hoang.dv224987@sis.hust.edu.vn")</f>
        <v>Dương Vũ Hoàng - 20224987 - hoang.dv224987@sis.hust.edu.vn</v>
      </c>
      <c r="G398" s="341" t="str">
        <f>IFERROR(__xludf.DUMMYFUNCTION("REGEXEXTRACT(C398, ""\d{8}"")"),"20224987")</f>
        <v>20224987</v>
      </c>
      <c r="H398" s="341" t="s">
        <v>542</v>
      </c>
      <c r="I398" s="341">
        <v>1.0</v>
      </c>
      <c r="Q398" s="341" t="s">
        <v>4051</v>
      </c>
    </row>
    <row r="399">
      <c r="B399" s="340">
        <v>399.0</v>
      </c>
      <c r="C399" s="341" t="str">
        <f>IFERROR(__xludf.DUMMYFUNCTION("""COMPUTED_VALUE"""),"Trịnh Mạnh Quỳnh - 20226064 - quynh.tm226064@sis.hust.edu.vn")</f>
        <v>Trịnh Mạnh Quỳnh - 20226064 - quynh.tm226064@sis.hust.edu.vn</v>
      </c>
      <c r="G399" s="341" t="str">
        <f>IFERROR(__xludf.DUMMYFUNCTION("REGEXEXTRACT(C399, ""\d{8}"")"),"20226064")</f>
        <v>20226064</v>
      </c>
      <c r="H399" s="341" t="s">
        <v>543</v>
      </c>
      <c r="I399" s="341">
        <v>1.0</v>
      </c>
      <c r="Q399" s="341" t="s">
        <v>4051</v>
      </c>
    </row>
    <row r="400">
      <c r="B400" s="340">
        <v>400.0</v>
      </c>
      <c r="C400" s="341" t="str">
        <f>IFERROR(__xludf.DUMMYFUNCTION("""COMPUTED_VALUE"""),"Hà Huy Hoàng - 20224988 - hoang.hh224988@sis.hust.edu.vn")</f>
        <v>Hà Huy Hoàng - 20224988 - hoang.hh224988@sis.hust.edu.vn</v>
      </c>
      <c r="G400" s="341" t="str">
        <f>IFERROR(__xludf.DUMMYFUNCTION("REGEXEXTRACT(C400, ""\d{8}"")"),"20224988")</f>
        <v>20224988</v>
      </c>
      <c r="H400" s="341" t="s">
        <v>544</v>
      </c>
      <c r="I400" s="341">
        <v>1.0</v>
      </c>
      <c r="Q400" s="341" t="s">
        <v>4051</v>
      </c>
    </row>
    <row r="401">
      <c r="B401" s="340">
        <v>401.0</v>
      </c>
      <c r="C401" s="341" t="str">
        <f>IFERROR(__xludf.DUMMYFUNCTION("""COMPUTED_VALUE"""),"Bùi Lê Huy - 20225005 - huybuile2004@gmail.com")</f>
        <v>Bùi Lê Huy - 20225005 - huybuile2004@gmail.com</v>
      </c>
      <c r="G401" s="341" t="str">
        <f>IFERROR(__xludf.DUMMYFUNCTION("REGEXEXTRACT(C401, ""\d{8}"")"),"20225005")</f>
        <v>20225005</v>
      </c>
      <c r="H401" s="341" t="s">
        <v>254</v>
      </c>
      <c r="I401" s="341">
        <v>1.0</v>
      </c>
      <c r="Q401" s="341" t="s">
        <v>4051</v>
      </c>
    </row>
    <row r="402">
      <c r="B402" s="340">
        <v>402.0</v>
      </c>
      <c r="C402" s="341" t="str">
        <f>IFERROR(__xludf.DUMMYFUNCTION("""COMPUTED_VALUE"""),"Bùi Lê Hùng - 20224994 - builehunghuy2004@gmail.com")</f>
        <v>Bùi Lê Hùng - 20224994 - builehunghuy2004@gmail.com</v>
      </c>
      <c r="G402" s="341" t="str">
        <f>IFERROR(__xludf.DUMMYFUNCTION("REGEXEXTRACT(C402, ""\d{8}"")"),"20224994")</f>
        <v>20224994</v>
      </c>
      <c r="H402" s="341" t="s">
        <v>255</v>
      </c>
      <c r="I402" s="341">
        <v>1.0</v>
      </c>
      <c r="Q402" s="341" t="s">
        <v>4051</v>
      </c>
    </row>
    <row r="403">
      <c r="B403" s="340">
        <v>403.0</v>
      </c>
      <c r="C403" s="341" t="str">
        <f>IFERROR(__xludf.DUMMYFUNCTION("""COMPUTED_VALUE"""),"Trương Ngọc Hải - 20225309 - Hai.TN225309@sis.hust.edu.vn")</f>
        <v>Trương Ngọc Hải - 20225309 - Hai.TN225309@sis.hust.edu.vn</v>
      </c>
      <c r="G403" s="341" t="str">
        <f>IFERROR(__xludf.DUMMYFUNCTION("REGEXEXTRACT(C403, ""\d{8}"")"),"20225309")</f>
        <v>20225309</v>
      </c>
      <c r="H403" s="341" t="s">
        <v>256</v>
      </c>
      <c r="I403" s="341">
        <v>1.0</v>
      </c>
      <c r="Q403" s="341" t="s">
        <v>4051</v>
      </c>
    </row>
    <row r="404">
      <c r="B404" s="340">
        <v>404.0</v>
      </c>
      <c r="C404" s="341" t="str">
        <f>IFERROR(__xludf.DUMMYFUNCTION("""COMPUTED_VALUE"""),"Trần Xuân Phúc - 20225379 - xuanphuctran269@gmail.com")</f>
        <v>Trần Xuân Phúc - 20225379 - xuanphuctran269@gmail.com</v>
      </c>
      <c r="G404" s="341" t="str">
        <f>IFERROR(__xludf.DUMMYFUNCTION("REGEXEXTRACT(C404, ""\d{8}"")"),"20225379")</f>
        <v>20225379</v>
      </c>
      <c r="H404" s="341" t="s">
        <v>257</v>
      </c>
      <c r="I404" s="341">
        <v>1.0</v>
      </c>
      <c r="Q404" s="341" t="s">
        <v>4051</v>
      </c>
    </row>
    <row r="405">
      <c r="B405" s="340">
        <v>405.0</v>
      </c>
      <c r="C405" s="341" t="str">
        <f>IFERROR(__xludf.DUMMYFUNCTION("""COMPUTED_VALUE"""),"Trịnh Vi Giang Xuân - 20225118 - toitenlaxuantk@gmail.com")</f>
        <v>Trịnh Vi Giang Xuân - 20225118 - toitenlaxuantk@gmail.com</v>
      </c>
      <c r="G405" s="341" t="str">
        <f>IFERROR(__xludf.DUMMYFUNCTION("REGEXEXTRACT(C405, ""\d{8}"")"),"20225118")</f>
        <v>20225118</v>
      </c>
      <c r="H405" s="341" t="s">
        <v>414</v>
      </c>
      <c r="I405" s="341">
        <v>1.0</v>
      </c>
      <c r="Q405" s="341" t="s">
        <v>4051</v>
      </c>
    </row>
    <row r="406">
      <c r="B406" s="340">
        <v>406.0</v>
      </c>
      <c r="C406" s="341" t="str">
        <f>IFERROR(__xludf.DUMMYFUNCTION("""COMPUTED_VALUE"""),"Bàng Tiến Thành - 20225669 - btthanh2004@gmail.com")</f>
        <v>Bàng Tiến Thành - 20225669 - btthanh2004@gmail.com</v>
      </c>
      <c r="G406" s="341" t="str">
        <f>IFERROR(__xludf.DUMMYFUNCTION("REGEXEXTRACT(C406, ""\d{8}"")"),"20225669")</f>
        <v>20225669</v>
      </c>
      <c r="H406" s="341" t="s">
        <v>415</v>
      </c>
      <c r="I406" s="341">
        <v>1.0</v>
      </c>
      <c r="Q406" s="341" t="s">
        <v>4051</v>
      </c>
    </row>
    <row r="407">
      <c r="B407" s="340">
        <v>407.0</v>
      </c>
      <c r="C407" s="341" t="str">
        <f>IFERROR(__xludf.DUMMYFUNCTION("""COMPUTED_VALUE"""),"Nguyễn Hoàng Sơn Tùng - 20225536 - tung.nhs225536@sis.hust.edu.vn")</f>
        <v>Nguyễn Hoàng Sơn Tùng - 20225536 - tung.nhs225536@sis.hust.edu.vn</v>
      </c>
      <c r="G407" s="341" t="str">
        <f>IFERROR(__xludf.DUMMYFUNCTION("REGEXEXTRACT(C407, ""\d{8}"")"),"20225536")</f>
        <v>20225536</v>
      </c>
      <c r="H407" s="341" t="s">
        <v>496</v>
      </c>
      <c r="I407" s="341">
        <v>1.0</v>
      </c>
      <c r="Q407" s="341" t="s">
        <v>4051</v>
      </c>
    </row>
    <row r="408">
      <c r="B408" s="340">
        <v>408.0</v>
      </c>
      <c r="C408" s="341" t="str">
        <f>IFERROR(__xludf.DUMMYFUNCTION("""COMPUTED_VALUE"""),"Vũ Tuấn Trường - 20225535 - truong.vt225535@sis.hust.edu.vn")</f>
        <v>Vũ Tuấn Trường - 20225535 - truong.vt225535@sis.hust.edu.vn</v>
      </c>
      <c r="G408" s="341" t="str">
        <f>IFERROR(__xludf.DUMMYFUNCTION("REGEXEXTRACT(C408, ""\d{8}"")"),"20225535")</f>
        <v>20225535</v>
      </c>
      <c r="H408" s="341" t="s">
        <v>497</v>
      </c>
      <c r="I408" s="341">
        <v>1.0</v>
      </c>
      <c r="Q408" s="341" t="s">
        <v>4051</v>
      </c>
    </row>
    <row r="409">
      <c r="B409" s="340">
        <v>409.0</v>
      </c>
      <c r="G409" s="361" t="s">
        <v>267</v>
      </c>
      <c r="H409" s="361" t="s">
        <v>267</v>
      </c>
      <c r="I409" s="341">
        <v>1.0</v>
      </c>
      <c r="Q409" s="341" t="s">
        <v>4051</v>
      </c>
    </row>
    <row r="410">
      <c r="B410" s="340">
        <v>410.0</v>
      </c>
      <c r="G410" s="361" t="s">
        <v>499</v>
      </c>
      <c r="H410" s="361" t="s">
        <v>499</v>
      </c>
      <c r="I410" s="341">
        <v>1.0</v>
      </c>
      <c r="Q410" s="341" t="s">
        <v>4051</v>
      </c>
    </row>
    <row r="411">
      <c r="B411" s="340">
        <v>411.0</v>
      </c>
      <c r="G411" s="361" t="s">
        <v>500</v>
      </c>
      <c r="H411" s="361" t="s">
        <v>500</v>
      </c>
      <c r="I411" s="341">
        <v>1.0</v>
      </c>
      <c r="Q411" s="341" t="s">
        <v>4051</v>
      </c>
    </row>
    <row r="412">
      <c r="B412" s="340">
        <v>412.0</v>
      </c>
      <c r="G412" s="361" t="s">
        <v>501</v>
      </c>
      <c r="H412" s="361" t="s">
        <v>501</v>
      </c>
      <c r="I412" s="341">
        <v>1.0</v>
      </c>
      <c r="Q412" s="341" t="s">
        <v>4051</v>
      </c>
    </row>
    <row r="413">
      <c r="B413" s="340">
        <v>413.0</v>
      </c>
      <c r="G413" s="361" t="s">
        <v>502</v>
      </c>
      <c r="H413" s="361" t="s">
        <v>502</v>
      </c>
      <c r="I413" s="341">
        <v>1.0</v>
      </c>
      <c r="Q413" s="341" t="s">
        <v>4051</v>
      </c>
    </row>
    <row r="414">
      <c r="B414" s="340">
        <v>414.0</v>
      </c>
      <c r="G414" s="361" t="s">
        <v>463</v>
      </c>
      <c r="H414" s="361" t="s">
        <v>463</v>
      </c>
      <c r="I414" s="341">
        <v>1.0</v>
      </c>
      <c r="Q414" s="341" t="s">
        <v>4051</v>
      </c>
    </row>
    <row r="415">
      <c r="B415" s="340">
        <v>415.0</v>
      </c>
      <c r="G415" s="361" t="s">
        <v>355</v>
      </c>
      <c r="H415" s="361" t="s">
        <v>355</v>
      </c>
      <c r="I415" s="341">
        <v>1.0</v>
      </c>
      <c r="Q415" s="341" t="s">
        <v>4051</v>
      </c>
    </row>
    <row r="416">
      <c r="B416" s="340">
        <v>416.0</v>
      </c>
      <c r="G416" s="361" t="s">
        <v>573</v>
      </c>
      <c r="H416" s="361" t="s">
        <v>573</v>
      </c>
      <c r="I416" s="341">
        <v>1.0</v>
      </c>
      <c r="Q416" s="341" t="s">
        <v>4051</v>
      </c>
    </row>
    <row r="417">
      <c r="B417" s="340">
        <v>417.0</v>
      </c>
      <c r="G417" s="361" t="s">
        <v>217</v>
      </c>
      <c r="H417" s="361" t="s">
        <v>217</v>
      </c>
      <c r="I417" s="341">
        <v>1.0</v>
      </c>
      <c r="Q417" s="341" t="s">
        <v>4051</v>
      </c>
    </row>
    <row r="418">
      <c r="B418" s="340">
        <v>418.0</v>
      </c>
      <c r="G418" s="361" t="s">
        <v>375</v>
      </c>
      <c r="H418" s="361" t="s">
        <v>375</v>
      </c>
      <c r="I418" s="341">
        <v>1.0</v>
      </c>
      <c r="Q418" s="341" t="s">
        <v>4051</v>
      </c>
    </row>
    <row r="419">
      <c r="B419" s="340">
        <v>419.0</v>
      </c>
      <c r="G419" s="361" t="s">
        <v>524</v>
      </c>
      <c r="H419" s="361" t="s">
        <v>524</v>
      </c>
      <c r="I419" s="341">
        <v>1.0</v>
      </c>
      <c r="Q419" s="341" t="s">
        <v>4051</v>
      </c>
    </row>
    <row r="420">
      <c r="B420" s="340">
        <v>420.0</v>
      </c>
      <c r="G420" s="361" t="s">
        <v>525</v>
      </c>
      <c r="H420" s="361" t="s">
        <v>525</v>
      </c>
      <c r="I420" s="341">
        <v>1.0</v>
      </c>
      <c r="Q420" s="341" t="s">
        <v>4051</v>
      </c>
    </row>
    <row r="421">
      <c r="B421" s="340">
        <v>421.0</v>
      </c>
      <c r="G421" s="361" t="s">
        <v>545</v>
      </c>
      <c r="H421" s="361" t="s">
        <v>545</v>
      </c>
      <c r="I421" s="341">
        <v>1.0</v>
      </c>
      <c r="Q421" s="341" t="s">
        <v>4051</v>
      </c>
    </row>
    <row r="422">
      <c r="B422" s="340">
        <v>422.0</v>
      </c>
      <c r="G422" s="361" t="s">
        <v>495</v>
      </c>
      <c r="H422" s="361" t="s">
        <v>495</v>
      </c>
      <c r="I422" s="341">
        <v>1.0</v>
      </c>
      <c r="Q422" s="341" t="s">
        <v>4051</v>
      </c>
    </row>
    <row r="423">
      <c r="B423" s="340">
        <v>423.0</v>
      </c>
      <c r="G423" s="361" t="s">
        <v>521</v>
      </c>
      <c r="H423" s="361" t="s">
        <v>521</v>
      </c>
      <c r="I423" s="341">
        <v>1.0</v>
      </c>
      <c r="Q423" s="341" t="s">
        <v>4051</v>
      </c>
    </row>
    <row r="424">
      <c r="B424" s="340">
        <v>424.0</v>
      </c>
      <c r="G424" s="361" t="s">
        <v>503</v>
      </c>
      <c r="H424" s="361" t="s">
        <v>503</v>
      </c>
      <c r="I424" s="341">
        <v>1.0</v>
      </c>
      <c r="Q424" s="341" t="s">
        <v>4051</v>
      </c>
    </row>
    <row r="425">
      <c r="B425" s="340">
        <v>425.0</v>
      </c>
      <c r="G425" s="361" t="s">
        <v>504</v>
      </c>
      <c r="H425" s="361" t="s">
        <v>504</v>
      </c>
      <c r="I425" s="341">
        <v>1.0</v>
      </c>
      <c r="Q425" s="341" t="s">
        <v>4051</v>
      </c>
    </row>
    <row r="426">
      <c r="B426" s="340">
        <v>426.0</v>
      </c>
      <c r="G426" s="361" t="s">
        <v>505</v>
      </c>
      <c r="H426" s="361" t="s">
        <v>505</v>
      </c>
      <c r="I426" s="341">
        <v>1.0</v>
      </c>
      <c r="Q426" s="341" t="s">
        <v>4051</v>
      </c>
    </row>
    <row r="427">
      <c r="B427" s="340">
        <v>427.0</v>
      </c>
      <c r="G427" s="361" t="s">
        <v>245</v>
      </c>
      <c r="H427" s="361" t="s">
        <v>245</v>
      </c>
      <c r="I427" s="341">
        <v>1.0</v>
      </c>
      <c r="Q427" s="341" t="s">
        <v>4051</v>
      </c>
    </row>
    <row r="428">
      <c r="B428" s="340">
        <v>428.0</v>
      </c>
      <c r="G428" s="361" t="s">
        <v>305</v>
      </c>
      <c r="H428" s="361" t="s">
        <v>305</v>
      </c>
      <c r="I428" s="341">
        <v>1.0</v>
      </c>
      <c r="Q428" s="341" t="s">
        <v>4051</v>
      </c>
    </row>
    <row r="429">
      <c r="B429" s="340">
        <v>429.0</v>
      </c>
      <c r="G429" s="361" t="s">
        <v>276</v>
      </c>
      <c r="H429" s="361" t="s">
        <v>276</v>
      </c>
      <c r="I429" s="341">
        <v>1.0</v>
      </c>
      <c r="Q429" s="341" t="s">
        <v>4051</v>
      </c>
    </row>
    <row r="430">
      <c r="B430" s="340">
        <v>430.0</v>
      </c>
      <c r="G430" s="361" t="s">
        <v>277</v>
      </c>
      <c r="H430" s="361" t="s">
        <v>277</v>
      </c>
      <c r="I430" s="341">
        <v>1.0</v>
      </c>
      <c r="Q430" s="341" t="s">
        <v>4051</v>
      </c>
    </row>
    <row r="431">
      <c r="B431" s="340">
        <v>431.0</v>
      </c>
      <c r="G431" s="361" t="s">
        <v>243</v>
      </c>
      <c r="H431" s="361" t="s">
        <v>243</v>
      </c>
      <c r="I431" s="341">
        <v>1.0</v>
      </c>
      <c r="Q431" s="341" t="s">
        <v>4051</v>
      </c>
    </row>
    <row r="432">
      <c r="B432" s="340">
        <v>432.0</v>
      </c>
      <c r="G432" s="361" t="s">
        <v>158</v>
      </c>
      <c r="H432" s="361" t="s">
        <v>158</v>
      </c>
      <c r="I432" s="341">
        <v>1.0</v>
      </c>
      <c r="Q432" s="341" t="s">
        <v>4051</v>
      </c>
    </row>
    <row r="433">
      <c r="B433" s="340">
        <v>433.0</v>
      </c>
      <c r="G433" s="361" t="s">
        <v>197</v>
      </c>
      <c r="H433" s="361" t="s">
        <v>197</v>
      </c>
      <c r="I433" s="341">
        <v>1.0</v>
      </c>
      <c r="Q433" s="341" t="s">
        <v>4051</v>
      </c>
    </row>
    <row r="434">
      <c r="B434" s="340">
        <v>434.0</v>
      </c>
      <c r="G434" s="361" t="s">
        <v>202</v>
      </c>
      <c r="H434" s="361" t="s">
        <v>202</v>
      </c>
      <c r="I434" s="341">
        <v>1.0</v>
      </c>
      <c r="Q434" s="341" t="s">
        <v>4051</v>
      </c>
    </row>
    <row r="435">
      <c r="B435" s="340">
        <v>435.0</v>
      </c>
      <c r="G435" s="361" t="s">
        <v>203</v>
      </c>
      <c r="H435" s="361" t="s">
        <v>203</v>
      </c>
      <c r="I435" s="341">
        <v>1.0</v>
      </c>
      <c r="Q435" s="341" t="s">
        <v>4051</v>
      </c>
    </row>
    <row r="436">
      <c r="B436" s="340">
        <v>436.0</v>
      </c>
      <c r="G436" s="361" t="s">
        <v>204</v>
      </c>
      <c r="H436" s="361" t="s">
        <v>204</v>
      </c>
      <c r="I436" s="341">
        <v>1.0</v>
      </c>
      <c r="Q436" s="341" t="s">
        <v>4051</v>
      </c>
    </row>
    <row r="437">
      <c r="B437" s="340">
        <v>437.0</v>
      </c>
      <c r="G437" s="361" t="s">
        <v>205</v>
      </c>
      <c r="H437" s="361" t="s">
        <v>205</v>
      </c>
      <c r="I437" s="341">
        <v>1.0</v>
      </c>
      <c r="Q437" s="341" t="s">
        <v>4051</v>
      </c>
    </row>
    <row r="438">
      <c r="B438" s="340">
        <v>438.0</v>
      </c>
      <c r="G438" s="361" t="s">
        <v>196</v>
      </c>
      <c r="H438" s="361" t="s">
        <v>196</v>
      </c>
      <c r="I438" s="341">
        <v>1.0</v>
      </c>
      <c r="Q438" s="341" t="s">
        <v>4051</v>
      </c>
    </row>
    <row r="439">
      <c r="B439" s="340">
        <v>439.0</v>
      </c>
      <c r="G439" s="361" t="s">
        <v>206</v>
      </c>
      <c r="H439" s="361" t="s">
        <v>206</v>
      </c>
      <c r="I439" s="341">
        <v>1.0</v>
      </c>
      <c r="Q439" s="341" t="s">
        <v>4051</v>
      </c>
    </row>
    <row r="440">
      <c r="B440" s="340">
        <v>440.0</v>
      </c>
      <c r="G440" s="361" t="s">
        <v>494</v>
      </c>
      <c r="H440" s="361" t="s">
        <v>494</v>
      </c>
      <c r="I440" s="341">
        <v>1.0</v>
      </c>
      <c r="Q440" s="341" t="s">
        <v>4051</v>
      </c>
    </row>
    <row r="441">
      <c r="B441" s="340">
        <v>441.0</v>
      </c>
      <c r="G441" s="361" t="s">
        <v>207</v>
      </c>
      <c r="H441" s="361" t="s">
        <v>207</v>
      </c>
      <c r="I441" s="341">
        <v>1.0</v>
      </c>
      <c r="Q441" s="341" t="s">
        <v>4051</v>
      </c>
    </row>
    <row r="442">
      <c r="B442" s="340">
        <v>442.0</v>
      </c>
      <c r="G442" s="361" t="s">
        <v>137</v>
      </c>
      <c r="H442" s="361" t="s">
        <v>137</v>
      </c>
      <c r="I442" s="341">
        <v>1.0</v>
      </c>
      <c r="Q442" s="341" t="s">
        <v>4051</v>
      </c>
    </row>
    <row r="443">
      <c r="B443" s="340">
        <v>443.0</v>
      </c>
      <c r="G443" s="361" t="s">
        <v>244</v>
      </c>
      <c r="H443" s="361" t="s">
        <v>244</v>
      </c>
      <c r="I443" s="341">
        <v>1.0</v>
      </c>
      <c r="Q443" s="341" t="s">
        <v>4051</v>
      </c>
    </row>
    <row r="444">
      <c r="B444" s="340">
        <v>444.0</v>
      </c>
      <c r="G444" s="361" t="s">
        <v>25</v>
      </c>
      <c r="H444" s="361" t="s">
        <v>25</v>
      </c>
      <c r="I444" s="341">
        <v>1.0</v>
      </c>
      <c r="Q444" s="341" t="s">
        <v>4051</v>
      </c>
    </row>
    <row r="445">
      <c r="B445" s="340">
        <v>445.0</v>
      </c>
      <c r="G445" s="361" t="s">
        <v>246</v>
      </c>
      <c r="H445" s="361" t="s">
        <v>246</v>
      </c>
      <c r="I445" s="341">
        <v>1.0</v>
      </c>
      <c r="Q445" s="341" t="s">
        <v>4051</v>
      </c>
    </row>
    <row r="446">
      <c r="B446" s="340">
        <v>446.0</v>
      </c>
      <c r="G446" s="361" t="s">
        <v>247</v>
      </c>
      <c r="H446" s="361" t="s">
        <v>247</v>
      </c>
      <c r="I446" s="341">
        <v>1.0</v>
      </c>
      <c r="Q446" s="341" t="s">
        <v>4051</v>
      </c>
    </row>
    <row r="447">
      <c r="B447" s="340">
        <v>447.0</v>
      </c>
      <c r="G447" s="361" t="s">
        <v>498</v>
      </c>
      <c r="H447" s="361" t="s">
        <v>498</v>
      </c>
      <c r="I447" s="341">
        <v>1.0</v>
      </c>
      <c r="Q447" s="341" t="s">
        <v>4051</v>
      </c>
    </row>
    <row r="448">
      <c r="B448" s="362"/>
      <c r="H448" s="363">
        <v>2.0215611E7</v>
      </c>
      <c r="I448" s="341">
        <v>1.0</v>
      </c>
      <c r="Q448" s="341" t="s">
        <v>4051</v>
      </c>
    </row>
    <row r="449">
      <c r="B449" s="362"/>
      <c r="H449" s="114">
        <v>2.0220046E7</v>
      </c>
      <c r="I449" s="341">
        <v>1.0</v>
      </c>
      <c r="Q449" s="341" t="s">
        <v>4051</v>
      </c>
    </row>
    <row r="450">
      <c r="B450" s="362"/>
      <c r="H450" s="361" t="s">
        <v>424</v>
      </c>
      <c r="I450" s="341">
        <v>1.0</v>
      </c>
      <c r="Q450" s="341" t="s">
        <v>4051</v>
      </c>
    </row>
    <row r="451">
      <c r="B451" s="362"/>
      <c r="H451" s="114">
        <v>2.0225228E7</v>
      </c>
      <c r="I451" s="341">
        <v>1.0</v>
      </c>
      <c r="Q451" s="341" t="s">
        <v>4051</v>
      </c>
    </row>
    <row r="452">
      <c r="B452" s="362"/>
      <c r="I452" s="341" t="s">
        <v>4051</v>
      </c>
      <c r="Q452" s="341" t="s">
        <v>4051</v>
      </c>
    </row>
    <row r="453">
      <c r="B453" s="362"/>
      <c r="I453" s="341" t="s">
        <v>4051</v>
      </c>
      <c r="Q453" s="341" t="s">
        <v>4051</v>
      </c>
    </row>
    <row r="454">
      <c r="B454" s="362"/>
      <c r="I454" s="341" t="s">
        <v>4051</v>
      </c>
      <c r="Q454" s="341" t="s">
        <v>4051</v>
      </c>
    </row>
    <row r="455">
      <c r="B455" s="362"/>
      <c r="I455" s="341" t="s">
        <v>4051</v>
      </c>
      <c r="Q455" s="341" t="s">
        <v>4051</v>
      </c>
    </row>
    <row r="456">
      <c r="B456" s="362"/>
      <c r="I456" s="341" t="s">
        <v>4051</v>
      </c>
      <c r="Q456" s="341" t="s">
        <v>4051</v>
      </c>
    </row>
    <row r="457">
      <c r="B457" s="362"/>
      <c r="I457" s="341" t="s">
        <v>4051</v>
      </c>
      <c r="Q457" s="341" t="s">
        <v>4051</v>
      </c>
    </row>
    <row r="458">
      <c r="B458" s="362"/>
      <c r="I458" s="341" t="s">
        <v>4051</v>
      </c>
      <c r="Q458" s="341" t="s">
        <v>4051</v>
      </c>
    </row>
    <row r="459">
      <c r="B459" s="362"/>
      <c r="I459" s="341" t="s">
        <v>4051</v>
      </c>
      <c r="Q459" s="341" t="s">
        <v>4051</v>
      </c>
    </row>
    <row r="460">
      <c r="B460" s="362"/>
      <c r="I460" s="341" t="s">
        <v>4051</v>
      </c>
      <c r="Q460" s="341" t="s">
        <v>4051</v>
      </c>
    </row>
    <row r="461">
      <c r="B461" s="362"/>
      <c r="I461" s="341" t="s">
        <v>4051</v>
      </c>
      <c r="Q461" s="341" t="s">
        <v>4051</v>
      </c>
    </row>
    <row r="462">
      <c r="B462" s="362"/>
      <c r="I462" s="341" t="s">
        <v>4051</v>
      </c>
      <c r="Q462" s="341" t="s">
        <v>4051</v>
      </c>
    </row>
    <row r="463">
      <c r="B463" s="362"/>
      <c r="I463" s="341" t="s">
        <v>4051</v>
      </c>
      <c r="Q463" s="341" t="s">
        <v>4051</v>
      </c>
    </row>
    <row r="464">
      <c r="B464" s="362"/>
      <c r="I464" s="341" t="s">
        <v>4051</v>
      </c>
      <c r="Q464" s="341" t="s">
        <v>4051</v>
      </c>
    </row>
    <row r="465">
      <c r="B465" s="362"/>
      <c r="I465" s="341" t="s">
        <v>4051</v>
      </c>
      <c r="Q465" s="341" t="s">
        <v>4051</v>
      </c>
    </row>
    <row r="466">
      <c r="B466" s="362"/>
      <c r="I466" s="341" t="s">
        <v>4051</v>
      </c>
      <c r="Q466" s="341" t="s">
        <v>4051</v>
      </c>
    </row>
    <row r="467">
      <c r="B467" s="362"/>
      <c r="I467" s="341" t="s">
        <v>4051</v>
      </c>
      <c r="Q467" s="341" t="s">
        <v>4051</v>
      </c>
    </row>
    <row r="468">
      <c r="B468" s="362"/>
      <c r="I468" s="341" t="s">
        <v>4051</v>
      </c>
      <c r="Q468" s="341" t="s">
        <v>4051</v>
      </c>
    </row>
    <row r="469">
      <c r="B469" s="362"/>
      <c r="I469" s="341" t="s">
        <v>4051</v>
      </c>
      <c r="Q469" s="341" t="s">
        <v>4051</v>
      </c>
    </row>
    <row r="470">
      <c r="B470" s="362"/>
      <c r="I470" s="341" t="s">
        <v>4051</v>
      </c>
      <c r="Q470" s="341" t="s">
        <v>4051</v>
      </c>
    </row>
    <row r="471">
      <c r="B471" s="362"/>
      <c r="I471" s="341" t="s">
        <v>4051</v>
      </c>
      <c r="Q471" s="341" t="s">
        <v>4051</v>
      </c>
    </row>
    <row r="472">
      <c r="B472" s="362"/>
      <c r="I472" s="341" t="s">
        <v>4051</v>
      </c>
      <c r="Q472" s="341" t="s">
        <v>4051</v>
      </c>
    </row>
    <row r="473">
      <c r="B473" s="362"/>
      <c r="I473" s="341" t="s">
        <v>4051</v>
      </c>
      <c r="Q473" s="341" t="s">
        <v>4051</v>
      </c>
    </row>
    <row r="474">
      <c r="B474" s="362"/>
      <c r="I474" s="341" t="s">
        <v>4051</v>
      </c>
      <c r="Q474" s="341" t="s">
        <v>4051</v>
      </c>
    </row>
    <row r="475">
      <c r="B475" s="362"/>
      <c r="I475" s="341" t="s">
        <v>4051</v>
      </c>
      <c r="Q475" s="341" t="s">
        <v>4051</v>
      </c>
    </row>
    <row r="476">
      <c r="B476" s="362"/>
      <c r="I476" s="341" t="s">
        <v>4051</v>
      </c>
      <c r="Q476" s="341" t="s">
        <v>4051</v>
      </c>
    </row>
    <row r="477">
      <c r="B477" s="362"/>
      <c r="I477" s="341" t="s">
        <v>4051</v>
      </c>
      <c r="Q477" s="341" t="s">
        <v>4051</v>
      </c>
    </row>
    <row r="478">
      <c r="B478" s="362"/>
      <c r="I478" s="341" t="s">
        <v>4051</v>
      </c>
      <c r="Q478" s="341" t="s">
        <v>4051</v>
      </c>
    </row>
    <row r="479">
      <c r="B479" s="362"/>
      <c r="I479" s="341" t="s">
        <v>4051</v>
      </c>
      <c r="Q479" s="341" t="s">
        <v>4051</v>
      </c>
    </row>
    <row r="480">
      <c r="B480" s="362"/>
      <c r="I480" s="341" t="s">
        <v>4051</v>
      </c>
      <c r="Q480" s="341" t="s">
        <v>4051</v>
      </c>
    </row>
    <row r="481">
      <c r="B481" s="362"/>
      <c r="I481" s="341" t="s">
        <v>4051</v>
      </c>
      <c r="Q481" s="341" t="s">
        <v>4051</v>
      </c>
    </row>
    <row r="482">
      <c r="B482" s="362"/>
      <c r="I482" s="341" t="s">
        <v>4051</v>
      </c>
      <c r="Q482" s="341" t="s">
        <v>4051</v>
      </c>
    </row>
    <row r="483">
      <c r="B483" s="362"/>
      <c r="I483" s="341" t="s">
        <v>4051</v>
      </c>
      <c r="Q483" s="341" t="s">
        <v>4051</v>
      </c>
    </row>
    <row r="484">
      <c r="B484" s="362"/>
      <c r="I484" s="341" t="s">
        <v>4051</v>
      </c>
      <c r="Q484" s="341" t="s">
        <v>4051</v>
      </c>
    </row>
    <row r="485">
      <c r="B485" s="362"/>
      <c r="I485" s="341" t="s">
        <v>4051</v>
      </c>
      <c r="Q485" s="341" t="s">
        <v>4051</v>
      </c>
    </row>
    <row r="486">
      <c r="B486" s="362"/>
      <c r="I486" s="341" t="s">
        <v>4051</v>
      </c>
      <c r="Q486" s="341" t="s">
        <v>4051</v>
      </c>
    </row>
    <row r="487">
      <c r="B487" s="362"/>
      <c r="I487" s="341" t="s">
        <v>4051</v>
      </c>
      <c r="Q487" s="341" t="s">
        <v>4051</v>
      </c>
    </row>
    <row r="488">
      <c r="B488" s="362"/>
      <c r="I488" s="341" t="s">
        <v>4051</v>
      </c>
      <c r="Q488" s="341" t="s">
        <v>4051</v>
      </c>
    </row>
    <row r="489">
      <c r="B489" s="362"/>
      <c r="I489" s="341" t="s">
        <v>4051</v>
      </c>
      <c r="Q489" s="341" t="s">
        <v>4051</v>
      </c>
    </row>
    <row r="490">
      <c r="B490" s="362"/>
      <c r="I490" s="341" t="s">
        <v>4051</v>
      </c>
      <c r="Q490" s="341" t="s">
        <v>4051</v>
      </c>
    </row>
    <row r="491">
      <c r="B491" s="362"/>
      <c r="I491" s="341" t="s">
        <v>4051</v>
      </c>
      <c r="Q491" s="341" t="s">
        <v>4051</v>
      </c>
    </row>
    <row r="492">
      <c r="B492" s="362"/>
      <c r="I492" s="341" t="s">
        <v>4051</v>
      </c>
      <c r="Q492" s="341" t="s">
        <v>4051</v>
      </c>
    </row>
    <row r="493">
      <c r="B493" s="362"/>
      <c r="I493" s="341" t="s">
        <v>4051</v>
      </c>
      <c r="Q493" s="341" t="s">
        <v>4051</v>
      </c>
    </row>
    <row r="494">
      <c r="B494" s="362"/>
      <c r="I494" s="341" t="s">
        <v>4051</v>
      </c>
      <c r="Q494" s="341" t="s">
        <v>4051</v>
      </c>
    </row>
    <row r="495">
      <c r="B495" s="362"/>
      <c r="I495" s="341" t="s">
        <v>4051</v>
      </c>
      <c r="Q495" s="341" t="s">
        <v>4051</v>
      </c>
    </row>
    <row r="496">
      <c r="B496" s="362"/>
      <c r="I496" s="341" t="s">
        <v>4051</v>
      </c>
      <c r="Q496" s="341" t="s">
        <v>4051</v>
      </c>
    </row>
    <row r="497">
      <c r="B497" s="362"/>
      <c r="I497" s="341" t="s">
        <v>4051</v>
      </c>
      <c r="Q497" s="341" t="s">
        <v>4051</v>
      </c>
    </row>
    <row r="498">
      <c r="B498" s="362"/>
      <c r="I498" s="341" t="s">
        <v>4051</v>
      </c>
      <c r="Q498" s="341" t="s">
        <v>4051</v>
      </c>
    </row>
    <row r="499">
      <c r="B499" s="362"/>
      <c r="I499" s="341" t="s">
        <v>4051</v>
      </c>
      <c r="Q499" s="341" t="s">
        <v>4051</v>
      </c>
    </row>
    <row r="500">
      <c r="B500" s="362"/>
      <c r="I500" s="341" t="s">
        <v>4051</v>
      </c>
      <c r="Q500" s="341" t="s">
        <v>4051</v>
      </c>
    </row>
    <row r="501">
      <c r="B501" s="362"/>
      <c r="I501" s="341" t="s">
        <v>4051</v>
      </c>
      <c r="Q501" s="341" t="s">
        <v>4051</v>
      </c>
    </row>
    <row r="502">
      <c r="B502" s="362"/>
      <c r="I502" s="341" t="s">
        <v>4051</v>
      </c>
      <c r="Q502" s="341" t="s">
        <v>4051</v>
      </c>
    </row>
    <row r="503">
      <c r="B503" s="362"/>
      <c r="I503" s="341" t="s">
        <v>4051</v>
      </c>
      <c r="Q503" s="341" t="s">
        <v>4051</v>
      </c>
    </row>
    <row r="504">
      <c r="B504" s="362"/>
      <c r="I504" s="341" t="s">
        <v>4051</v>
      </c>
      <c r="Q504" s="341" t="s">
        <v>4051</v>
      </c>
    </row>
    <row r="505">
      <c r="B505" s="362"/>
      <c r="I505" s="341" t="s">
        <v>4051</v>
      </c>
      <c r="Q505" s="341" t="s">
        <v>4051</v>
      </c>
    </row>
    <row r="506">
      <c r="B506" s="362"/>
      <c r="I506" s="341" t="s">
        <v>4051</v>
      </c>
      <c r="Q506" s="341" t="s">
        <v>4051</v>
      </c>
    </row>
    <row r="507">
      <c r="B507" s="362"/>
      <c r="I507" s="341" t="s">
        <v>4051</v>
      </c>
      <c r="Q507" s="341" t="s">
        <v>4051</v>
      </c>
    </row>
    <row r="508">
      <c r="B508" s="362"/>
      <c r="I508" s="341" t="s">
        <v>4051</v>
      </c>
      <c r="Q508" s="341" t="s">
        <v>4051</v>
      </c>
    </row>
    <row r="509">
      <c r="B509" s="362"/>
      <c r="I509" s="341" t="s">
        <v>4051</v>
      </c>
      <c r="Q509" s="341" t="s">
        <v>4051</v>
      </c>
    </row>
    <row r="510">
      <c r="B510" s="362"/>
      <c r="I510" s="341" t="s">
        <v>4051</v>
      </c>
      <c r="Q510" s="341" t="s">
        <v>4051</v>
      </c>
    </row>
    <row r="511">
      <c r="B511" s="362"/>
      <c r="I511" s="341" t="s">
        <v>4051</v>
      </c>
      <c r="Q511" s="341" t="s">
        <v>4051</v>
      </c>
    </row>
    <row r="512">
      <c r="B512" s="362"/>
      <c r="I512" s="341" t="s">
        <v>4051</v>
      </c>
      <c r="Q512" s="341" t="s">
        <v>4051</v>
      </c>
    </row>
    <row r="513">
      <c r="B513" s="362"/>
      <c r="I513" s="341" t="s">
        <v>4051</v>
      </c>
      <c r="Q513" s="341" t="s">
        <v>4051</v>
      </c>
    </row>
    <row r="514">
      <c r="B514" s="362"/>
      <c r="I514" s="341" t="s">
        <v>4051</v>
      </c>
      <c r="Q514" s="341" t="s">
        <v>4051</v>
      </c>
    </row>
    <row r="515">
      <c r="B515" s="362"/>
      <c r="I515" s="341" t="s">
        <v>4051</v>
      </c>
      <c r="Q515" s="341" t="s">
        <v>4051</v>
      </c>
    </row>
    <row r="516">
      <c r="B516" s="362"/>
      <c r="I516" s="341" t="s">
        <v>4051</v>
      </c>
      <c r="Q516" s="341" t="s">
        <v>4051</v>
      </c>
    </row>
    <row r="517">
      <c r="B517" s="362"/>
      <c r="I517" s="341" t="s">
        <v>4051</v>
      </c>
      <c r="Q517" s="341" t="s">
        <v>4051</v>
      </c>
    </row>
    <row r="518">
      <c r="B518" s="362"/>
      <c r="I518" s="341" t="s">
        <v>4051</v>
      </c>
      <c r="Q518" s="341" t="s">
        <v>4051</v>
      </c>
    </row>
    <row r="519">
      <c r="B519" s="362"/>
      <c r="I519" s="341" t="s">
        <v>4051</v>
      </c>
      <c r="Q519" s="341" t="s">
        <v>4051</v>
      </c>
    </row>
    <row r="520">
      <c r="B520" s="362"/>
      <c r="I520" s="341" t="s">
        <v>4051</v>
      </c>
      <c r="Q520" s="341" t="s">
        <v>4051</v>
      </c>
    </row>
    <row r="521">
      <c r="B521" s="362"/>
      <c r="I521" s="341" t="s">
        <v>4051</v>
      </c>
      <c r="Q521" s="341" t="s">
        <v>4051</v>
      </c>
    </row>
    <row r="522">
      <c r="B522" s="362"/>
      <c r="I522" s="341" t="s">
        <v>4051</v>
      </c>
      <c r="Q522" s="341" t="s">
        <v>4051</v>
      </c>
    </row>
    <row r="523">
      <c r="B523" s="362"/>
      <c r="I523" s="341" t="s">
        <v>4051</v>
      </c>
      <c r="Q523" s="341" t="s">
        <v>4051</v>
      </c>
    </row>
    <row r="524">
      <c r="B524" s="362"/>
      <c r="I524" s="341" t="s">
        <v>4051</v>
      </c>
      <c r="Q524" s="341" t="s">
        <v>4051</v>
      </c>
    </row>
    <row r="525">
      <c r="B525" s="362"/>
      <c r="I525" s="341" t="s">
        <v>4051</v>
      </c>
      <c r="Q525" s="341" t="s">
        <v>4051</v>
      </c>
    </row>
    <row r="526">
      <c r="B526" s="362"/>
      <c r="I526" s="341" t="s">
        <v>4051</v>
      </c>
      <c r="Q526" s="341" t="s">
        <v>4051</v>
      </c>
    </row>
    <row r="527">
      <c r="B527" s="362"/>
      <c r="I527" s="341" t="s">
        <v>4051</v>
      </c>
      <c r="Q527" s="341" t="s">
        <v>4051</v>
      </c>
    </row>
    <row r="528">
      <c r="B528" s="362"/>
      <c r="I528" s="341" t="s">
        <v>4051</v>
      </c>
      <c r="Q528" s="341" t="s">
        <v>4051</v>
      </c>
    </row>
    <row r="529">
      <c r="B529" s="362"/>
      <c r="I529" s="341" t="s">
        <v>4051</v>
      </c>
      <c r="Q529" s="341" t="s">
        <v>4051</v>
      </c>
    </row>
    <row r="530">
      <c r="B530" s="362"/>
      <c r="I530" s="341" t="s">
        <v>4051</v>
      </c>
      <c r="Q530" s="341" t="s">
        <v>4051</v>
      </c>
    </row>
    <row r="531">
      <c r="B531" s="362"/>
      <c r="I531" s="341" t="s">
        <v>4051</v>
      </c>
      <c r="Q531" s="341" t="s">
        <v>4051</v>
      </c>
    </row>
    <row r="532">
      <c r="B532" s="362"/>
      <c r="I532" s="341" t="s">
        <v>4051</v>
      </c>
      <c r="Q532" s="341" t="s">
        <v>4051</v>
      </c>
    </row>
    <row r="533">
      <c r="B533" s="362"/>
      <c r="I533" s="341" t="s">
        <v>4051</v>
      </c>
      <c r="Q533" s="341" t="s">
        <v>4051</v>
      </c>
    </row>
    <row r="534">
      <c r="B534" s="362"/>
      <c r="I534" s="341" t="s">
        <v>4051</v>
      </c>
      <c r="Q534" s="341" t="s">
        <v>4051</v>
      </c>
    </row>
    <row r="535">
      <c r="B535" s="362"/>
      <c r="I535" s="341" t="s">
        <v>4051</v>
      </c>
      <c r="Q535" s="341" t="s">
        <v>4051</v>
      </c>
    </row>
    <row r="536">
      <c r="B536" s="362"/>
      <c r="I536" s="341" t="s">
        <v>4051</v>
      </c>
      <c r="Q536" s="341" t="s">
        <v>4051</v>
      </c>
    </row>
    <row r="537">
      <c r="B537" s="362"/>
      <c r="I537" s="341" t="s">
        <v>4051</v>
      </c>
      <c r="Q537" s="341" t="s">
        <v>4051</v>
      </c>
    </row>
    <row r="538">
      <c r="B538" s="362"/>
      <c r="I538" s="341" t="s">
        <v>4051</v>
      </c>
      <c r="Q538" s="341" t="s">
        <v>4051</v>
      </c>
    </row>
    <row r="539">
      <c r="B539" s="362"/>
      <c r="I539" s="341" t="s">
        <v>4051</v>
      </c>
      <c r="Q539" s="341" t="s">
        <v>4051</v>
      </c>
    </row>
    <row r="540">
      <c r="B540" s="362"/>
      <c r="I540" s="341" t="s">
        <v>4051</v>
      </c>
      <c r="Q540" s="341" t="s">
        <v>4051</v>
      </c>
    </row>
    <row r="541">
      <c r="B541" s="362"/>
      <c r="I541" s="341" t="s">
        <v>4051</v>
      </c>
      <c r="Q541" s="341" t="s">
        <v>4051</v>
      </c>
    </row>
    <row r="542">
      <c r="B542" s="362"/>
      <c r="I542" s="341" t="s">
        <v>4051</v>
      </c>
      <c r="Q542" s="341" t="s">
        <v>4051</v>
      </c>
    </row>
    <row r="543">
      <c r="B543" s="362"/>
      <c r="I543" s="341" t="s">
        <v>4051</v>
      </c>
      <c r="Q543" s="341" t="s">
        <v>4051</v>
      </c>
    </row>
    <row r="544">
      <c r="B544" s="362"/>
      <c r="I544" s="341" t="s">
        <v>4051</v>
      </c>
      <c r="Q544" s="341" t="s">
        <v>4051</v>
      </c>
    </row>
    <row r="545">
      <c r="B545" s="362"/>
      <c r="I545" s="341" t="s">
        <v>4051</v>
      </c>
      <c r="Q545" s="341" t="s">
        <v>4051</v>
      </c>
    </row>
    <row r="546">
      <c r="B546" s="362"/>
      <c r="I546" s="341" t="s">
        <v>4051</v>
      </c>
      <c r="Q546" s="341" t="s">
        <v>4051</v>
      </c>
    </row>
    <row r="547">
      <c r="B547" s="362"/>
      <c r="I547" s="341" t="s">
        <v>4051</v>
      </c>
      <c r="Q547" s="341" t="s">
        <v>4051</v>
      </c>
    </row>
    <row r="548">
      <c r="B548" s="362"/>
      <c r="I548" s="341" t="s">
        <v>4051</v>
      </c>
      <c r="Q548" s="341" t="s">
        <v>4051</v>
      </c>
    </row>
    <row r="549">
      <c r="B549" s="362"/>
      <c r="I549" s="341" t="s">
        <v>4051</v>
      </c>
      <c r="Q549" s="341" t="s">
        <v>4051</v>
      </c>
    </row>
    <row r="550">
      <c r="B550" s="362"/>
      <c r="I550" s="341" t="s">
        <v>4051</v>
      </c>
      <c r="Q550" s="341" t="s">
        <v>4051</v>
      </c>
    </row>
    <row r="551">
      <c r="B551" s="362"/>
      <c r="I551" s="341" t="s">
        <v>4051</v>
      </c>
      <c r="Q551" s="341" t="s">
        <v>4051</v>
      </c>
    </row>
    <row r="552">
      <c r="B552" s="362"/>
      <c r="I552" s="341" t="s">
        <v>4051</v>
      </c>
      <c r="Q552" s="341" t="s">
        <v>4051</v>
      </c>
    </row>
    <row r="553">
      <c r="B553" s="362"/>
      <c r="I553" s="341" t="s">
        <v>4051</v>
      </c>
      <c r="Q553" s="341" t="s">
        <v>4051</v>
      </c>
    </row>
    <row r="554">
      <c r="B554" s="362"/>
      <c r="I554" s="341" t="s">
        <v>4051</v>
      </c>
      <c r="Q554" s="341" t="s">
        <v>4051</v>
      </c>
    </row>
    <row r="555">
      <c r="B555" s="362"/>
      <c r="I555" s="341" t="s">
        <v>4051</v>
      </c>
      <c r="Q555" s="341" t="s">
        <v>4051</v>
      </c>
    </row>
    <row r="556">
      <c r="B556" s="362"/>
      <c r="I556" s="341" t="s">
        <v>4051</v>
      </c>
      <c r="Q556" s="341" t="s">
        <v>4051</v>
      </c>
    </row>
    <row r="557">
      <c r="B557" s="362"/>
      <c r="I557" s="341" t="s">
        <v>4051</v>
      </c>
      <c r="Q557" s="341" t="s">
        <v>4051</v>
      </c>
    </row>
    <row r="558">
      <c r="B558" s="362"/>
      <c r="I558" s="341" t="s">
        <v>4051</v>
      </c>
      <c r="Q558" s="341" t="s">
        <v>4051</v>
      </c>
    </row>
    <row r="559">
      <c r="B559" s="362"/>
      <c r="I559" s="341" t="s">
        <v>4051</v>
      </c>
      <c r="Q559" s="341" t="s">
        <v>4051</v>
      </c>
    </row>
    <row r="560">
      <c r="B560" s="362"/>
      <c r="I560" s="341" t="s">
        <v>4051</v>
      </c>
      <c r="Q560" s="341" t="s">
        <v>4051</v>
      </c>
    </row>
    <row r="561">
      <c r="B561" s="362"/>
      <c r="I561" s="341" t="s">
        <v>4051</v>
      </c>
      <c r="Q561" s="341" t="s">
        <v>4051</v>
      </c>
    </row>
    <row r="562">
      <c r="B562" s="362"/>
      <c r="I562" s="341" t="s">
        <v>4051</v>
      </c>
      <c r="Q562" s="341" t="s">
        <v>4051</v>
      </c>
    </row>
    <row r="563">
      <c r="B563" s="362"/>
      <c r="I563" s="341" t="s">
        <v>4051</v>
      </c>
      <c r="Q563" s="341" t="s">
        <v>4051</v>
      </c>
    </row>
    <row r="564">
      <c r="B564" s="362"/>
      <c r="I564" s="341" t="s">
        <v>4051</v>
      </c>
      <c r="Q564" s="341" t="s">
        <v>4051</v>
      </c>
    </row>
    <row r="565">
      <c r="B565" s="362"/>
      <c r="I565" s="341" t="s">
        <v>4051</v>
      </c>
      <c r="Q565" s="341" t="s">
        <v>4051</v>
      </c>
    </row>
    <row r="566">
      <c r="B566" s="362"/>
      <c r="I566" s="341" t="s">
        <v>4051</v>
      </c>
      <c r="Q566" s="341" t="s">
        <v>4051</v>
      </c>
    </row>
    <row r="567">
      <c r="B567" s="362"/>
      <c r="I567" s="341" t="s">
        <v>4051</v>
      </c>
      <c r="Q567" s="341" t="s">
        <v>4051</v>
      </c>
    </row>
    <row r="568">
      <c r="B568" s="362"/>
      <c r="I568" s="341" t="s">
        <v>4051</v>
      </c>
      <c r="Q568" s="341" t="s">
        <v>4051</v>
      </c>
    </row>
    <row r="569">
      <c r="B569" s="362"/>
      <c r="I569" s="341" t="s">
        <v>4051</v>
      </c>
      <c r="Q569" s="341" t="s">
        <v>4051</v>
      </c>
    </row>
    <row r="570">
      <c r="B570" s="362"/>
      <c r="I570" s="341" t="s">
        <v>4051</v>
      </c>
      <c r="Q570" s="341" t="s">
        <v>4051</v>
      </c>
    </row>
    <row r="571">
      <c r="B571" s="362"/>
      <c r="I571" s="341" t="s">
        <v>4051</v>
      </c>
      <c r="Q571" s="341" t="s">
        <v>4051</v>
      </c>
    </row>
    <row r="572">
      <c r="B572" s="362"/>
      <c r="I572" s="341" t="s">
        <v>4051</v>
      </c>
      <c r="Q572" s="341" t="s">
        <v>4051</v>
      </c>
    </row>
    <row r="573">
      <c r="B573" s="362"/>
      <c r="I573" s="341" t="s">
        <v>4051</v>
      </c>
      <c r="Q573" s="341" t="s">
        <v>4051</v>
      </c>
    </row>
    <row r="574">
      <c r="B574" s="362"/>
      <c r="I574" s="341" t="s">
        <v>4051</v>
      </c>
      <c r="Q574" s="341" t="s">
        <v>4051</v>
      </c>
    </row>
    <row r="575">
      <c r="B575" s="362"/>
      <c r="I575" s="341" t="s">
        <v>4051</v>
      </c>
      <c r="Q575" s="341" t="s">
        <v>4051</v>
      </c>
    </row>
    <row r="576">
      <c r="B576" s="362"/>
      <c r="I576" s="341" t="s">
        <v>4051</v>
      </c>
      <c r="Q576" s="341" t="s">
        <v>4051</v>
      </c>
    </row>
    <row r="577">
      <c r="B577" s="362"/>
      <c r="I577" s="341" t="s">
        <v>4051</v>
      </c>
      <c r="Q577" s="341" t="s">
        <v>4051</v>
      </c>
    </row>
    <row r="578">
      <c r="B578" s="362"/>
      <c r="I578" s="341" t="s">
        <v>4051</v>
      </c>
      <c r="Q578" s="341" t="s">
        <v>4051</v>
      </c>
    </row>
    <row r="579">
      <c r="B579" s="362"/>
      <c r="I579" s="341" t="s">
        <v>4051</v>
      </c>
      <c r="Q579" s="341" t="s">
        <v>4051</v>
      </c>
    </row>
    <row r="580">
      <c r="B580" s="362"/>
      <c r="I580" s="341" t="s">
        <v>4051</v>
      </c>
      <c r="Q580" s="341" t="s">
        <v>4051</v>
      </c>
    </row>
    <row r="581">
      <c r="B581" s="362"/>
      <c r="I581" s="341" t="s">
        <v>4051</v>
      </c>
      <c r="Q581" s="341" t="s">
        <v>4051</v>
      </c>
    </row>
    <row r="582">
      <c r="B582" s="362"/>
      <c r="I582" s="341" t="s">
        <v>4051</v>
      </c>
      <c r="Q582" s="341" t="s">
        <v>4051</v>
      </c>
    </row>
    <row r="583">
      <c r="B583" s="362"/>
      <c r="I583" s="341" t="s">
        <v>4051</v>
      </c>
      <c r="Q583" s="341" t="s">
        <v>4051</v>
      </c>
    </row>
    <row r="584">
      <c r="B584" s="362"/>
      <c r="I584" s="341" t="s">
        <v>4051</v>
      </c>
      <c r="Q584" s="341" t="s">
        <v>4051</v>
      </c>
    </row>
    <row r="585">
      <c r="B585" s="362"/>
      <c r="I585" s="341" t="s">
        <v>4051</v>
      </c>
      <c r="Q585" s="341" t="s">
        <v>4051</v>
      </c>
    </row>
    <row r="586">
      <c r="B586" s="362"/>
      <c r="I586" s="341" t="s">
        <v>4051</v>
      </c>
      <c r="Q586" s="341" t="s">
        <v>4051</v>
      </c>
    </row>
    <row r="587">
      <c r="B587" s="362"/>
      <c r="I587" s="341" t="s">
        <v>4051</v>
      </c>
      <c r="Q587" s="341" t="s">
        <v>4051</v>
      </c>
    </row>
    <row r="588">
      <c r="B588" s="362"/>
      <c r="I588" s="341" t="s">
        <v>4051</v>
      </c>
      <c r="Q588" s="341" t="s">
        <v>4051</v>
      </c>
    </row>
    <row r="589">
      <c r="B589" s="362"/>
      <c r="I589" s="341" t="s">
        <v>4051</v>
      </c>
      <c r="Q589" s="341" t="s">
        <v>4051</v>
      </c>
    </row>
    <row r="590">
      <c r="B590" s="362"/>
      <c r="I590" s="341" t="s">
        <v>4051</v>
      </c>
      <c r="Q590" s="341" t="s">
        <v>4051</v>
      </c>
    </row>
    <row r="591">
      <c r="B591" s="362"/>
      <c r="I591" s="341" t="s">
        <v>4051</v>
      </c>
      <c r="Q591" s="341" t="s">
        <v>4051</v>
      </c>
    </row>
    <row r="592">
      <c r="B592" s="362"/>
      <c r="I592" s="341" t="s">
        <v>4051</v>
      </c>
      <c r="Q592" s="341" t="s">
        <v>4051</v>
      </c>
    </row>
    <row r="593">
      <c r="B593" s="362"/>
      <c r="I593" s="341" t="s">
        <v>4051</v>
      </c>
      <c r="Q593" s="341" t="s">
        <v>4051</v>
      </c>
    </row>
    <row r="594">
      <c r="B594" s="362"/>
      <c r="I594" s="341" t="s">
        <v>4051</v>
      </c>
      <c r="Q594" s="341" t="s">
        <v>4051</v>
      </c>
    </row>
    <row r="595">
      <c r="B595" s="362"/>
      <c r="I595" s="341" t="s">
        <v>4051</v>
      </c>
      <c r="Q595" s="341" t="s">
        <v>4051</v>
      </c>
    </row>
    <row r="596">
      <c r="B596" s="362"/>
      <c r="I596" s="341" t="s">
        <v>4051</v>
      </c>
      <c r="Q596" s="341" t="s">
        <v>4051</v>
      </c>
    </row>
    <row r="597">
      <c r="B597" s="362"/>
      <c r="I597" s="341" t="s">
        <v>4051</v>
      </c>
      <c r="Q597" s="341" t="s">
        <v>4051</v>
      </c>
    </row>
    <row r="598">
      <c r="B598" s="362"/>
      <c r="I598" s="341" t="s">
        <v>4051</v>
      </c>
      <c r="Q598" s="341" t="s">
        <v>4051</v>
      </c>
    </row>
    <row r="599">
      <c r="B599" s="362"/>
      <c r="I599" s="341" t="s">
        <v>4051</v>
      </c>
      <c r="Q599" s="341" t="s">
        <v>4051</v>
      </c>
    </row>
    <row r="600">
      <c r="B600" s="362"/>
      <c r="I600" s="341" t="s">
        <v>4051</v>
      </c>
      <c r="Q600" s="341" t="s">
        <v>4051</v>
      </c>
    </row>
    <row r="601">
      <c r="B601" s="362"/>
      <c r="I601" s="341" t="s">
        <v>4051</v>
      </c>
      <c r="Q601" s="341" t="s">
        <v>4051</v>
      </c>
    </row>
    <row r="602">
      <c r="B602" s="362"/>
      <c r="I602" s="341" t="s">
        <v>4051</v>
      </c>
      <c r="Q602" s="341" t="s">
        <v>4051</v>
      </c>
    </row>
    <row r="603">
      <c r="B603" s="362"/>
      <c r="I603" s="341" t="s">
        <v>4051</v>
      </c>
      <c r="Q603" s="341" t="s">
        <v>4051</v>
      </c>
    </row>
    <row r="604">
      <c r="B604" s="362"/>
      <c r="I604" s="341" t="s">
        <v>4051</v>
      </c>
      <c r="Q604" s="341" t="s">
        <v>4051</v>
      </c>
    </row>
    <row r="605">
      <c r="B605" s="362"/>
      <c r="I605" s="341" t="s">
        <v>4051</v>
      </c>
      <c r="Q605" s="341" t="s">
        <v>4051</v>
      </c>
    </row>
    <row r="606">
      <c r="B606" s="362"/>
      <c r="I606" s="341" t="s">
        <v>4051</v>
      </c>
      <c r="Q606" s="341" t="s">
        <v>4051</v>
      </c>
    </row>
    <row r="607">
      <c r="B607" s="362"/>
      <c r="I607" s="341" t="s">
        <v>4051</v>
      </c>
      <c r="Q607" s="341" t="s">
        <v>4051</v>
      </c>
    </row>
    <row r="608">
      <c r="B608" s="362"/>
      <c r="I608" s="341" t="s">
        <v>4051</v>
      </c>
      <c r="Q608" s="341" t="s">
        <v>4051</v>
      </c>
    </row>
    <row r="609">
      <c r="B609" s="362"/>
      <c r="I609" s="341" t="s">
        <v>4051</v>
      </c>
      <c r="Q609" s="341" t="s">
        <v>4051</v>
      </c>
    </row>
    <row r="610">
      <c r="B610" s="362"/>
      <c r="I610" s="341" t="s">
        <v>4051</v>
      </c>
      <c r="Q610" s="341" t="s">
        <v>4051</v>
      </c>
    </row>
    <row r="611">
      <c r="B611" s="362"/>
      <c r="I611" s="341" t="s">
        <v>4051</v>
      </c>
      <c r="Q611" s="341" t="s">
        <v>4051</v>
      </c>
    </row>
    <row r="612">
      <c r="B612" s="362"/>
      <c r="I612" s="341" t="s">
        <v>4051</v>
      </c>
      <c r="Q612" s="341" t="s">
        <v>4051</v>
      </c>
    </row>
    <row r="613">
      <c r="B613" s="362"/>
      <c r="I613" s="341" t="s">
        <v>4051</v>
      </c>
      <c r="Q613" s="341" t="s">
        <v>4051</v>
      </c>
    </row>
    <row r="614">
      <c r="B614" s="362"/>
      <c r="I614" s="341" t="s">
        <v>4051</v>
      </c>
      <c r="Q614" s="341" t="s">
        <v>4051</v>
      </c>
    </row>
    <row r="615">
      <c r="B615" s="362"/>
      <c r="I615" s="341" t="s">
        <v>4051</v>
      </c>
      <c r="Q615" s="341" t="s">
        <v>4051</v>
      </c>
    </row>
    <row r="616">
      <c r="B616" s="362"/>
      <c r="I616" s="341" t="s">
        <v>4051</v>
      </c>
      <c r="Q616" s="341" t="s">
        <v>4051</v>
      </c>
    </row>
    <row r="617">
      <c r="B617" s="362"/>
      <c r="I617" s="341" t="s">
        <v>4051</v>
      </c>
      <c r="Q617" s="341" t="s">
        <v>4051</v>
      </c>
    </row>
    <row r="618">
      <c r="B618" s="362"/>
      <c r="I618" s="341" t="s">
        <v>4051</v>
      </c>
      <c r="Q618" s="341" t="s">
        <v>4051</v>
      </c>
    </row>
    <row r="619">
      <c r="B619" s="362"/>
      <c r="I619" s="341" t="s">
        <v>4051</v>
      </c>
      <c r="Q619" s="341" t="s">
        <v>4051</v>
      </c>
    </row>
    <row r="620">
      <c r="B620" s="362"/>
      <c r="I620" s="341" t="s">
        <v>4051</v>
      </c>
      <c r="Q620" s="341" t="s">
        <v>4051</v>
      </c>
    </row>
    <row r="621">
      <c r="B621" s="362"/>
      <c r="I621" s="341" t="s">
        <v>4051</v>
      </c>
      <c r="Q621" s="341" t="s">
        <v>4051</v>
      </c>
    </row>
    <row r="622">
      <c r="B622" s="362"/>
      <c r="I622" s="341" t="s">
        <v>4051</v>
      </c>
      <c r="Q622" s="341" t="s">
        <v>4051</v>
      </c>
    </row>
    <row r="623">
      <c r="B623" s="362"/>
      <c r="I623" s="341" t="s">
        <v>4051</v>
      </c>
      <c r="Q623" s="341" t="s">
        <v>4051</v>
      </c>
    </row>
    <row r="624">
      <c r="B624" s="362"/>
      <c r="I624" s="341" t="s">
        <v>4051</v>
      </c>
      <c r="Q624" s="341" t="s">
        <v>4051</v>
      </c>
    </row>
    <row r="625">
      <c r="B625" s="362"/>
      <c r="I625" s="341" t="s">
        <v>4051</v>
      </c>
      <c r="Q625" s="341" t="s">
        <v>4051</v>
      </c>
    </row>
    <row r="626">
      <c r="B626" s="362"/>
      <c r="I626" s="341" t="s">
        <v>4051</v>
      </c>
      <c r="Q626" s="341" t="s">
        <v>4051</v>
      </c>
    </row>
    <row r="627">
      <c r="B627" s="362"/>
      <c r="I627" s="341" t="s">
        <v>4051</v>
      </c>
      <c r="Q627" s="341" t="s">
        <v>4051</v>
      </c>
    </row>
    <row r="628">
      <c r="B628" s="362"/>
      <c r="I628" s="341" t="s">
        <v>4051</v>
      </c>
      <c r="Q628" s="341" t="s">
        <v>4051</v>
      </c>
    </row>
    <row r="629">
      <c r="B629" s="362"/>
      <c r="I629" s="341" t="s">
        <v>4051</v>
      </c>
      <c r="Q629" s="341" t="s">
        <v>4051</v>
      </c>
    </row>
    <row r="630">
      <c r="B630" s="362"/>
      <c r="I630" s="341" t="s">
        <v>4051</v>
      </c>
      <c r="Q630" s="341" t="s">
        <v>4051</v>
      </c>
    </row>
    <row r="631">
      <c r="B631" s="362"/>
      <c r="I631" s="341" t="s">
        <v>4051</v>
      </c>
      <c r="Q631" s="341" t="s">
        <v>4051</v>
      </c>
    </row>
    <row r="632">
      <c r="B632" s="362"/>
      <c r="I632" s="341" t="s">
        <v>4051</v>
      </c>
      <c r="Q632" s="341" t="s">
        <v>4051</v>
      </c>
    </row>
    <row r="633">
      <c r="B633" s="362"/>
      <c r="I633" s="341" t="s">
        <v>4051</v>
      </c>
      <c r="Q633" s="341" t="s">
        <v>4051</v>
      </c>
    </row>
    <row r="634">
      <c r="B634" s="362"/>
      <c r="I634" s="341" t="s">
        <v>4051</v>
      </c>
      <c r="Q634" s="341" t="s">
        <v>4051</v>
      </c>
    </row>
    <row r="635">
      <c r="B635" s="362"/>
      <c r="I635" s="341" t="s">
        <v>4051</v>
      </c>
      <c r="Q635" s="341" t="s">
        <v>4051</v>
      </c>
    </row>
    <row r="636">
      <c r="B636" s="362"/>
      <c r="I636" s="341" t="s">
        <v>4051</v>
      </c>
      <c r="Q636" s="341" t="s">
        <v>4051</v>
      </c>
    </row>
    <row r="637">
      <c r="B637" s="362"/>
      <c r="I637" s="341" t="s">
        <v>4051</v>
      </c>
      <c r="Q637" s="341" t="s">
        <v>4051</v>
      </c>
    </row>
    <row r="638">
      <c r="B638" s="362"/>
      <c r="I638" s="341" t="s">
        <v>4051</v>
      </c>
      <c r="Q638" s="341" t="s">
        <v>4051</v>
      </c>
    </row>
    <row r="639">
      <c r="B639" s="362"/>
      <c r="I639" s="341" t="s">
        <v>4051</v>
      </c>
      <c r="Q639" s="341" t="s">
        <v>4051</v>
      </c>
    </row>
    <row r="640">
      <c r="B640" s="362"/>
      <c r="I640" s="341" t="s">
        <v>4051</v>
      </c>
      <c r="Q640" s="341" t="s">
        <v>4051</v>
      </c>
    </row>
    <row r="641">
      <c r="B641" s="362"/>
      <c r="I641" s="341" t="s">
        <v>4051</v>
      </c>
      <c r="Q641" s="341" t="s">
        <v>4051</v>
      </c>
    </row>
    <row r="642">
      <c r="B642" s="362"/>
      <c r="I642" s="341" t="s">
        <v>4051</v>
      </c>
      <c r="Q642" s="341" t="s">
        <v>4051</v>
      </c>
    </row>
    <row r="643">
      <c r="B643" s="362"/>
      <c r="I643" s="341" t="s">
        <v>4051</v>
      </c>
      <c r="Q643" s="341" t="s">
        <v>4051</v>
      </c>
    </row>
    <row r="644">
      <c r="B644" s="362"/>
      <c r="I644" s="341" t="s">
        <v>4051</v>
      </c>
      <c r="Q644" s="341" t="s">
        <v>4051</v>
      </c>
    </row>
    <row r="645">
      <c r="B645" s="362"/>
      <c r="I645" s="341" t="s">
        <v>4051</v>
      </c>
      <c r="Q645" s="341" t="s">
        <v>4051</v>
      </c>
    </row>
    <row r="646">
      <c r="B646" s="362"/>
      <c r="I646" s="341" t="s">
        <v>4051</v>
      </c>
      <c r="Q646" s="341" t="s">
        <v>4051</v>
      </c>
    </row>
    <row r="647">
      <c r="B647" s="362"/>
      <c r="I647" s="341" t="s">
        <v>4051</v>
      </c>
      <c r="Q647" s="341" t="s">
        <v>4051</v>
      </c>
    </row>
    <row r="648">
      <c r="B648" s="362"/>
      <c r="I648" s="341" t="s">
        <v>4051</v>
      </c>
      <c r="Q648" s="341" t="s">
        <v>4051</v>
      </c>
    </row>
    <row r="649">
      <c r="B649" s="362"/>
      <c r="I649" s="341" t="s">
        <v>4051</v>
      </c>
      <c r="Q649" s="341" t="s">
        <v>4051</v>
      </c>
    </row>
    <row r="650">
      <c r="B650" s="362"/>
      <c r="I650" s="341" t="s">
        <v>4051</v>
      </c>
      <c r="Q650" s="341" t="s">
        <v>4051</v>
      </c>
    </row>
    <row r="651">
      <c r="B651" s="362"/>
      <c r="I651" s="341" t="s">
        <v>4051</v>
      </c>
      <c r="Q651" s="341" t="s">
        <v>4051</v>
      </c>
    </row>
    <row r="652">
      <c r="B652" s="362"/>
      <c r="I652" s="341" t="s">
        <v>4051</v>
      </c>
      <c r="Q652" s="341" t="s">
        <v>4051</v>
      </c>
    </row>
    <row r="653">
      <c r="B653" s="362"/>
      <c r="I653" s="341" t="s">
        <v>4051</v>
      </c>
      <c r="Q653" s="341" t="s">
        <v>4051</v>
      </c>
    </row>
    <row r="654">
      <c r="B654" s="362"/>
      <c r="I654" s="341" t="s">
        <v>4051</v>
      </c>
      <c r="Q654" s="341" t="s">
        <v>4051</v>
      </c>
    </row>
    <row r="655">
      <c r="B655" s="362"/>
      <c r="I655" s="341" t="s">
        <v>4051</v>
      </c>
      <c r="Q655" s="341" t="s">
        <v>4051</v>
      </c>
    </row>
    <row r="656">
      <c r="B656" s="362"/>
      <c r="I656" s="341" t="s">
        <v>4051</v>
      </c>
      <c r="Q656" s="341" t="s">
        <v>4051</v>
      </c>
    </row>
    <row r="657">
      <c r="B657" s="362"/>
      <c r="I657" s="341" t="s">
        <v>4051</v>
      </c>
      <c r="Q657" s="341" t="s">
        <v>4051</v>
      </c>
    </row>
    <row r="658">
      <c r="B658" s="362"/>
      <c r="I658" s="341" t="s">
        <v>4051</v>
      </c>
      <c r="Q658" s="341" t="s">
        <v>4051</v>
      </c>
    </row>
    <row r="659">
      <c r="B659" s="362"/>
      <c r="I659" s="341" t="s">
        <v>4051</v>
      </c>
      <c r="Q659" s="341" t="s">
        <v>4051</v>
      </c>
    </row>
    <row r="660">
      <c r="B660" s="362"/>
      <c r="I660" s="341" t="s">
        <v>4051</v>
      </c>
      <c r="Q660" s="341" t="s">
        <v>4051</v>
      </c>
    </row>
    <row r="661">
      <c r="B661" s="362"/>
      <c r="I661" s="341" t="s">
        <v>4051</v>
      </c>
      <c r="Q661" s="341" t="s">
        <v>4051</v>
      </c>
    </row>
    <row r="662">
      <c r="B662" s="362"/>
      <c r="I662" s="341" t="s">
        <v>4051</v>
      </c>
      <c r="Q662" s="341" t="s">
        <v>4051</v>
      </c>
    </row>
    <row r="663">
      <c r="B663" s="362"/>
      <c r="I663" s="341" t="s">
        <v>4051</v>
      </c>
      <c r="Q663" s="341" t="s">
        <v>4051</v>
      </c>
    </row>
    <row r="664">
      <c r="B664" s="362"/>
      <c r="I664" s="341" t="s">
        <v>4051</v>
      </c>
      <c r="Q664" s="341" t="s">
        <v>4051</v>
      </c>
    </row>
    <row r="665">
      <c r="B665" s="362"/>
      <c r="I665" s="341" t="s">
        <v>4051</v>
      </c>
      <c r="Q665" s="341" t="s">
        <v>4051</v>
      </c>
    </row>
    <row r="666">
      <c r="B666" s="362"/>
      <c r="I666" s="341" t="s">
        <v>4051</v>
      </c>
      <c r="Q666" s="341" t="s">
        <v>4051</v>
      </c>
    </row>
    <row r="667">
      <c r="B667" s="362"/>
      <c r="I667" s="341" t="s">
        <v>4051</v>
      </c>
      <c r="Q667" s="341" t="s">
        <v>4051</v>
      </c>
    </row>
    <row r="668">
      <c r="B668" s="362"/>
      <c r="I668" s="341" t="s">
        <v>4051</v>
      </c>
      <c r="Q668" s="341" t="s">
        <v>4051</v>
      </c>
    </row>
    <row r="669">
      <c r="B669" s="362"/>
      <c r="I669" s="341" t="s">
        <v>4051</v>
      </c>
      <c r="Q669" s="341" t="s">
        <v>4051</v>
      </c>
    </row>
    <row r="670">
      <c r="B670" s="362"/>
      <c r="I670" s="341" t="s">
        <v>4051</v>
      </c>
      <c r="Q670" s="341" t="s">
        <v>4051</v>
      </c>
    </row>
    <row r="671">
      <c r="B671" s="362"/>
      <c r="I671" s="341" t="s">
        <v>4051</v>
      </c>
      <c r="Q671" s="341" t="s">
        <v>4051</v>
      </c>
    </row>
    <row r="672">
      <c r="B672" s="362"/>
      <c r="I672" s="341" t="s">
        <v>4051</v>
      </c>
      <c r="Q672" s="341" t="s">
        <v>4051</v>
      </c>
    </row>
    <row r="673">
      <c r="B673" s="362"/>
      <c r="I673" s="341" t="s">
        <v>4051</v>
      </c>
      <c r="Q673" s="341" t="s">
        <v>4051</v>
      </c>
    </row>
    <row r="674">
      <c r="B674" s="362"/>
      <c r="I674" s="341" t="s">
        <v>4051</v>
      </c>
      <c r="Q674" s="341" t="s">
        <v>4051</v>
      </c>
    </row>
    <row r="675">
      <c r="B675" s="362"/>
      <c r="I675" s="341" t="s">
        <v>4051</v>
      </c>
      <c r="Q675" s="341" t="s">
        <v>4051</v>
      </c>
    </row>
    <row r="676">
      <c r="B676" s="362"/>
      <c r="I676" s="341" t="s">
        <v>4051</v>
      </c>
      <c r="Q676" s="341" t="s">
        <v>4051</v>
      </c>
    </row>
    <row r="677">
      <c r="B677" s="362"/>
      <c r="I677" s="341" t="s">
        <v>4051</v>
      </c>
      <c r="Q677" s="341" t="s">
        <v>4051</v>
      </c>
    </row>
    <row r="678">
      <c r="B678" s="362"/>
      <c r="I678" s="341" t="s">
        <v>4051</v>
      </c>
      <c r="Q678" s="341" t="s">
        <v>4051</v>
      </c>
    </row>
    <row r="679">
      <c r="B679" s="362"/>
      <c r="I679" s="341" t="s">
        <v>4051</v>
      </c>
      <c r="Q679" s="341" t="s">
        <v>4051</v>
      </c>
    </row>
    <row r="680">
      <c r="B680" s="362"/>
      <c r="I680" s="341" t="s">
        <v>4051</v>
      </c>
      <c r="Q680" s="341" t="s">
        <v>4051</v>
      </c>
    </row>
    <row r="681">
      <c r="B681" s="362"/>
      <c r="I681" s="341" t="s">
        <v>4051</v>
      </c>
      <c r="Q681" s="341" t="s">
        <v>4051</v>
      </c>
    </row>
    <row r="682">
      <c r="B682" s="362"/>
      <c r="I682" s="341" t="s">
        <v>4051</v>
      </c>
      <c r="Q682" s="341" t="s">
        <v>4051</v>
      </c>
    </row>
    <row r="683">
      <c r="B683" s="362"/>
      <c r="I683" s="341" t="s">
        <v>4051</v>
      </c>
      <c r="Q683" s="341" t="s">
        <v>4051</v>
      </c>
    </row>
    <row r="684">
      <c r="B684" s="362"/>
      <c r="I684" s="341" t="s">
        <v>4051</v>
      </c>
      <c r="Q684" s="341" t="s">
        <v>4051</v>
      </c>
    </row>
    <row r="685">
      <c r="B685" s="362"/>
      <c r="I685" s="341" t="s">
        <v>4051</v>
      </c>
      <c r="Q685" s="341" t="s">
        <v>4051</v>
      </c>
    </row>
    <row r="686">
      <c r="B686" s="362"/>
      <c r="I686" s="341" t="s">
        <v>4051</v>
      </c>
      <c r="Q686" s="341" t="s">
        <v>4051</v>
      </c>
    </row>
    <row r="687">
      <c r="B687" s="362"/>
      <c r="I687" s="341" t="s">
        <v>4051</v>
      </c>
      <c r="Q687" s="341" t="s">
        <v>4051</v>
      </c>
    </row>
    <row r="688">
      <c r="B688" s="362"/>
      <c r="I688" s="341" t="s">
        <v>4051</v>
      </c>
      <c r="Q688" s="341" t="s">
        <v>4051</v>
      </c>
    </row>
    <row r="689">
      <c r="B689" s="362"/>
      <c r="I689" s="341" t="s">
        <v>4051</v>
      </c>
      <c r="Q689" s="341" t="s">
        <v>4051</v>
      </c>
    </row>
    <row r="690">
      <c r="B690" s="362"/>
      <c r="I690" s="341" t="s">
        <v>4051</v>
      </c>
      <c r="Q690" s="341" t="s">
        <v>4051</v>
      </c>
    </row>
    <row r="691">
      <c r="B691" s="362"/>
      <c r="I691" s="341" t="s">
        <v>4051</v>
      </c>
      <c r="Q691" s="341" t="s">
        <v>4051</v>
      </c>
    </row>
    <row r="692">
      <c r="B692" s="362"/>
      <c r="I692" s="341" t="s">
        <v>4051</v>
      </c>
      <c r="Q692" s="341" t="s">
        <v>4051</v>
      </c>
    </row>
    <row r="693">
      <c r="B693" s="362"/>
      <c r="I693" s="341" t="s">
        <v>4051</v>
      </c>
      <c r="Q693" s="341" t="s">
        <v>4051</v>
      </c>
    </row>
    <row r="694">
      <c r="B694" s="362"/>
      <c r="I694" s="341" t="s">
        <v>4051</v>
      </c>
      <c r="Q694" s="341" t="s">
        <v>4051</v>
      </c>
    </row>
    <row r="695">
      <c r="B695" s="362"/>
      <c r="I695" s="341" t="s">
        <v>4051</v>
      </c>
      <c r="Q695" s="341" t="s">
        <v>4051</v>
      </c>
    </row>
    <row r="696">
      <c r="B696" s="362"/>
      <c r="I696" s="341" t="s">
        <v>4051</v>
      </c>
      <c r="Q696" s="341" t="s">
        <v>4051</v>
      </c>
    </row>
    <row r="697">
      <c r="B697" s="362"/>
      <c r="I697" s="341" t="s">
        <v>4051</v>
      </c>
      <c r="Q697" s="341" t="s">
        <v>4051</v>
      </c>
    </row>
    <row r="698">
      <c r="B698" s="362"/>
      <c r="I698" s="341" t="s">
        <v>4051</v>
      </c>
      <c r="Q698" s="341" t="s">
        <v>4051</v>
      </c>
    </row>
    <row r="699">
      <c r="B699" s="362"/>
      <c r="I699" s="341" t="s">
        <v>4051</v>
      </c>
      <c r="Q699" s="341" t="s">
        <v>4051</v>
      </c>
    </row>
    <row r="700">
      <c r="B700" s="362"/>
      <c r="I700" s="341" t="s">
        <v>4051</v>
      </c>
      <c r="Q700" s="341" t="s">
        <v>4051</v>
      </c>
    </row>
    <row r="701">
      <c r="B701" s="362"/>
      <c r="I701" s="341" t="s">
        <v>4051</v>
      </c>
      <c r="Q701" s="341" t="s">
        <v>4051</v>
      </c>
    </row>
    <row r="702">
      <c r="B702" s="362"/>
      <c r="I702" s="341" t="s">
        <v>4051</v>
      </c>
      <c r="Q702" s="341" t="s">
        <v>4051</v>
      </c>
    </row>
    <row r="703">
      <c r="B703" s="362"/>
      <c r="I703" s="341" t="s">
        <v>4051</v>
      </c>
      <c r="Q703" s="341" t="s">
        <v>4051</v>
      </c>
    </row>
    <row r="704">
      <c r="B704" s="362"/>
      <c r="I704" s="341" t="s">
        <v>4051</v>
      </c>
      <c r="Q704" s="341" t="s">
        <v>4051</v>
      </c>
    </row>
    <row r="705">
      <c r="B705" s="362"/>
      <c r="I705" s="341" t="s">
        <v>4051</v>
      </c>
      <c r="Q705" s="341" t="s">
        <v>4051</v>
      </c>
    </row>
    <row r="706">
      <c r="B706" s="362"/>
      <c r="I706" s="341" t="s">
        <v>4051</v>
      </c>
      <c r="Q706" s="341" t="s">
        <v>4051</v>
      </c>
    </row>
    <row r="707">
      <c r="B707" s="362"/>
      <c r="I707" s="341" t="s">
        <v>4051</v>
      </c>
      <c r="Q707" s="341" t="s">
        <v>4051</v>
      </c>
    </row>
    <row r="708">
      <c r="B708" s="362"/>
      <c r="I708" s="341" t="s">
        <v>4051</v>
      </c>
      <c r="Q708" s="341" t="s">
        <v>4051</v>
      </c>
    </row>
    <row r="709">
      <c r="B709" s="362"/>
      <c r="I709" s="341" t="s">
        <v>4051</v>
      </c>
      <c r="Q709" s="341" t="s">
        <v>4051</v>
      </c>
    </row>
    <row r="710">
      <c r="B710" s="362"/>
      <c r="I710" s="341" t="s">
        <v>4051</v>
      </c>
      <c r="Q710" s="341" t="s">
        <v>4051</v>
      </c>
    </row>
    <row r="711">
      <c r="B711" s="362"/>
      <c r="I711" s="341" t="s">
        <v>4051</v>
      </c>
      <c r="Q711" s="341" t="s">
        <v>4051</v>
      </c>
    </row>
    <row r="712">
      <c r="B712" s="362"/>
      <c r="I712" s="341" t="s">
        <v>4051</v>
      </c>
      <c r="Q712" s="341" t="s">
        <v>4051</v>
      </c>
    </row>
    <row r="713">
      <c r="B713" s="362"/>
      <c r="I713" s="341" t="s">
        <v>4051</v>
      </c>
      <c r="Q713" s="341" t="s">
        <v>4051</v>
      </c>
    </row>
    <row r="714">
      <c r="B714" s="362"/>
      <c r="I714" s="341" t="s">
        <v>4051</v>
      </c>
      <c r="Q714" s="341" t="s">
        <v>4051</v>
      </c>
    </row>
    <row r="715">
      <c r="B715" s="362"/>
      <c r="I715" s="341" t="s">
        <v>4051</v>
      </c>
      <c r="Q715" s="341" t="s">
        <v>4051</v>
      </c>
    </row>
    <row r="716">
      <c r="B716" s="362"/>
      <c r="I716" s="341" t="s">
        <v>4051</v>
      </c>
      <c r="Q716" s="341" t="s">
        <v>4051</v>
      </c>
    </row>
    <row r="717">
      <c r="B717" s="362"/>
      <c r="I717" s="341" t="s">
        <v>4051</v>
      </c>
      <c r="Q717" s="341" t="s">
        <v>4051</v>
      </c>
    </row>
    <row r="718">
      <c r="B718" s="362"/>
      <c r="I718" s="341" t="s">
        <v>4051</v>
      </c>
      <c r="Q718" s="341" t="s">
        <v>4051</v>
      </c>
    </row>
    <row r="719">
      <c r="B719" s="362"/>
      <c r="I719" s="341" t="s">
        <v>4051</v>
      </c>
      <c r="Q719" s="341" t="s">
        <v>4051</v>
      </c>
    </row>
    <row r="720">
      <c r="B720" s="362"/>
      <c r="I720" s="341" t="s">
        <v>4051</v>
      </c>
      <c r="Q720" s="341" t="s">
        <v>4051</v>
      </c>
    </row>
    <row r="721">
      <c r="B721" s="362"/>
      <c r="I721" s="341" t="s">
        <v>4051</v>
      </c>
      <c r="Q721" s="341" t="s">
        <v>4051</v>
      </c>
    </row>
    <row r="722">
      <c r="B722" s="362"/>
      <c r="I722" s="341" t="s">
        <v>4051</v>
      </c>
      <c r="Q722" s="341" t="s">
        <v>4051</v>
      </c>
    </row>
    <row r="723">
      <c r="B723" s="362"/>
      <c r="I723" s="341" t="s">
        <v>4051</v>
      </c>
      <c r="Q723" s="341" t="s">
        <v>4051</v>
      </c>
    </row>
    <row r="724">
      <c r="B724" s="362"/>
      <c r="I724" s="341" t="s">
        <v>4051</v>
      </c>
      <c r="Q724" s="341" t="s">
        <v>4051</v>
      </c>
    </row>
    <row r="725">
      <c r="B725" s="362"/>
      <c r="I725" s="341" t="s">
        <v>4051</v>
      </c>
      <c r="Q725" s="341" t="s">
        <v>4051</v>
      </c>
    </row>
    <row r="726">
      <c r="B726" s="362"/>
      <c r="I726" s="341" t="s">
        <v>4051</v>
      </c>
      <c r="Q726" s="341" t="s">
        <v>4051</v>
      </c>
    </row>
    <row r="727">
      <c r="B727" s="362"/>
      <c r="I727" s="341" t="s">
        <v>4051</v>
      </c>
      <c r="Q727" s="341" t="s">
        <v>4051</v>
      </c>
    </row>
    <row r="728">
      <c r="B728" s="362"/>
      <c r="I728" s="341" t="s">
        <v>4051</v>
      </c>
      <c r="Q728" s="341" t="s">
        <v>4051</v>
      </c>
    </row>
    <row r="729">
      <c r="B729" s="362"/>
      <c r="I729" s="341" t="s">
        <v>4051</v>
      </c>
      <c r="Q729" s="341" t="s">
        <v>4051</v>
      </c>
    </row>
    <row r="730">
      <c r="B730" s="362"/>
      <c r="I730" s="341" t="s">
        <v>4051</v>
      </c>
      <c r="Q730" s="341" t="s">
        <v>4051</v>
      </c>
    </row>
    <row r="731">
      <c r="B731" s="362"/>
      <c r="I731" s="341" t="s">
        <v>4051</v>
      </c>
      <c r="Q731" s="341" t="s">
        <v>4051</v>
      </c>
    </row>
    <row r="732">
      <c r="B732" s="362"/>
      <c r="I732" s="341" t="s">
        <v>4051</v>
      </c>
      <c r="Q732" s="341" t="s">
        <v>4051</v>
      </c>
    </row>
    <row r="733">
      <c r="B733" s="362"/>
      <c r="I733" s="341" t="s">
        <v>4051</v>
      </c>
      <c r="Q733" s="341" t="s">
        <v>4051</v>
      </c>
    </row>
    <row r="734">
      <c r="B734" s="362"/>
      <c r="I734" s="341" t="s">
        <v>4051</v>
      </c>
      <c r="Q734" s="341" t="s">
        <v>4051</v>
      </c>
    </row>
    <row r="735">
      <c r="B735" s="362"/>
      <c r="I735" s="341" t="s">
        <v>4051</v>
      </c>
      <c r="Q735" s="341" t="s">
        <v>4051</v>
      </c>
    </row>
    <row r="736">
      <c r="B736" s="362"/>
      <c r="I736" s="341" t="s">
        <v>4051</v>
      </c>
      <c r="Q736" s="341" t="s">
        <v>4051</v>
      </c>
    </row>
    <row r="737">
      <c r="B737" s="362"/>
      <c r="I737" s="341" t="s">
        <v>4051</v>
      </c>
      <c r="Q737" s="341" t="s">
        <v>4051</v>
      </c>
    </row>
    <row r="738">
      <c r="B738" s="362"/>
      <c r="I738" s="341" t="s">
        <v>4051</v>
      </c>
      <c r="Q738" s="341" t="s">
        <v>4051</v>
      </c>
    </row>
    <row r="739">
      <c r="B739" s="362"/>
      <c r="I739" s="341" t="s">
        <v>4051</v>
      </c>
      <c r="Q739" s="341" t="s">
        <v>4051</v>
      </c>
    </row>
    <row r="740">
      <c r="B740" s="362"/>
      <c r="I740" s="341" t="s">
        <v>4051</v>
      </c>
      <c r="Q740" s="341" t="s">
        <v>4051</v>
      </c>
    </row>
    <row r="741">
      <c r="B741" s="362"/>
      <c r="I741" s="341" t="s">
        <v>4051</v>
      </c>
      <c r="Q741" s="341" t="s">
        <v>4051</v>
      </c>
    </row>
    <row r="742">
      <c r="B742" s="362"/>
      <c r="I742" s="341" t="s">
        <v>4051</v>
      </c>
      <c r="Q742" s="341" t="s">
        <v>4051</v>
      </c>
    </row>
    <row r="743">
      <c r="B743" s="362"/>
      <c r="I743" s="341" t="s">
        <v>4051</v>
      </c>
      <c r="Q743" s="341" t="s">
        <v>4051</v>
      </c>
    </row>
    <row r="744">
      <c r="B744" s="362"/>
      <c r="I744" s="341" t="s">
        <v>4051</v>
      </c>
      <c r="Q744" s="341" t="s">
        <v>4051</v>
      </c>
    </row>
    <row r="745">
      <c r="B745" s="362"/>
      <c r="I745" s="341" t="s">
        <v>4051</v>
      </c>
      <c r="Q745" s="341" t="s">
        <v>4051</v>
      </c>
    </row>
    <row r="746">
      <c r="B746" s="362"/>
      <c r="I746" s="341" t="s">
        <v>4051</v>
      </c>
      <c r="Q746" s="341" t="s">
        <v>4051</v>
      </c>
    </row>
    <row r="747">
      <c r="B747" s="362"/>
      <c r="I747" s="341" t="s">
        <v>4051</v>
      </c>
      <c r="Q747" s="341" t="s">
        <v>4051</v>
      </c>
    </row>
    <row r="748">
      <c r="B748" s="362"/>
      <c r="I748" s="341" t="s">
        <v>4051</v>
      </c>
      <c r="Q748" s="341" t="s">
        <v>4051</v>
      </c>
    </row>
    <row r="749">
      <c r="B749" s="362"/>
      <c r="I749" s="341" t="s">
        <v>4051</v>
      </c>
      <c r="Q749" s="341" t="s">
        <v>4051</v>
      </c>
    </row>
    <row r="750">
      <c r="B750" s="362"/>
      <c r="I750" s="341" t="s">
        <v>4051</v>
      </c>
      <c r="Q750" s="341" t="s">
        <v>4051</v>
      </c>
    </row>
    <row r="751">
      <c r="B751" s="362"/>
      <c r="I751" s="341" t="s">
        <v>4051</v>
      </c>
      <c r="Q751" s="341" t="s">
        <v>4051</v>
      </c>
    </row>
    <row r="752">
      <c r="B752" s="362"/>
      <c r="I752" s="341" t="s">
        <v>4051</v>
      </c>
      <c r="Q752" s="341" t="s">
        <v>4051</v>
      </c>
    </row>
    <row r="753">
      <c r="B753" s="362"/>
      <c r="I753" s="341" t="s">
        <v>4051</v>
      </c>
      <c r="Q753" s="341" t="s">
        <v>4051</v>
      </c>
    </row>
    <row r="754">
      <c r="B754" s="362"/>
      <c r="I754" s="341" t="s">
        <v>4051</v>
      </c>
      <c r="Q754" s="341" t="s">
        <v>4051</v>
      </c>
    </row>
    <row r="755">
      <c r="B755" s="362"/>
      <c r="I755" s="341" t="s">
        <v>4051</v>
      </c>
      <c r="Q755" s="341" t="s">
        <v>4051</v>
      </c>
    </row>
    <row r="756">
      <c r="B756" s="362"/>
      <c r="I756" s="341" t="s">
        <v>4051</v>
      </c>
      <c r="Q756" s="341" t="s">
        <v>4051</v>
      </c>
    </row>
    <row r="757">
      <c r="B757" s="362"/>
      <c r="I757" s="341" t="s">
        <v>4051</v>
      </c>
      <c r="Q757" s="341" t="s">
        <v>4051</v>
      </c>
    </row>
    <row r="758">
      <c r="B758" s="362"/>
      <c r="I758" s="341" t="s">
        <v>4051</v>
      </c>
      <c r="Q758" s="341" t="s">
        <v>4051</v>
      </c>
    </row>
    <row r="759">
      <c r="B759" s="362"/>
      <c r="I759" s="341" t="s">
        <v>4051</v>
      </c>
      <c r="Q759" s="341" t="s">
        <v>4051</v>
      </c>
    </row>
    <row r="760">
      <c r="B760" s="362"/>
      <c r="I760" s="341" t="s">
        <v>4051</v>
      </c>
      <c r="Q760" s="341" t="s">
        <v>4051</v>
      </c>
    </row>
    <row r="761">
      <c r="B761" s="362"/>
      <c r="I761" s="341" t="s">
        <v>4051</v>
      </c>
      <c r="Q761" s="341" t="s">
        <v>4051</v>
      </c>
    </row>
    <row r="762">
      <c r="B762" s="362"/>
      <c r="I762" s="341" t="s">
        <v>4051</v>
      </c>
      <c r="Q762" s="341" t="s">
        <v>4051</v>
      </c>
    </row>
    <row r="763">
      <c r="B763" s="362"/>
      <c r="I763" s="341" t="s">
        <v>4051</v>
      </c>
      <c r="Q763" s="341" t="s">
        <v>4051</v>
      </c>
    </row>
    <row r="764">
      <c r="B764" s="362"/>
      <c r="I764" s="341" t="s">
        <v>4051</v>
      </c>
      <c r="Q764" s="341" t="s">
        <v>4051</v>
      </c>
    </row>
    <row r="765">
      <c r="B765" s="362"/>
      <c r="I765" s="341" t="s">
        <v>4051</v>
      </c>
      <c r="Q765" s="341" t="s">
        <v>4051</v>
      </c>
    </row>
    <row r="766">
      <c r="B766" s="362"/>
      <c r="I766" s="341" t="s">
        <v>4051</v>
      </c>
      <c r="Q766" s="341" t="s">
        <v>4051</v>
      </c>
    </row>
    <row r="767">
      <c r="B767" s="362"/>
      <c r="I767" s="341" t="s">
        <v>4051</v>
      </c>
      <c r="Q767" s="341" t="s">
        <v>4051</v>
      </c>
    </row>
    <row r="768">
      <c r="B768" s="362"/>
      <c r="I768" s="341" t="s">
        <v>4051</v>
      </c>
      <c r="Q768" s="341" t="s">
        <v>4051</v>
      </c>
    </row>
    <row r="769">
      <c r="B769" s="362"/>
      <c r="I769" s="341" t="s">
        <v>4051</v>
      </c>
      <c r="Q769" s="341" t="s">
        <v>4051</v>
      </c>
    </row>
    <row r="770">
      <c r="B770" s="362"/>
      <c r="I770" s="341" t="s">
        <v>4051</v>
      </c>
      <c r="Q770" s="341" t="s">
        <v>4051</v>
      </c>
    </row>
    <row r="771">
      <c r="B771" s="362"/>
      <c r="I771" s="341" t="s">
        <v>4051</v>
      </c>
      <c r="Q771" s="341" t="s">
        <v>4051</v>
      </c>
    </row>
    <row r="772">
      <c r="B772" s="362"/>
      <c r="I772" s="341" t="s">
        <v>4051</v>
      </c>
      <c r="Q772" s="341" t="s">
        <v>4051</v>
      </c>
    </row>
    <row r="773">
      <c r="B773" s="362"/>
      <c r="I773" s="341" t="s">
        <v>4051</v>
      </c>
      <c r="Q773" s="341" t="s">
        <v>4051</v>
      </c>
    </row>
    <row r="774">
      <c r="B774" s="362"/>
      <c r="I774" s="341" t="s">
        <v>4051</v>
      </c>
      <c r="Q774" s="341" t="s">
        <v>4051</v>
      </c>
    </row>
    <row r="775">
      <c r="B775" s="362"/>
      <c r="I775" s="341" t="s">
        <v>4051</v>
      </c>
      <c r="Q775" s="341" t="s">
        <v>4051</v>
      </c>
    </row>
    <row r="776">
      <c r="B776" s="362"/>
      <c r="I776" s="341" t="s">
        <v>4051</v>
      </c>
      <c r="Q776" s="341" t="s">
        <v>4051</v>
      </c>
    </row>
    <row r="777">
      <c r="B777" s="362"/>
      <c r="I777" s="341" t="s">
        <v>4051</v>
      </c>
      <c r="Q777" s="341" t="s">
        <v>4051</v>
      </c>
    </row>
    <row r="778">
      <c r="B778" s="362"/>
      <c r="I778" s="341" t="s">
        <v>4051</v>
      </c>
      <c r="Q778" s="341" t="s">
        <v>4051</v>
      </c>
    </row>
    <row r="779">
      <c r="B779" s="362"/>
      <c r="I779" s="341" t="s">
        <v>4051</v>
      </c>
      <c r="Q779" s="341" t="s">
        <v>4051</v>
      </c>
    </row>
    <row r="780">
      <c r="B780" s="362"/>
      <c r="I780" s="341" t="s">
        <v>4051</v>
      </c>
      <c r="Q780" s="341" t="s">
        <v>4051</v>
      </c>
    </row>
    <row r="781">
      <c r="B781" s="362"/>
      <c r="I781" s="341" t="s">
        <v>4051</v>
      </c>
      <c r="Q781" s="341" t="s">
        <v>4051</v>
      </c>
    </row>
    <row r="782">
      <c r="B782" s="362"/>
      <c r="I782" s="341" t="s">
        <v>4051</v>
      </c>
      <c r="Q782" s="341" t="s">
        <v>4051</v>
      </c>
    </row>
    <row r="783">
      <c r="B783" s="362"/>
      <c r="I783" s="341" t="s">
        <v>4051</v>
      </c>
      <c r="Q783" s="341" t="s">
        <v>4051</v>
      </c>
    </row>
    <row r="784">
      <c r="B784" s="362"/>
      <c r="I784" s="341" t="s">
        <v>4051</v>
      </c>
      <c r="Q784" s="341" t="s">
        <v>4051</v>
      </c>
    </row>
    <row r="785">
      <c r="B785" s="362"/>
      <c r="I785" s="341" t="s">
        <v>4051</v>
      </c>
      <c r="Q785" s="341" t="s">
        <v>4051</v>
      </c>
    </row>
    <row r="786">
      <c r="B786" s="362"/>
      <c r="I786" s="341" t="s">
        <v>4051</v>
      </c>
      <c r="Q786" s="341" t="s">
        <v>4051</v>
      </c>
    </row>
    <row r="787">
      <c r="B787" s="362"/>
      <c r="I787" s="341" t="s">
        <v>4051</v>
      </c>
      <c r="Q787" s="341" t="s">
        <v>4051</v>
      </c>
    </row>
    <row r="788">
      <c r="B788" s="362"/>
      <c r="I788" s="341" t="s">
        <v>4051</v>
      </c>
      <c r="Q788" s="341" t="s">
        <v>4051</v>
      </c>
    </row>
    <row r="789">
      <c r="B789" s="362"/>
      <c r="I789" s="341" t="s">
        <v>4051</v>
      </c>
      <c r="Q789" s="341" t="s">
        <v>4051</v>
      </c>
    </row>
    <row r="790">
      <c r="B790" s="362"/>
      <c r="I790" s="341" t="s">
        <v>4051</v>
      </c>
      <c r="Q790" s="341" t="s">
        <v>4051</v>
      </c>
    </row>
    <row r="791">
      <c r="B791" s="362"/>
      <c r="I791" s="341" t="s">
        <v>4051</v>
      </c>
      <c r="Q791" s="341" t="s">
        <v>4051</v>
      </c>
    </row>
    <row r="792">
      <c r="B792" s="362"/>
      <c r="I792" s="341" t="s">
        <v>4051</v>
      </c>
      <c r="Q792" s="341" t="s">
        <v>4051</v>
      </c>
    </row>
    <row r="793">
      <c r="B793" s="362"/>
      <c r="I793" s="341" t="s">
        <v>4051</v>
      </c>
      <c r="Q793" s="341" t="s">
        <v>4051</v>
      </c>
    </row>
    <row r="794">
      <c r="B794" s="362"/>
      <c r="I794" s="341" t="s">
        <v>4051</v>
      </c>
      <c r="Q794" s="341" t="s">
        <v>4051</v>
      </c>
    </row>
    <row r="795">
      <c r="B795" s="362"/>
      <c r="I795" s="341" t="s">
        <v>4051</v>
      </c>
      <c r="Q795" s="341" t="s">
        <v>4051</v>
      </c>
    </row>
    <row r="796">
      <c r="B796" s="362"/>
      <c r="I796" s="341" t="s">
        <v>4051</v>
      </c>
      <c r="Q796" s="341" t="s">
        <v>4051</v>
      </c>
    </row>
    <row r="797">
      <c r="B797" s="362"/>
      <c r="I797" s="341" t="s">
        <v>4051</v>
      </c>
      <c r="Q797" s="341" t="s">
        <v>4051</v>
      </c>
    </row>
    <row r="798">
      <c r="B798" s="362"/>
      <c r="I798" s="341" t="s">
        <v>4051</v>
      </c>
      <c r="Q798" s="341" t="s">
        <v>4051</v>
      </c>
    </row>
    <row r="799">
      <c r="B799" s="362"/>
      <c r="I799" s="341" t="s">
        <v>4051</v>
      </c>
      <c r="Q799" s="341" t="s">
        <v>4051</v>
      </c>
    </row>
    <row r="800">
      <c r="B800" s="362"/>
      <c r="I800" s="341" t="s">
        <v>4051</v>
      </c>
      <c r="Q800" s="341" t="s">
        <v>4051</v>
      </c>
    </row>
    <row r="801">
      <c r="B801" s="362"/>
      <c r="I801" s="341" t="s">
        <v>4051</v>
      </c>
      <c r="Q801" s="341" t="s">
        <v>4051</v>
      </c>
    </row>
    <row r="802">
      <c r="B802" s="362"/>
      <c r="I802" s="341" t="s">
        <v>4051</v>
      </c>
      <c r="Q802" s="341" t="s">
        <v>4051</v>
      </c>
    </row>
    <row r="803">
      <c r="B803" s="362"/>
      <c r="I803" s="341" t="s">
        <v>4051</v>
      </c>
      <c r="Q803" s="341" t="s">
        <v>4051</v>
      </c>
    </row>
    <row r="804">
      <c r="B804" s="362"/>
      <c r="I804" s="341" t="s">
        <v>4051</v>
      </c>
      <c r="Q804" s="341" t="s">
        <v>4051</v>
      </c>
    </row>
    <row r="805">
      <c r="B805" s="362"/>
      <c r="I805" s="341" t="s">
        <v>4051</v>
      </c>
      <c r="Q805" s="341" t="s">
        <v>4051</v>
      </c>
    </row>
    <row r="806">
      <c r="B806" s="362"/>
      <c r="I806" s="341" t="s">
        <v>4051</v>
      </c>
      <c r="Q806" s="341" t="s">
        <v>4051</v>
      </c>
    </row>
    <row r="807">
      <c r="B807" s="362"/>
      <c r="I807" s="341" t="s">
        <v>4051</v>
      </c>
      <c r="Q807" s="341" t="s">
        <v>4051</v>
      </c>
    </row>
    <row r="808">
      <c r="B808" s="362"/>
      <c r="I808" s="341" t="s">
        <v>4051</v>
      </c>
      <c r="Q808" s="341" t="s">
        <v>4051</v>
      </c>
    </row>
    <row r="809">
      <c r="B809" s="362"/>
      <c r="I809" s="341" t="s">
        <v>4051</v>
      </c>
      <c r="Q809" s="341" t="s">
        <v>4051</v>
      </c>
    </row>
    <row r="810">
      <c r="B810" s="362"/>
      <c r="I810" s="341" t="s">
        <v>4051</v>
      </c>
      <c r="Q810" s="341" t="s">
        <v>4051</v>
      </c>
    </row>
    <row r="811">
      <c r="B811" s="362"/>
      <c r="I811" s="341" t="s">
        <v>4051</v>
      </c>
      <c r="Q811" s="341" t="s">
        <v>4051</v>
      </c>
    </row>
    <row r="812">
      <c r="B812" s="362"/>
      <c r="I812" s="341" t="s">
        <v>4051</v>
      </c>
      <c r="Q812" s="341" t="s">
        <v>4051</v>
      </c>
    </row>
    <row r="813">
      <c r="B813" s="362"/>
      <c r="I813" s="341" t="s">
        <v>4051</v>
      </c>
      <c r="Q813" s="341" t="s">
        <v>4051</v>
      </c>
    </row>
    <row r="814">
      <c r="B814" s="362"/>
      <c r="I814" s="341" t="s">
        <v>4051</v>
      </c>
      <c r="Q814" s="341" t="s">
        <v>4051</v>
      </c>
    </row>
    <row r="815">
      <c r="B815" s="362"/>
      <c r="I815" s="341" t="s">
        <v>4051</v>
      </c>
      <c r="Q815" s="341" t="s">
        <v>4051</v>
      </c>
    </row>
    <row r="816">
      <c r="B816" s="362"/>
      <c r="I816" s="341" t="s">
        <v>4051</v>
      </c>
      <c r="Q816" s="341" t="s">
        <v>4051</v>
      </c>
    </row>
    <row r="817">
      <c r="B817" s="362"/>
      <c r="I817" s="341" t="s">
        <v>4051</v>
      </c>
      <c r="Q817" s="341" t="s">
        <v>4051</v>
      </c>
    </row>
    <row r="818">
      <c r="B818" s="362"/>
      <c r="I818" s="341" t="s">
        <v>4051</v>
      </c>
      <c r="Q818" s="341" t="s">
        <v>4051</v>
      </c>
    </row>
    <row r="819">
      <c r="B819" s="362"/>
      <c r="I819" s="341" t="s">
        <v>4051</v>
      </c>
      <c r="Q819" s="341" t="s">
        <v>4051</v>
      </c>
    </row>
    <row r="820">
      <c r="B820" s="362"/>
      <c r="I820" s="341" t="s">
        <v>4051</v>
      </c>
      <c r="Q820" s="341" t="s">
        <v>4051</v>
      </c>
    </row>
    <row r="821">
      <c r="B821" s="362"/>
      <c r="I821" s="341" t="s">
        <v>4051</v>
      </c>
      <c r="Q821" s="341" t="s">
        <v>4051</v>
      </c>
    </row>
    <row r="822">
      <c r="B822" s="362"/>
      <c r="I822" s="341" t="s">
        <v>4051</v>
      </c>
      <c r="Q822" s="341" t="s">
        <v>4051</v>
      </c>
    </row>
    <row r="823">
      <c r="B823" s="362"/>
      <c r="I823" s="341" t="s">
        <v>4051</v>
      </c>
      <c r="Q823" s="341" t="s">
        <v>4051</v>
      </c>
    </row>
    <row r="824">
      <c r="B824" s="362"/>
      <c r="I824" s="341" t="s">
        <v>4051</v>
      </c>
      <c r="Q824" s="341" t="s">
        <v>4051</v>
      </c>
    </row>
    <row r="825">
      <c r="B825" s="362"/>
      <c r="I825" s="341" t="s">
        <v>4051</v>
      </c>
      <c r="Q825" s="341" t="s">
        <v>4051</v>
      </c>
    </row>
    <row r="826">
      <c r="B826" s="362"/>
      <c r="I826" s="341" t="s">
        <v>4051</v>
      </c>
      <c r="Q826" s="341" t="s">
        <v>4051</v>
      </c>
    </row>
    <row r="827">
      <c r="B827" s="362"/>
      <c r="I827" s="341" t="s">
        <v>4051</v>
      </c>
      <c r="Q827" s="341" t="s">
        <v>4051</v>
      </c>
    </row>
    <row r="828">
      <c r="B828" s="362"/>
      <c r="I828" s="341" t="s">
        <v>4051</v>
      </c>
      <c r="Q828" s="341" t="s">
        <v>4051</v>
      </c>
    </row>
    <row r="829">
      <c r="B829" s="362"/>
      <c r="I829" s="341" t="s">
        <v>4051</v>
      </c>
      <c r="Q829" s="341" t="s">
        <v>4051</v>
      </c>
    </row>
    <row r="830">
      <c r="B830" s="362"/>
      <c r="I830" s="341" t="s">
        <v>4051</v>
      </c>
      <c r="Q830" s="341" t="s">
        <v>4051</v>
      </c>
    </row>
    <row r="831">
      <c r="B831" s="362"/>
      <c r="I831" s="341" t="s">
        <v>4051</v>
      </c>
      <c r="Q831" s="341" t="s">
        <v>4051</v>
      </c>
    </row>
    <row r="832">
      <c r="B832" s="362"/>
      <c r="I832" s="341" t="s">
        <v>4051</v>
      </c>
      <c r="Q832" s="341" t="s">
        <v>4051</v>
      </c>
    </row>
    <row r="833">
      <c r="B833" s="362"/>
      <c r="I833" s="341" t="s">
        <v>4051</v>
      </c>
      <c r="Q833" s="341" t="s">
        <v>4051</v>
      </c>
    </row>
    <row r="834">
      <c r="B834" s="362"/>
      <c r="I834" s="341" t="s">
        <v>4051</v>
      </c>
      <c r="Q834" s="341" t="s">
        <v>4051</v>
      </c>
    </row>
    <row r="835">
      <c r="B835" s="362"/>
      <c r="I835" s="341" t="s">
        <v>4051</v>
      </c>
      <c r="Q835" s="341" t="s">
        <v>4051</v>
      </c>
    </row>
    <row r="836">
      <c r="B836" s="362"/>
      <c r="I836" s="341" t="s">
        <v>4051</v>
      </c>
      <c r="Q836" s="341" t="s">
        <v>4051</v>
      </c>
    </row>
    <row r="837">
      <c r="B837" s="362"/>
      <c r="I837" s="341" t="s">
        <v>4051</v>
      </c>
      <c r="Q837" s="341" t="s">
        <v>4051</v>
      </c>
    </row>
    <row r="838">
      <c r="B838" s="362"/>
      <c r="I838" s="341" t="s">
        <v>4051</v>
      </c>
      <c r="Q838" s="341" t="s">
        <v>4051</v>
      </c>
    </row>
    <row r="839">
      <c r="B839" s="362"/>
      <c r="I839" s="341" t="s">
        <v>4051</v>
      </c>
      <c r="Q839" s="341" t="s">
        <v>4051</v>
      </c>
    </row>
    <row r="840">
      <c r="B840" s="362"/>
      <c r="I840" s="341" t="s">
        <v>4051</v>
      </c>
      <c r="Q840" s="341" t="s">
        <v>4051</v>
      </c>
    </row>
    <row r="841">
      <c r="B841" s="362"/>
      <c r="I841" s="341" t="s">
        <v>4051</v>
      </c>
      <c r="Q841" s="341" t="s">
        <v>4051</v>
      </c>
    </row>
    <row r="842">
      <c r="B842" s="362"/>
      <c r="I842" s="341" t="s">
        <v>4051</v>
      </c>
      <c r="Q842" s="341" t="s">
        <v>4051</v>
      </c>
    </row>
    <row r="843">
      <c r="B843" s="362"/>
      <c r="I843" s="341" t="s">
        <v>4051</v>
      </c>
      <c r="Q843" s="341" t="s">
        <v>4051</v>
      </c>
    </row>
    <row r="844">
      <c r="B844" s="362"/>
      <c r="I844" s="341" t="s">
        <v>4051</v>
      </c>
      <c r="Q844" s="341" t="s">
        <v>4051</v>
      </c>
    </row>
    <row r="845">
      <c r="B845" s="362"/>
      <c r="I845" s="341" t="s">
        <v>4051</v>
      </c>
      <c r="Q845" s="341" t="s">
        <v>4051</v>
      </c>
    </row>
    <row r="846">
      <c r="B846" s="362"/>
      <c r="I846" s="341" t="s">
        <v>4051</v>
      </c>
      <c r="Q846" s="341" t="s">
        <v>4051</v>
      </c>
    </row>
    <row r="847">
      <c r="B847" s="362"/>
      <c r="I847" s="341" t="s">
        <v>4051</v>
      </c>
      <c r="Q847" s="341" t="s">
        <v>4051</v>
      </c>
    </row>
    <row r="848">
      <c r="B848" s="362"/>
      <c r="I848" s="341" t="s">
        <v>4051</v>
      </c>
      <c r="Q848" s="341" t="s">
        <v>4051</v>
      </c>
    </row>
    <row r="849">
      <c r="B849" s="362"/>
      <c r="I849" s="341" t="s">
        <v>4051</v>
      </c>
      <c r="Q849" s="341" t="s">
        <v>4051</v>
      </c>
    </row>
    <row r="850">
      <c r="B850" s="362"/>
      <c r="I850" s="341" t="s">
        <v>4051</v>
      </c>
      <c r="Q850" s="341" t="s">
        <v>4051</v>
      </c>
    </row>
    <row r="851">
      <c r="B851" s="362"/>
      <c r="I851" s="341" t="s">
        <v>4051</v>
      </c>
      <c r="Q851" s="341" t="s">
        <v>4051</v>
      </c>
    </row>
    <row r="852">
      <c r="B852" s="362"/>
      <c r="I852" s="341" t="s">
        <v>4051</v>
      </c>
      <c r="Q852" s="341" t="s">
        <v>4051</v>
      </c>
    </row>
    <row r="853">
      <c r="B853" s="362"/>
      <c r="I853" s="341" t="s">
        <v>4051</v>
      </c>
      <c r="Q853" s="341" t="s">
        <v>4051</v>
      </c>
    </row>
    <row r="854">
      <c r="B854" s="362"/>
      <c r="I854" s="341" t="s">
        <v>4051</v>
      </c>
      <c r="Q854" s="341" t="s">
        <v>4051</v>
      </c>
    </row>
    <row r="855">
      <c r="B855" s="362"/>
      <c r="I855" s="341" t="s">
        <v>4051</v>
      </c>
      <c r="Q855" s="341" t="s">
        <v>4051</v>
      </c>
    </row>
    <row r="856">
      <c r="B856" s="362"/>
      <c r="I856" s="341" t="s">
        <v>4051</v>
      </c>
      <c r="Q856" s="341" t="s">
        <v>4051</v>
      </c>
    </row>
    <row r="857">
      <c r="B857" s="362"/>
      <c r="I857" s="341" t="s">
        <v>4051</v>
      </c>
      <c r="Q857" s="341" t="s">
        <v>4051</v>
      </c>
    </row>
    <row r="858">
      <c r="B858" s="362"/>
      <c r="I858" s="341" t="s">
        <v>4051</v>
      </c>
      <c r="Q858" s="341" t="s">
        <v>4051</v>
      </c>
    </row>
    <row r="859">
      <c r="B859" s="362"/>
      <c r="I859" s="341" t="s">
        <v>4051</v>
      </c>
      <c r="Q859" s="341" t="s">
        <v>4051</v>
      </c>
    </row>
    <row r="860">
      <c r="B860" s="362"/>
      <c r="I860" s="341" t="s">
        <v>4051</v>
      </c>
      <c r="Q860" s="341" t="s">
        <v>4051</v>
      </c>
    </row>
    <row r="861">
      <c r="B861" s="362"/>
      <c r="I861" s="341" t="s">
        <v>4051</v>
      </c>
      <c r="Q861" s="341" t="s">
        <v>4051</v>
      </c>
    </row>
    <row r="862">
      <c r="B862" s="362"/>
      <c r="I862" s="341" t="s">
        <v>4051</v>
      </c>
      <c r="Q862" s="341" t="s">
        <v>4051</v>
      </c>
    </row>
    <row r="863">
      <c r="B863" s="362"/>
      <c r="I863" s="341" t="s">
        <v>4051</v>
      </c>
      <c r="Q863" s="341" t="s">
        <v>4051</v>
      </c>
    </row>
    <row r="864">
      <c r="B864" s="362"/>
      <c r="I864" s="341" t="s">
        <v>4051</v>
      </c>
      <c r="Q864" s="341" t="s">
        <v>4051</v>
      </c>
    </row>
    <row r="865">
      <c r="B865" s="362"/>
      <c r="I865" s="341" t="s">
        <v>4051</v>
      </c>
      <c r="Q865" s="341" t="s">
        <v>4051</v>
      </c>
    </row>
    <row r="866">
      <c r="B866" s="362"/>
      <c r="I866" s="341" t="s">
        <v>4051</v>
      </c>
      <c r="Q866" s="341" t="s">
        <v>4051</v>
      </c>
    </row>
    <row r="867">
      <c r="B867" s="362"/>
      <c r="I867" s="341" t="s">
        <v>4051</v>
      </c>
      <c r="Q867" s="341" t="s">
        <v>4051</v>
      </c>
    </row>
    <row r="868">
      <c r="B868" s="362"/>
      <c r="I868" s="341" t="s">
        <v>4051</v>
      </c>
      <c r="Q868" s="341" t="s">
        <v>4051</v>
      </c>
    </row>
    <row r="869">
      <c r="B869" s="362"/>
      <c r="I869" s="341" t="s">
        <v>4051</v>
      </c>
      <c r="Q869" s="341" t="s">
        <v>4051</v>
      </c>
    </row>
    <row r="870">
      <c r="B870" s="362"/>
      <c r="I870" s="341" t="s">
        <v>4051</v>
      </c>
      <c r="Q870" s="341" t="s">
        <v>4051</v>
      </c>
    </row>
    <row r="871">
      <c r="B871" s="362"/>
      <c r="I871" s="341" t="s">
        <v>4051</v>
      </c>
      <c r="Q871" s="341" t="s">
        <v>4051</v>
      </c>
    </row>
    <row r="872">
      <c r="B872" s="362"/>
      <c r="I872" s="341" t="s">
        <v>4051</v>
      </c>
      <c r="Q872" s="341" t="s">
        <v>4051</v>
      </c>
    </row>
    <row r="873">
      <c r="B873" s="362"/>
      <c r="I873" s="341" t="s">
        <v>4051</v>
      </c>
      <c r="Q873" s="341" t="s">
        <v>4051</v>
      </c>
    </row>
    <row r="874">
      <c r="B874" s="362"/>
      <c r="I874" s="341" t="s">
        <v>4051</v>
      </c>
      <c r="Q874" s="341" t="s">
        <v>4051</v>
      </c>
    </row>
    <row r="875">
      <c r="B875" s="362"/>
      <c r="I875" s="341" t="s">
        <v>4051</v>
      </c>
      <c r="Q875" s="341" t="s">
        <v>4051</v>
      </c>
    </row>
    <row r="876">
      <c r="B876" s="362"/>
      <c r="I876" s="341" t="s">
        <v>4051</v>
      </c>
      <c r="Q876" s="341" t="s">
        <v>4051</v>
      </c>
    </row>
    <row r="877">
      <c r="B877" s="362"/>
      <c r="I877" s="341" t="s">
        <v>4051</v>
      </c>
      <c r="Q877" s="341" t="s">
        <v>4051</v>
      </c>
    </row>
    <row r="878">
      <c r="B878" s="362"/>
      <c r="I878" s="341" t="s">
        <v>4051</v>
      </c>
      <c r="Q878" s="341" t="s">
        <v>4051</v>
      </c>
    </row>
    <row r="879">
      <c r="B879" s="362"/>
      <c r="I879" s="341" t="s">
        <v>4051</v>
      </c>
      <c r="Q879" s="341" t="s">
        <v>4051</v>
      </c>
    </row>
    <row r="880">
      <c r="B880" s="362"/>
      <c r="I880" s="341" t="s">
        <v>4051</v>
      </c>
      <c r="Q880" s="341" t="s">
        <v>4051</v>
      </c>
    </row>
    <row r="881">
      <c r="B881" s="362"/>
      <c r="I881" s="341" t="s">
        <v>4051</v>
      </c>
      <c r="Q881" s="341" t="s">
        <v>4051</v>
      </c>
    </row>
    <row r="882">
      <c r="B882" s="362"/>
      <c r="I882" s="341" t="s">
        <v>4051</v>
      </c>
      <c r="Q882" s="341" t="s">
        <v>4051</v>
      </c>
    </row>
    <row r="883">
      <c r="B883" s="362"/>
      <c r="I883" s="341" t="s">
        <v>4051</v>
      </c>
      <c r="Q883" s="341" t="s">
        <v>4051</v>
      </c>
    </row>
    <row r="884">
      <c r="B884" s="362"/>
      <c r="I884" s="341" t="s">
        <v>4051</v>
      </c>
      <c r="Q884" s="341" t="s">
        <v>4051</v>
      </c>
    </row>
    <row r="885">
      <c r="B885" s="362"/>
      <c r="I885" s="341" t="s">
        <v>4051</v>
      </c>
      <c r="Q885" s="341" t="s">
        <v>4051</v>
      </c>
    </row>
    <row r="886">
      <c r="B886" s="362"/>
      <c r="I886" s="341" t="s">
        <v>4051</v>
      </c>
      <c r="Q886" s="341" t="s">
        <v>4051</v>
      </c>
    </row>
    <row r="887">
      <c r="B887" s="362"/>
      <c r="I887" s="341" t="s">
        <v>4051</v>
      </c>
      <c r="Q887" s="341" t="s">
        <v>4051</v>
      </c>
    </row>
    <row r="888">
      <c r="B888" s="362"/>
      <c r="I888" s="341" t="s">
        <v>4051</v>
      </c>
      <c r="Q888" s="341" t="s">
        <v>4051</v>
      </c>
    </row>
    <row r="889">
      <c r="B889" s="362"/>
      <c r="I889" s="341" t="s">
        <v>4051</v>
      </c>
      <c r="Q889" s="341" t="s">
        <v>4051</v>
      </c>
    </row>
    <row r="890">
      <c r="B890" s="362"/>
      <c r="I890" s="341" t="s">
        <v>4051</v>
      </c>
      <c r="Q890" s="341" t="s">
        <v>4051</v>
      </c>
    </row>
    <row r="891">
      <c r="B891" s="362"/>
      <c r="I891" s="341" t="s">
        <v>4051</v>
      </c>
      <c r="Q891" s="341" t="s">
        <v>4051</v>
      </c>
    </row>
    <row r="892">
      <c r="B892" s="362"/>
      <c r="I892" s="341" t="s">
        <v>4051</v>
      </c>
      <c r="Q892" s="341" t="s">
        <v>4051</v>
      </c>
    </row>
    <row r="893">
      <c r="B893" s="362"/>
      <c r="I893" s="341" t="s">
        <v>4051</v>
      </c>
      <c r="Q893" s="341" t="s">
        <v>4051</v>
      </c>
    </row>
    <row r="894">
      <c r="B894" s="362"/>
      <c r="I894" s="341" t="s">
        <v>4051</v>
      </c>
      <c r="Q894" s="341" t="s">
        <v>4051</v>
      </c>
    </row>
    <row r="895">
      <c r="B895" s="362"/>
      <c r="I895" s="341" t="s">
        <v>4051</v>
      </c>
      <c r="Q895" s="341" t="s">
        <v>4051</v>
      </c>
    </row>
    <row r="896">
      <c r="B896" s="362"/>
      <c r="I896" s="341" t="s">
        <v>4051</v>
      </c>
      <c r="Q896" s="341" t="s">
        <v>4051</v>
      </c>
    </row>
    <row r="897">
      <c r="B897" s="362"/>
      <c r="I897" s="341" t="s">
        <v>4051</v>
      </c>
      <c r="Q897" s="341" t="s">
        <v>4051</v>
      </c>
    </row>
    <row r="898">
      <c r="B898" s="362"/>
      <c r="I898" s="341" t="s">
        <v>4051</v>
      </c>
      <c r="Q898" s="341" t="s">
        <v>4051</v>
      </c>
    </row>
    <row r="899">
      <c r="B899" s="362"/>
      <c r="I899" s="341" t="s">
        <v>4051</v>
      </c>
      <c r="Q899" s="341" t="s">
        <v>4051</v>
      </c>
    </row>
    <row r="900">
      <c r="B900" s="362"/>
      <c r="I900" s="341" t="s">
        <v>4051</v>
      </c>
      <c r="Q900" s="341" t="s">
        <v>4051</v>
      </c>
    </row>
    <row r="901">
      <c r="B901" s="362"/>
      <c r="I901" s="341" t="s">
        <v>4051</v>
      </c>
      <c r="Q901" s="341" t="s">
        <v>4051</v>
      </c>
    </row>
    <row r="902">
      <c r="B902" s="362"/>
      <c r="I902" s="341" t="s">
        <v>4051</v>
      </c>
      <c r="Q902" s="341" t="s">
        <v>4051</v>
      </c>
    </row>
    <row r="903">
      <c r="B903" s="362"/>
      <c r="I903" s="341" t="s">
        <v>4051</v>
      </c>
      <c r="Q903" s="341" t="s">
        <v>4051</v>
      </c>
    </row>
    <row r="904">
      <c r="B904" s="362"/>
      <c r="I904" s="341" t="s">
        <v>4051</v>
      </c>
      <c r="Q904" s="341" t="s">
        <v>4051</v>
      </c>
    </row>
    <row r="905">
      <c r="B905" s="362"/>
      <c r="I905" s="341" t="s">
        <v>4051</v>
      </c>
      <c r="Q905" s="341" t="s">
        <v>4051</v>
      </c>
    </row>
    <row r="906">
      <c r="B906" s="362"/>
      <c r="I906" s="341" t="s">
        <v>4051</v>
      </c>
      <c r="Q906" s="341" t="s">
        <v>4051</v>
      </c>
    </row>
    <row r="907">
      <c r="B907" s="362"/>
      <c r="I907" s="341" t="s">
        <v>4051</v>
      </c>
      <c r="Q907" s="341" t="s">
        <v>4051</v>
      </c>
    </row>
    <row r="908">
      <c r="B908" s="362"/>
      <c r="I908" s="341" t="s">
        <v>4051</v>
      </c>
      <c r="Q908" s="341" t="s">
        <v>4051</v>
      </c>
    </row>
    <row r="909">
      <c r="B909" s="362"/>
      <c r="I909" s="341" t="s">
        <v>4051</v>
      </c>
      <c r="Q909" s="341" t="s">
        <v>4051</v>
      </c>
    </row>
    <row r="910">
      <c r="B910" s="362"/>
      <c r="I910" s="341" t="s">
        <v>4051</v>
      </c>
      <c r="Q910" s="341" t="s">
        <v>4051</v>
      </c>
    </row>
    <row r="911">
      <c r="B911" s="362"/>
      <c r="I911" s="341" t="s">
        <v>4051</v>
      </c>
      <c r="Q911" s="341" t="s">
        <v>4051</v>
      </c>
    </row>
    <row r="912">
      <c r="B912" s="362"/>
      <c r="I912" s="341" t="s">
        <v>4051</v>
      </c>
      <c r="Q912" s="341" t="s">
        <v>4051</v>
      </c>
    </row>
    <row r="913">
      <c r="B913" s="362"/>
      <c r="I913" s="341" t="s">
        <v>4051</v>
      </c>
      <c r="Q913" s="341" t="s">
        <v>4051</v>
      </c>
    </row>
    <row r="914">
      <c r="B914" s="362"/>
      <c r="I914" s="341" t="s">
        <v>4051</v>
      </c>
      <c r="Q914" s="341" t="s">
        <v>4051</v>
      </c>
    </row>
    <row r="915">
      <c r="B915" s="362"/>
      <c r="I915" s="341" t="s">
        <v>4051</v>
      </c>
      <c r="Q915" s="341" t="s">
        <v>4051</v>
      </c>
    </row>
    <row r="916">
      <c r="B916" s="362"/>
      <c r="I916" s="341" t="s">
        <v>4051</v>
      </c>
      <c r="Q916" s="341" t="s">
        <v>4051</v>
      </c>
    </row>
    <row r="917">
      <c r="B917" s="362"/>
      <c r="I917" s="341" t="s">
        <v>4051</v>
      </c>
      <c r="Q917" s="341" t="s">
        <v>4051</v>
      </c>
    </row>
    <row r="918">
      <c r="B918" s="362"/>
      <c r="I918" s="341" t="s">
        <v>4051</v>
      </c>
      <c r="Q918" s="341" t="s">
        <v>4051</v>
      </c>
    </row>
    <row r="919">
      <c r="B919" s="362"/>
      <c r="I919" s="341" t="s">
        <v>4051</v>
      </c>
      <c r="Q919" s="341" t="s">
        <v>4051</v>
      </c>
    </row>
    <row r="920">
      <c r="B920" s="362"/>
      <c r="I920" s="341" t="s">
        <v>4051</v>
      </c>
      <c r="Q920" s="341" t="s">
        <v>4051</v>
      </c>
    </row>
    <row r="921">
      <c r="B921" s="362"/>
      <c r="I921" s="341" t="s">
        <v>4051</v>
      </c>
      <c r="Q921" s="341" t="s">
        <v>4051</v>
      </c>
    </row>
    <row r="922">
      <c r="B922" s="362"/>
      <c r="I922" s="341" t="s">
        <v>4051</v>
      </c>
      <c r="Q922" s="341" t="s">
        <v>4051</v>
      </c>
    </row>
    <row r="923">
      <c r="B923" s="362"/>
      <c r="I923" s="341" t="s">
        <v>4051</v>
      </c>
      <c r="Q923" s="341" t="s">
        <v>4051</v>
      </c>
    </row>
    <row r="924">
      <c r="B924" s="362"/>
      <c r="I924" s="341" t="s">
        <v>4051</v>
      </c>
      <c r="Q924" s="341" t="s">
        <v>4051</v>
      </c>
    </row>
    <row r="925">
      <c r="B925" s="362"/>
      <c r="I925" s="341" t="s">
        <v>4051</v>
      </c>
      <c r="Q925" s="341" t="s">
        <v>4051</v>
      </c>
    </row>
    <row r="926">
      <c r="B926" s="362"/>
      <c r="I926" s="341" t="s">
        <v>4051</v>
      </c>
      <c r="Q926" s="341" t="s">
        <v>4051</v>
      </c>
    </row>
    <row r="927">
      <c r="B927" s="362"/>
      <c r="I927" s="341" t="s">
        <v>4051</v>
      </c>
      <c r="Q927" s="341" t="s">
        <v>4051</v>
      </c>
    </row>
    <row r="928">
      <c r="B928" s="362"/>
      <c r="I928" s="341" t="s">
        <v>4051</v>
      </c>
      <c r="Q928" s="341" t="s">
        <v>4051</v>
      </c>
    </row>
    <row r="929">
      <c r="B929" s="362"/>
      <c r="I929" s="341" t="s">
        <v>4051</v>
      </c>
      <c r="Q929" s="341" t="s">
        <v>4051</v>
      </c>
    </row>
    <row r="930">
      <c r="B930" s="362"/>
      <c r="I930" s="341" t="s">
        <v>4051</v>
      </c>
      <c r="Q930" s="341" t="s">
        <v>4051</v>
      </c>
    </row>
    <row r="931">
      <c r="B931" s="362"/>
      <c r="I931" s="341" t="s">
        <v>4051</v>
      </c>
      <c r="Q931" s="341" t="s">
        <v>4051</v>
      </c>
    </row>
    <row r="932">
      <c r="B932" s="362"/>
      <c r="I932" s="341" t="s">
        <v>4051</v>
      </c>
      <c r="Q932" s="341" t="s">
        <v>4051</v>
      </c>
    </row>
    <row r="933">
      <c r="B933" s="362"/>
      <c r="I933" s="341" t="s">
        <v>4051</v>
      </c>
      <c r="Q933" s="341" t="s">
        <v>4051</v>
      </c>
    </row>
    <row r="934">
      <c r="B934" s="362"/>
      <c r="I934" s="341" t="s">
        <v>4051</v>
      </c>
      <c r="Q934" s="341" t="s">
        <v>4051</v>
      </c>
    </row>
    <row r="935">
      <c r="B935" s="362"/>
      <c r="I935" s="341" t="s">
        <v>4051</v>
      </c>
      <c r="Q935" s="341" t="s">
        <v>4051</v>
      </c>
    </row>
    <row r="936">
      <c r="B936" s="362"/>
      <c r="I936" s="341" t="s">
        <v>4051</v>
      </c>
      <c r="Q936" s="341" t="s">
        <v>4051</v>
      </c>
    </row>
    <row r="937">
      <c r="B937" s="362"/>
      <c r="I937" s="341" t="s">
        <v>4051</v>
      </c>
      <c r="Q937" s="341" t="s">
        <v>4051</v>
      </c>
    </row>
    <row r="938">
      <c r="B938" s="362"/>
      <c r="I938" s="341" t="s">
        <v>4051</v>
      </c>
      <c r="Q938" s="341" t="s">
        <v>4051</v>
      </c>
    </row>
    <row r="939">
      <c r="B939" s="362"/>
      <c r="I939" s="341" t="s">
        <v>4051</v>
      </c>
      <c r="Q939" s="341" t="s">
        <v>4051</v>
      </c>
    </row>
    <row r="940">
      <c r="B940" s="362"/>
      <c r="I940" s="341" t="s">
        <v>4051</v>
      </c>
      <c r="Q940" s="341" t="s">
        <v>4051</v>
      </c>
    </row>
    <row r="941">
      <c r="B941" s="362"/>
      <c r="I941" s="341" t="s">
        <v>4051</v>
      </c>
      <c r="Q941" s="341" t="s">
        <v>4051</v>
      </c>
    </row>
    <row r="942">
      <c r="B942" s="362"/>
      <c r="I942" s="341" t="s">
        <v>4051</v>
      </c>
      <c r="Q942" s="341" t="s">
        <v>4051</v>
      </c>
    </row>
    <row r="943">
      <c r="B943" s="362"/>
      <c r="I943" s="341" t="s">
        <v>4051</v>
      </c>
      <c r="Q943" s="341" t="s">
        <v>4051</v>
      </c>
    </row>
    <row r="944">
      <c r="B944" s="362"/>
      <c r="I944" s="341" t="s">
        <v>4051</v>
      </c>
      <c r="Q944" s="341" t="s">
        <v>4051</v>
      </c>
    </row>
    <row r="945">
      <c r="B945" s="362"/>
      <c r="I945" s="341" t="s">
        <v>4051</v>
      </c>
      <c r="Q945" s="341" t="s">
        <v>4051</v>
      </c>
    </row>
    <row r="946">
      <c r="B946" s="362"/>
      <c r="I946" s="341" t="s">
        <v>4051</v>
      </c>
      <c r="Q946" s="341" t="s">
        <v>4051</v>
      </c>
    </row>
    <row r="947">
      <c r="B947" s="362"/>
      <c r="I947" s="341" t="s">
        <v>4051</v>
      </c>
      <c r="Q947" s="341" t="s">
        <v>4051</v>
      </c>
    </row>
    <row r="948">
      <c r="B948" s="362"/>
      <c r="I948" s="341" t="s">
        <v>4051</v>
      </c>
      <c r="Q948" s="341" t="s">
        <v>4051</v>
      </c>
    </row>
    <row r="949">
      <c r="B949" s="362"/>
      <c r="I949" s="341" t="s">
        <v>4051</v>
      </c>
      <c r="Q949" s="341" t="s">
        <v>4051</v>
      </c>
    </row>
    <row r="950">
      <c r="B950" s="362"/>
      <c r="I950" s="341" t="s">
        <v>4051</v>
      </c>
      <c r="Q950" s="341" t="s">
        <v>4051</v>
      </c>
    </row>
    <row r="951">
      <c r="B951" s="362"/>
      <c r="I951" s="341" t="s">
        <v>4051</v>
      </c>
      <c r="Q951" s="341" t="s">
        <v>4051</v>
      </c>
    </row>
    <row r="952">
      <c r="B952" s="362"/>
      <c r="I952" s="341" t="s">
        <v>4051</v>
      </c>
      <c r="Q952" s="341" t="s">
        <v>4051</v>
      </c>
    </row>
    <row r="953">
      <c r="B953" s="362"/>
      <c r="I953" s="341" t="s">
        <v>4051</v>
      </c>
      <c r="Q953" s="341" t="s">
        <v>4051</v>
      </c>
    </row>
    <row r="954">
      <c r="B954" s="362"/>
      <c r="I954" s="341" t="s">
        <v>4051</v>
      </c>
      <c r="Q954" s="341" t="s">
        <v>4051</v>
      </c>
    </row>
    <row r="955">
      <c r="B955" s="362"/>
      <c r="I955" s="341" t="s">
        <v>4051</v>
      </c>
      <c r="Q955" s="341" t="s">
        <v>4051</v>
      </c>
    </row>
    <row r="956">
      <c r="B956" s="362"/>
      <c r="I956" s="341" t="s">
        <v>4051</v>
      </c>
      <c r="Q956" s="341" t="s">
        <v>4051</v>
      </c>
    </row>
    <row r="957">
      <c r="B957" s="362"/>
      <c r="I957" s="341" t="s">
        <v>4051</v>
      </c>
      <c r="Q957" s="341" t="s">
        <v>4051</v>
      </c>
    </row>
    <row r="958">
      <c r="B958" s="362"/>
      <c r="I958" s="341" t="s">
        <v>4051</v>
      </c>
      <c r="Q958" s="341" t="s">
        <v>4051</v>
      </c>
    </row>
    <row r="959">
      <c r="B959" s="362"/>
      <c r="I959" s="341" t="s">
        <v>4051</v>
      </c>
      <c r="Q959" s="341" t="s">
        <v>4051</v>
      </c>
    </row>
    <row r="960">
      <c r="B960" s="362"/>
      <c r="I960" s="341" t="s">
        <v>4051</v>
      </c>
      <c r="Q960" s="341" t="s">
        <v>4051</v>
      </c>
    </row>
    <row r="961">
      <c r="B961" s="362"/>
      <c r="I961" s="341" t="s">
        <v>4051</v>
      </c>
      <c r="Q961" s="341" t="s">
        <v>4051</v>
      </c>
    </row>
    <row r="962">
      <c r="B962" s="362"/>
      <c r="I962" s="341" t="s">
        <v>4051</v>
      </c>
      <c r="Q962" s="341" t="s">
        <v>4051</v>
      </c>
    </row>
    <row r="963">
      <c r="B963" s="362"/>
      <c r="I963" s="341" t="s">
        <v>4051</v>
      </c>
      <c r="Q963" s="341" t="s">
        <v>4051</v>
      </c>
    </row>
    <row r="964">
      <c r="B964" s="362"/>
      <c r="I964" s="341" t="s">
        <v>4051</v>
      </c>
      <c r="Q964" s="341" t="s">
        <v>4051</v>
      </c>
    </row>
    <row r="965">
      <c r="B965" s="362"/>
      <c r="I965" s="341" t="s">
        <v>4051</v>
      </c>
      <c r="Q965" s="341" t="s">
        <v>4051</v>
      </c>
    </row>
    <row r="966">
      <c r="B966" s="362"/>
      <c r="I966" s="341" t="s">
        <v>4051</v>
      </c>
      <c r="Q966" s="341" t="s">
        <v>4051</v>
      </c>
    </row>
    <row r="967">
      <c r="B967" s="362"/>
      <c r="I967" s="341" t="s">
        <v>4051</v>
      </c>
      <c r="Q967" s="341" t="s">
        <v>4051</v>
      </c>
    </row>
    <row r="968">
      <c r="B968" s="362"/>
      <c r="I968" s="341" t="s">
        <v>4051</v>
      </c>
      <c r="Q968" s="341" t="s">
        <v>4051</v>
      </c>
    </row>
    <row r="969">
      <c r="B969" s="362"/>
      <c r="I969" s="341" t="s">
        <v>4051</v>
      </c>
      <c r="Q969" s="341" t="s">
        <v>4051</v>
      </c>
    </row>
    <row r="970">
      <c r="B970" s="362"/>
      <c r="I970" s="341" t="s">
        <v>4051</v>
      </c>
      <c r="Q970" s="341" t="s">
        <v>4051</v>
      </c>
    </row>
    <row r="971">
      <c r="B971" s="362"/>
      <c r="I971" s="341" t="s">
        <v>4051</v>
      </c>
      <c r="Q971" s="341" t="s">
        <v>4051</v>
      </c>
    </row>
    <row r="972">
      <c r="B972" s="362"/>
      <c r="I972" s="341" t="s">
        <v>4051</v>
      </c>
      <c r="Q972" s="341" t="s">
        <v>4051</v>
      </c>
    </row>
    <row r="973">
      <c r="B973" s="362"/>
      <c r="I973" s="341" t="s">
        <v>4051</v>
      </c>
      <c r="Q973" s="341" t="s">
        <v>4051</v>
      </c>
    </row>
    <row r="974">
      <c r="B974" s="362"/>
      <c r="I974" s="341" t="s">
        <v>4051</v>
      </c>
      <c r="Q974" s="341" t="s">
        <v>4051</v>
      </c>
    </row>
    <row r="975">
      <c r="B975" s="362"/>
      <c r="I975" s="341" t="s">
        <v>4051</v>
      </c>
      <c r="Q975" s="341" t="s">
        <v>4051</v>
      </c>
    </row>
    <row r="976">
      <c r="B976" s="362"/>
      <c r="I976" s="341" t="s">
        <v>4051</v>
      </c>
      <c r="Q976" s="341" t="s">
        <v>4051</v>
      </c>
    </row>
    <row r="977">
      <c r="B977" s="362"/>
      <c r="I977" s="341" t="s">
        <v>4051</v>
      </c>
      <c r="Q977" s="341" t="s">
        <v>4051</v>
      </c>
    </row>
    <row r="978">
      <c r="B978" s="362"/>
      <c r="I978" s="341" t="s">
        <v>4051</v>
      </c>
      <c r="Q978" s="341" t="s">
        <v>4051</v>
      </c>
    </row>
    <row r="979">
      <c r="B979" s="362"/>
      <c r="I979" s="341" t="s">
        <v>4051</v>
      </c>
      <c r="Q979" s="341" t="s">
        <v>4051</v>
      </c>
    </row>
    <row r="980">
      <c r="B980" s="362"/>
      <c r="I980" s="341" t="s">
        <v>4051</v>
      </c>
      <c r="Q980" s="341" t="s">
        <v>4051</v>
      </c>
    </row>
    <row r="981">
      <c r="B981" s="362"/>
      <c r="I981" s="341" t="s">
        <v>4051</v>
      </c>
      <c r="Q981" s="341" t="s">
        <v>4051</v>
      </c>
    </row>
    <row r="982">
      <c r="B982" s="362"/>
      <c r="I982" s="341" t="s">
        <v>4051</v>
      </c>
      <c r="Q982" s="341" t="s">
        <v>4051</v>
      </c>
    </row>
    <row r="983">
      <c r="B983" s="362"/>
      <c r="I983" s="341" t="s">
        <v>4051</v>
      </c>
      <c r="Q983" s="341" t="s">
        <v>4051</v>
      </c>
    </row>
    <row r="984">
      <c r="B984" s="362"/>
      <c r="I984" s="341" t="s">
        <v>4051</v>
      </c>
      <c r="Q984" s="341" t="s">
        <v>4051</v>
      </c>
    </row>
    <row r="985">
      <c r="B985" s="362"/>
      <c r="I985" s="341" t="s">
        <v>4051</v>
      </c>
      <c r="Q985" s="341" t="s">
        <v>4051</v>
      </c>
    </row>
    <row r="986">
      <c r="B986" s="362"/>
      <c r="I986" s="341" t="s">
        <v>4051</v>
      </c>
      <c r="Q986" s="341" t="s">
        <v>4051</v>
      </c>
    </row>
    <row r="987">
      <c r="B987" s="362"/>
      <c r="I987" s="341" t="s">
        <v>4051</v>
      </c>
      <c r="Q987" s="341" t="s">
        <v>4051</v>
      </c>
    </row>
    <row r="988">
      <c r="B988" s="362"/>
      <c r="I988" s="341" t="s">
        <v>4051</v>
      </c>
      <c r="Q988" s="341" t="s">
        <v>4051</v>
      </c>
    </row>
    <row r="989">
      <c r="B989" s="362"/>
      <c r="I989" s="341" t="s">
        <v>4051</v>
      </c>
      <c r="Q989" s="341" t="s">
        <v>4051</v>
      </c>
    </row>
    <row r="990">
      <c r="B990" s="362"/>
      <c r="I990" s="341" t="s">
        <v>4051</v>
      </c>
      <c r="Q990" s="341" t="s">
        <v>4051</v>
      </c>
    </row>
    <row r="991">
      <c r="B991" s="362"/>
      <c r="I991" s="341" t="s">
        <v>4051</v>
      </c>
      <c r="Q991" s="341" t="s">
        <v>4051</v>
      </c>
    </row>
    <row r="992">
      <c r="B992" s="362"/>
      <c r="I992" s="341" t="s">
        <v>4051</v>
      </c>
      <c r="Q992" s="341" t="s">
        <v>4051</v>
      </c>
    </row>
    <row r="993">
      <c r="B993" s="362"/>
      <c r="I993" s="341" t="s">
        <v>4051</v>
      </c>
      <c r="Q993" s="341" t="s">
        <v>4051</v>
      </c>
    </row>
    <row r="994">
      <c r="B994" s="362"/>
      <c r="I994" s="341" t="s">
        <v>4051</v>
      </c>
      <c r="Q994" s="341" t="s">
        <v>4051</v>
      </c>
    </row>
    <row r="995">
      <c r="B995" s="362"/>
      <c r="I995" s="341" t="s">
        <v>4051</v>
      </c>
      <c r="Q995" s="341" t="s">
        <v>4051</v>
      </c>
    </row>
    <row r="996">
      <c r="B996" s="362"/>
      <c r="I996" s="341" t="s">
        <v>4051</v>
      </c>
      <c r="Q996" s="341" t="s">
        <v>4051</v>
      </c>
    </row>
    <row r="997">
      <c r="B997" s="362"/>
      <c r="I997" s="341" t="s">
        <v>4051</v>
      </c>
      <c r="Q997" s="341" t="s">
        <v>4051</v>
      </c>
    </row>
    <row r="998">
      <c r="B998" s="362"/>
      <c r="I998" s="341" t="s">
        <v>4051</v>
      </c>
      <c r="Q998" s="341" t="s">
        <v>4051</v>
      </c>
    </row>
    <row r="999">
      <c r="B999" s="362"/>
      <c r="I999" s="341" t="s">
        <v>4051</v>
      </c>
      <c r="Q999" s="341" t="s">
        <v>4051</v>
      </c>
    </row>
    <row r="1000">
      <c r="B1000" s="362"/>
      <c r="I1000" s="341" t="s">
        <v>4051</v>
      </c>
      <c r="Q1000" s="341" t="s">
        <v>4051</v>
      </c>
    </row>
  </sheetData>
  <conditionalFormatting sqref="I1:I500">
    <cfRule type="containsBlanks" dxfId="7" priority="1">
      <formula>LEN(TRIM(I1))=0</formula>
    </cfRule>
  </conditionalFormatting>
  <conditionalFormatting sqref="I1:I500">
    <cfRule type="cellIs" dxfId="8" priority="2" operator="notEqual">
      <formula>1</formula>
    </cfRule>
  </conditionalFormatting>
  <conditionalFormatting sqref="Q1:Q100">
    <cfRule type="containsBlanks" dxfId="9" priority="3">
      <formula>LEN(TRIM(Q1))=0</formula>
    </cfRule>
  </conditionalFormatting>
  <conditionalFormatting sqref="Q1:Q100">
    <cfRule type="cellIs" dxfId="8" priority="4" operator="notEqual">
      <formula>1</formula>
    </cfRule>
  </conditionalFormatting>
  <drawing r:id="rId1"/>
  <tableParts count="3">
    <tablePart r:id="rId5"/>
    <tablePart r:id="rId6"/>
    <tablePart r:id="rId7"/>
  </tableParts>
</worksheet>
</file>